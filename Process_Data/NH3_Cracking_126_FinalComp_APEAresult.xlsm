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nergy_Process_Project\Hyein\Analysis\Process_Data\"/>
    </mc:Choice>
  </mc:AlternateContent>
  <xr:revisionPtr revIDLastSave="0" documentId="13_ncr:1_{012A1FEA-71E2-44B9-811D-AF2932A5EF9F}" xr6:coauthVersionLast="36" xr6:coauthVersionMax="36" xr10:uidLastSave="{00000000-0000-0000-0000-000000000000}"/>
  <bookViews>
    <workbookView xWindow="2340" yWindow="1920" windowWidth="10380" windowHeight="5775" tabRatio="823" activeTab="7" xr2:uid="{00000000-000D-0000-FFFF-FFFF00000000}"/>
  </bookViews>
  <sheets>
    <sheet name="Run Summary" sheetId="1" r:id="rId1"/>
    <sheet name="Executive Summary" sheetId="5" r:id="rId2"/>
    <sheet name="Cash Flow" sheetId="4" r:id="rId3"/>
    <sheet name="Project Summary" sheetId="3" r:id="rId4"/>
    <sheet name="Equipment" sheetId="2" r:id="rId5"/>
    <sheet name="Utility Summary" sheetId="6" r:id="rId6"/>
    <sheet name="Utility Resource Summary" sheetId="10" r:id="rId7"/>
    <sheet name="RawMaterial Summary" sheetId="7" r:id="rId8"/>
    <sheet name="Product Summary" sheetId="8" r:id="rId9"/>
  </sheets>
  <calcPr calcId="191029" iterate="1" iterateDelta="1.0000000000000001E-5"/>
</workbook>
</file>

<file path=xl/calcChain.xml><?xml version="1.0" encoding="utf-8"?>
<calcChain xmlns="http://schemas.openxmlformats.org/spreadsheetml/2006/main">
  <c r="H6" i="7" l="1"/>
  <c r="H5" i="7"/>
</calcChain>
</file>

<file path=xl/sharedStrings.xml><?xml version="1.0" encoding="utf-8"?>
<sst xmlns="http://schemas.openxmlformats.org/spreadsheetml/2006/main" count="1145" uniqueCount="387">
  <si>
    <t>Project Name</t>
  </si>
  <si>
    <t>EQUIP.ICS (Equipment)</t>
  </si>
  <si>
    <t>Area Name</t>
  </si>
  <si>
    <t>Component Name</t>
  </si>
  <si>
    <t>Component Type</t>
  </si>
  <si>
    <t>(USD)</t>
  </si>
  <si>
    <t>PROJSUM.ICS     (Project Summary)</t>
  </si>
  <si>
    <t xml:space="preserve"> </t>
  </si>
  <si>
    <t>ITEM</t>
  </si>
  <si>
    <t>UNITS</t>
  </si>
  <si>
    <t>VALUE</t>
  </si>
  <si>
    <t>************************************************************************</t>
  </si>
  <si>
    <t>PROJECT INFORMATION</t>
  </si>
  <si>
    <t>CAPITAL COST EVALUATION BASIS</t>
  </si>
  <si>
    <t>TIME PERIOD</t>
  </si>
  <si>
    <t>Period</t>
  </si>
  <si>
    <t>SCHEDULE</t>
  </si>
  <si>
    <t>CAPITAL COSTS PARAMETERS</t>
  </si>
  <si>
    <t>OPERATING COSTS PARAMETERS</t>
  </si>
  <si>
    <t>Cost/period</t>
  </si>
  <si>
    <t>GENERAL INVESTMENT PARAMETERS</t>
  </si>
  <si>
    <t>Percent</t>
  </si>
  <si>
    <t>ESCALATION</t>
  </si>
  <si>
    <t xml:space="preserve">PROJECT RESULTS SUMMARY </t>
  </si>
  <si>
    <t>PROJECT CAPITAL SUMMARY</t>
  </si>
  <si>
    <t>Design, Eng, Procurement</t>
  </si>
  <si>
    <t>Construction Material</t>
  </si>
  <si>
    <t>Construction Manhours</t>
  </si>
  <si>
    <t>Construction Manpower</t>
  </si>
  <si>
    <t>Construction Indirects</t>
  </si>
  <si>
    <t>ENGINEERING SUMMARY</t>
  </si>
  <si>
    <t>Manhours</t>
  </si>
  <si>
    <t>RAW MATERIALS COSTS AND PRODUCTS SALES</t>
  </si>
  <si>
    <t>Cost/Period</t>
  </si>
  <si>
    <t>UTILITIES COSTS</t>
  </si>
  <si>
    <t xml:space="preserve">Subtotal Cost </t>
  </si>
  <si>
    <t>CASHFLOW.ICS    (Cashflow)</t>
  </si>
  <si>
    <t>TW  (Number of Weeks per Period)</t>
  </si>
  <si>
    <t>T  (Number of Periods for Analysis)</t>
  </si>
  <si>
    <t>DTEPC  (Duration of EPC Phase)</t>
  </si>
  <si>
    <t>DT  (Duration of EPC Phase and Startup)</t>
  </si>
  <si>
    <t>WORKP  (Working Capital Percentage)</t>
  </si>
  <si>
    <t>CAPT  (Total Project Cost)</t>
  </si>
  <si>
    <t>RAWT  (Total Raw Material Cost)</t>
  </si>
  <si>
    <t>PRODT  (Total Product Sales)</t>
  </si>
  <si>
    <t>UTILT  (Total Utilities Cost)</t>
  </si>
  <si>
    <t>TAXR  (Tax Rate)</t>
  </si>
  <si>
    <t>ECONLIFE  (Economic Life of Project)</t>
  </si>
  <si>
    <t>DEPMETH  (Depreciation Method)</t>
  </si>
  <si>
    <t>DEPMETHN  (Depreciation Method Id)</t>
  </si>
  <si>
    <t>ESCAP  (Project Capital Escalation)</t>
  </si>
  <si>
    <t>ESPROD  (Products Escalation)</t>
  </si>
  <si>
    <t>ESRAW  (Raw Material Escalation)</t>
  </si>
  <si>
    <t>ESLAB  (Operating and Maintenance Labor Escalation)</t>
  </si>
  <si>
    <t>ESUT  (Utilities Escalation)</t>
  </si>
  <si>
    <t>PODE  (Desired Payout Period (excluding EPC and Startup Phases))</t>
  </si>
  <si>
    <t>POD  (Desired Payout Period)</t>
  </si>
  <si>
    <t>Sales</t>
  </si>
  <si>
    <t>Expenses</t>
  </si>
  <si>
    <t>R  (Revenue)</t>
  </si>
  <si>
    <t>DEP  (Depreciation Expense)</t>
  </si>
  <si>
    <t>E  (Earnings Before Taxes)</t>
  </si>
  <si>
    <t>TAX  (Taxes)</t>
  </si>
  <si>
    <t>NE  (Net  Earnings)</t>
  </si>
  <si>
    <t>FVI  (Future Value of Cumulative Cash Inflows)</t>
  </si>
  <si>
    <t>PVI  (Present Value of Cumulative Cash Inflows)</t>
  </si>
  <si>
    <t>PVOS  (Present Value of Cumulative Cash Outflows, Sales)</t>
  </si>
  <si>
    <t>PV  (Present Value of Cash Flows)</t>
  </si>
  <si>
    <t>NPV  (Net Present Value)</t>
  </si>
  <si>
    <t>IRR  (Internal Rate of Return)</t>
  </si>
  <si>
    <t>MIRR  (Modified Internal Rate of Return)</t>
  </si>
  <si>
    <t>NRR  (Net Return Rate)</t>
  </si>
  <si>
    <t>PO  (Payout  Period)</t>
  </si>
  <si>
    <t>ARR  (Accounting Rate of Return)</t>
  </si>
  <si>
    <t>PI  (Profitability  Index)</t>
  </si>
  <si>
    <t>*** ANALYSIS ***</t>
  </si>
  <si>
    <t>TRAIT EXAMINED</t>
  </si>
  <si>
    <t>Net Present Value</t>
  </si>
  <si>
    <t>Sign</t>
  </si>
  <si>
    <t>Modified Internal Rate of Return</t>
  </si>
  <si>
    <t>Net Return Rate</t>
  </si>
  <si>
    <t>Accounting Rate of Return</t>
  </si>
  <si>
    <t>Profitability Index</t>
  </si>
  <si>
    <t>COMMENTS:</t>
  </si>
  <si>
    <t>2.   For TRAIT EXAMINED, symbols mean: ( - ) = "appears unprofitable"; 0 =  "breakeven"; +++ = "appears profitable"</t>
  </si>
  <si>
    <t>DEPRECIATION CALCULATIONS</t>
  </si>
  <si>
    <t>Depreciation Calculations using the Straight-Line Method</t>
  </si>
  <si>
    <t>Depreciation Calculations using the Sum of the Digits Method</t>
  </si>
  <si>
    <t>Depreciation Calculations using the Double Declining Balance Method</t>
  </si>
  <si>
    <t>SALVAL  (Salvage Value (Percent of Initial Capital Cost))</t>
  </si>
  <si>
    <t>START  (Start Period for Plant Startup)</t>
  </si>
  <si>
    <t>END  (End Period for Economic Life of Project)</t>
  </si>
  <si>
    <t>TED  (Total Earnings)</t>
  </si>
  <si>
    <t>CF  (CashFlow for Project)</t>
  </si>
  <si>
    <t>OPERATING LABOR AND MAINTENANCE COSTS</t>
  </si>
  <si>
    <t>OPCHG  (Operating Charges)</t>
  </si>
  <si>
    <t>PLANTOVH  (Plant Overhead)</t>
  </si>
  <si>
    <t>OPMT  (Total Operating Labor and Maintenance Cost)</t>
  </si>
  <si>
    <t>AF  (ROR Annuity Factor)</t>
  </si>
  <si>
    <t>IF  (ROR Interest Factor)</t>
  </si>
  <si>
    <t>GA  (G and A Expenses)</t>
  </si>
  <si>
    <t>DTEP  (Duration of EP Phase before Start of Construction)</t>
  </si>
  <si>
    <t>OP  (Total Operating Labor Cost)</t>
  </si>
  <si>
    <t>MT  (Total Maintenance Cost)</t>
  </si>
  <si>
    <t>TEX  (Total Expenses (Excludes Taxes and Depreciation))</t>
  </si>
  <si>
    <t>EXECUTIVE SUMMARY</t>
  </si>
  <si>
    <t>=================================================================================</t>
  </si>
  <si>
    <t>PROJECT NAME:</t>
  </si>
  <si>
    <t>CAPACITY:</t>
  </si>
  <si>
    <t>PLANT LOCATION:</t>
  </si>
  <si>
    <t>BRIEF DESCRIPTION:</t>
  </si>
  <si>
    <t>SCHEDULE:</t>
  </si>
  <si>
    <t>INVESTMENT:</t>
  </si>
  <si>
    <t>PROJECT INFORMATION:</t>
  </si>
  <si>
    <t>NOTES:-----------------------------------------------------</t>
  </si>
  <si>
    <t>Description</t>
  </si>
  <si>
    <t>Fluid</t>
  </si>
  <si>
    <t>Item</t>
  </si>
  <si>
    <t>Item Description</t>
  </si>
  <si>
    <t>Rate</t>
  </si>
  <si>
    <t>Units</t>
  </si>
  <si>
    <t>Rate Units</t>
  </si>
  <si>
    <t>Cost per Hour</t>
  </si>
  <si>
    <t>Operating Pressure</t>
  </si>
  <si>
    <t>Pressure Units</t>
  </si>
  <si>
    <t>Operating Temperature</t>
  </si>
  <si>
    <t>Temperature Units</t>
  </si>
  <si>
    <t>Design Pressure</t>
  </si>
  <si>
    <t>Design Temperature</t>
  </si>
  <si>
    <t>Stream Name</t>
  </si>
  <si>
    <t>Specification Basis</t>
  </si>
  <si>
    <t>Rate per Hour</t>
  </si>
  <si>
    <t>Area ID</t>
  </si>
  <si>
    <t>Report Group ID</t>
  </si>
  <si>
    <t>Inlet Temperature</t>
  </si>
  <si>
    <t>Exit Temperature</t>
  </si>
  <si>
    <t>Cost Units</t>
  </si>
  <si>
    <t>Installed Weight</t>
  </si>
  <si>
    <t>Equipment Weight</t>
  </si>
  <si>
    <t>Total Direct Cost</t>
  </si>
  <si>
    <t>Equipment Cost</t>
  </si>
  <si>
    <t>LBS</t>
  </si>
  <si>
    <t>Miscellaneous Flowsheet Area</t>
  </si>
  <si>
    <t>T-111-flash vessel</t>
  </si>
  <si>
    <t xml:space="preserve">DVT CYLINDER  </t>
  </si>
  <si>
    <t>H-106</t>
  </si>
  <si>
    <t xml:space="preserve">DHE TEMA EXCH </t>
  </si>
  <si>
    <t>H-103</t>
  </si>
  <si>
    <t>VAL-123</t>
  </si>
  <si>
    <t xml:space="preserve">C             </t>
  </si>
  <si>
    <t>VAL-102</t>
  </si>
  <si>
    <t>H-105</t>
  </si>
  <si>
    <t>E-105-2</t>
  </si>
  <si>
    <t>C-120</t>
  </si>
  <si>
    <t xml:space="preserve">DGC CENTRIF   </t>
  </si>
  <si>
    <t>C-112</t>
  </si>
  <si>
    <t>R-107</t>
  </si>
  <si>
    <t>R-124</t>
  </si>
  <si>
    <t xml:space="preserve">DFLRDERRICK   </t>
  </si>
  <si>
    <t>R-110</t>
  </si>
  <si>
    <t xml:space="preserve">DVT JACKETED  </t>
  </si>
  <si>
    <t>C-119</t>
  </si>
  <si>
    <t>NH3_Cracking_126_FinalCompCost</t>
  </si>
  <si>
    <t>Project Description</t>
  </si>
  <si>
    <t>Analysis Date and Time</t>
  </si>
  <si>
    <t>Tue Jan 21 10:43:54 2025</t>
  </si>
  <si>
    <t>Simulator Type</t>
  </si>
  <si>
    <t>Aspen Plus</t>
  </si>
  <si>
    <t>Simulator Version</t>
  </si>
  <si>
    <t>Simulator Report File</t>
  </si>
  <si>
    <t>D:\Energy_Process_Project\Hyein\Aspen\NH3_Cracking_125_ScaleUp\_4123dli.xml</t>
  </si>
  <si>
    <t>Simulator Report Date</t>
  </si>
  <si>
    <t>Economic Analysis Type</t>
  </si>
  <si>
    <t>IPE</t>
  </si>
  <si>
    <t>Version</t>
  </si>
  <si>
    <t>41.0.0</t>
  </si>
  <si>
    <t>Project Directory</t>
  </si>
  <si>
    <t>C:\Users\Hyein\Documents\AspenTech\My Economic Evaluation V14.0 Files\My Econ_Process Projects\NH3_Cracking_126_FinalCompCost\NH3_Cracking_Unit</t>
  </si>
  <si>
    <t>Scenario Name</t>
  </si>
  <si>
    <t>NH3_Cracking_Unit</t>
  </si>
  <si>
    <t>Scenario Description</t>
  </si>
  <si>
    <t>Date</t>
  </si>
  <si>
    <t>Country</t>
  </si>
  <si>
    <t>US</t>
  </si>
  <si>
    <t>Units of Measure</t>
  </si>
  <si>
    <t>I-P</t>
  </si>
  <si>
    <t>Currency (Cost) Symbol</t>
  </si>
  <si>
    <t>U.S. DOLLAR</t>
  </si>
  <si>
    <t>Currency Conversion Rate</t>
  </si>
  <si>
    <t>USD/U.S. DOLLAR</t>
  </si>
  <si>
    <t>System Cost Base Date</t>
  </si>
  <si>
    <t>1Q 22</t>
  </si>
  <si>
    <t>Project Type</t>
  </si>
  <si>
    <t>Plant additions-inside existing plant</t>
  </si>
  <si>
    <t>Design code</t>
  </si>
  <si>
    <t>ASME</t>
  </si>
  <si>
    <t>Prepared By</t>
  </si>
  <si>
    <t>Plant Location</t>
  </si>
  <si>
    <t>Asia</t>
  </si>
  <si>
    <t>Capacity</t>
  </si>
  <si>
    <t>inf</t>
  </si>
  <si>
    <t>Time Difference Between System Cost Base Date and Start Date for Engineering</t>
  </si>
  <si>
    <t>Days</t>
  </si>
  <si>
    <t>User Currency Name</t>
  </si>
  <si>
    <t>DOLLARS</t>
  </si>
  <si>
    <t>User Currency Description</t>
  </si>
  <si>
    <t>U.S. DOLLARS</t>
  </si>
  <si>
    <t>User Currency Symbol</t>
  </si>
  <si>
    <t>USD</t>
  </si>
  <si>
    <t>Period Description</t>
  </si>
  <si>
    <t>Year</t>
  </si>
  <si>
    <t>Operating Hours per Period</t>
  </si>
  <si>
    <t>Hours/period</t>
  </si>
  <si>
    <t>Number of Weeks per Period</t>
  </si>
  <si>
    <t>Weeks/period</t>
  </si>
  <si>
    <t>Number of Periods for Analysis</t>
  </si>
  <si>
    <t>Start Date for Engineering</t>
  </si>
  <si>
    <t>Duration of EPC Phase</t>
  </si>
  <si>
    <t>Weeks</t>
  </si>
  <si>
    <t>Length of Start-up Period</t>
  </si>
  <si>
    <t>Duration of Construction Phase</t>
  </si>
  <si>
    <t>Completion Date for Construction</t>
  </si>
  <si>
    <t>Wednesday, November 05, 2025</t>
  </si>
  <si>
    <t>Working Capital Percentage</t>
  </si>
  <si>
    <t>Percent/period</t>
  </si>
  <si>
    <t>Operating Supplies (lump-sum)</t>
  </si>
  <si>
    <t>Laboratory Charges (lump-sum)</t>
  </si>
  <si>
    <t>User Entered Operating Charges (as percentage)</t>
  </si>
  <si>
    <t>Operating Charges (Percent of Operating Labor Costs)</t>
  </si>
  <si>
    <t>Plant Overhead (Percent of Operating Labor and Maintenance Costs)</t>
  </si>
  <si>
    <t>G and A Expenses (Percent of Subtotal Operating Costs)</t>
  </si>
  <si>
    <t>Tax Rate</t>
  </si>
  <si>
    <t>Interest Rate</t>
  </si>
  <si>
    <t xml:space="preserve">Economic Life of Project </t>
  </si>
  <si>
    <t>Salvage Value (Fraction of Initial Capital Cost)</t>
  </si>
  <si>
    <t>Depreciation Method</t>
  </si>
  <si>
    <t>Straight Line</t>
  </si>
  <si>
    <t>Project Capital Escalation</t>
  </si>
  <si>
    <t>Products Escalation</t>
  </si>
  <si>
    <t xml:space="preserve">Raw Material Escalation </t>
  </si>
  <si>
    <t>Operating and Maintenance Labor Escalation</t>
  </si>
  <si>
    <t>Utilities Escalation</t>
  </si>
  <si>
    <t>Total Project Capital Cost</t>
  </si>
  <si>
    <t>Cost</t>
  </si>
  <si>
    <t>Total Raw Materials Cost</t>
  </si>
  <si>
    <t>Total Products Sales</t>
  </si>
  <si>
    <t>Total Operating Labor and Maintenance Cost</t>
  </si>
  <si>
    <t>Total Utilities Cost</t>
  </si>
  <si>
    <t>Total Operating Cost</t>
  </si>
  <si>
    <t>Operating Labor Cost</t>
  </si>
  <si>
    <t>Maintenance Cost</t>
  </si>
  <si>
    <t>Operating Charges</t>
  </si>
  <si>
    <t>Plant Overhead</t>
  </si>
  <si>
    <t>Subtotal Operating Cost</t>
  </si>
  <si>
    <t>G and A Cost</t>
  </si>
  <si>
    <t>Total Cost</t>
  </si>
  <si>
    <t>Purchased Equipment</t>
  </si>
  <si>
    <t>Equipment Setting</t>
  </si>
  <si>
    <t>Piping</t>
  </si>
  <si>
    <t>Civil</t>
  </si>
  <si>
    <t>Steel</t>
  </si>
  <si>
    <t>Instrumentation</t>
  </si>
  <si>
    <t>Electrical</t>
  </si>
  <si>
    <t>Insulation</t>
  </si>
  <si>
    <t>Paint</t>
  </si>
  <si>
    <t>Other</t>
  </si>
  <si>
    <t>Subcontracts</t>
  </si>
  <si>
    <t>G and A Overheads</t>
  </si>
  <si>
    <t>Contract Fee</t>
  </si>
  <si>
    <t>Escalation</t>
  </si>
  <si>
    <t>Contingencies</t>
  </si>
  <si>
    <t>Special Charges</t>
  </si>
  <si>
    <t>Total Project Cost</t>
  </si>
  <si>
    <t>Adjusted Total Project Cost</t>
  </si>
  <si>
    <t>Basic Engineering</t>
  </si>
  <si>
    <t>Detail Engineering</t>
  </si>
  <si>
    <t>Material Procurement</t>
  </si>
  <si>
    <t>Home Office</t>
  </si>
  <si>
    <t>Total Design, Eng, Procurement Cost</t>
  </si>
  <si>
    <t>Raw Materials Cost per Hour</t>
  </si>
  <si>
    <t>Cost/Hour</t>
  </si>
  <si>
    <t>Products Sales per Hour</t>
  </si>
  <si>
    <t>Main Product Name</t>
  </si>
  <si>
    <t>Main Product Rate</t>
  </si>
  <si>
    <t>LB/H</t>
  </si>
  <si>
    <t>Main Product Unit Cost</t>
  </si>
  <si>
    <t>USD/LB</t>
  </si>
  <si>
    <t>Main Product Production Basis</t>
  </si>
  <si>
    <t>LB</t>
  </si>
  <si>
    <t>Main Product Rate per Period</t>
  </si>
  <si>
    <t>LB/Year</t>
  </si>
  <si>
    <t>Main Product Sales</t>
  </si>
  <si>
    <t>USD/Year</t>
  </si>
  <si>
    <t>By-product Sales</t>
  </si>
  <si>
    <t xml:space="preserve">Operating Labor </t>
  </si>
  <si>
    <t>Operators per Shift</t>
  </si>
  <si>
    <t>Unit Cost</t>
  </si>
  <si>
    <t>Cost/Operator/H</t>
  </si>
  <si>
    <t>Total Operating Labor Cost</t>
  </si>
  <si>
    <t>Maintenance</t>
  </si>
  <si>
    <t>Cost/8000 Hours</t>
  </si>
  <si>
    <t>Total Maintenance Cost</t>
  </si>
  <si>
    <t>Supervision</t>
  </si>
  <si>
    <t>Supervisors per Shift</t>
  </si>
  <si>
    <t>Cost/Supervisor/H</t>
  </si>
  <si>
    <t>Total Supervision Cost</t>
  </si>
  <si>
    <t>Electricity</t>
  </si>
  <si>
    <t>KW</t>
  </si>
  <si>
    <t>Cost/KWH</t>
  </si>
  <si>
    <t>Total Electricity Cost</t>
  </si>
  <si>
    <t>Potable  Water</t>
  </si>
  <si>
    <t>Cost/MMGAL</t>
  </si>
  <si>
    <t>Total Potable Water Cost</t>
  </si>
  <si>
    <t xml:space="preserve">Fuel  </t>
  </si>
  <si>
    <t>Cost/MMBTU</t>
  </si>
  <si>
    <t>Total Fuel Cost</t>
  </si>
  <si>
    <t xml:space="preserve">Instrument  Air </t>
  </si>
  <si>
    <t>Cost/KCF</t>
  </si>
  <si>
    <t>Total Instrument Air Cost</t>
  </si>
  <si>
    <t>ROR  (Desired Rate of Return/Interest Rate)</t>
  </si>
  <si>
    <t>DESRET  (Desired Return on Project for Sales Forecasting)</t>
  </si>
  <si>
    <t>Percent/Period</t>
  </si>
  <si>
    <t>SP  (Products Sales)</t>
  </si>
  <si>
    <t>SPF  (Forecasted Sales Annuity Factor)</t>
  </si>
  <si>
    <t>SF  (Forecasted Sales)</t>
  </si>
  <si>
    <t>S  (Total Sales)</t>
  </si>
  <si>
    <t>CAP  (Capital Costs)</t>
  </si>
  <si>
    <t>Unescalated Cumulative Capital Cost</t>
  </si>
  <si>
    <t>Capital Cost</t>
  </si>
  <si>
    <t xml:space="preserve">Cumulative Capital Cost </t>
  </si>
  <si>
    <t>Working Capital</t>
  </si>
  <si>
    <t>OP  (Operating Costs)</t>
  </si>
  <si>
    <t>Raw Materials</t>
  </si>
  <si>
    <t>Utilities</t>
  </si>
  <si>
    <t>Subtotal Operating Costs</t>
  </si>
  <si>
    <t>G and A Costs</t>
  </si>
  <si>
    <t>PVOP (Present Value of Cumulative Cash Outflows, Products)</t>
  </si>
  <si>
    <t>PVO (Present Value of Cumulative Cash Outflows)</t>
  </si>
  <si>
    <t>( - )</t>
  </si>
  <si>
    <t>(--)</t>
  </si>
  <si>
    <t>&lt; 1</t>
  </si>
  <si>
    <t>1.   Net Present Value analysis and Rate of Return analysis may yield conflicting results.  When this occurs, the results from the net present value analysis should be followed.</t>
  </si>
  <si>
    <t>Depreciation Factor</t>
  </si>
  <si>
    <t>Depreciation Expense</t>
  </si>
  <si>
    <t>Sum of the Digits</t>
  </si>
  <si>
    <t>Straight Line Depreciation</t>
  </si>
  <si>
    <t>Double Declining Balance</t>
  </si>
  <si>
    <t>Remaining Book Value after Double Declining Balance</t>
  </si>
  <si>
    <t>Depreciation Calculations using the Accelerated Cost Recovery System</t>
  </si>
  <si>
    <t>Total Percent Depreciated</t>
  </si>
  <si>
    <t>Remaining Book Value after Double Declining  Balance</t>
  </si>
  <si>
    <t>---------------------------------------------------------------------------------------</t>
  </si>
  <si>
    <t>Total Product Sales</t>
  </si>
  <si>
    <t>Desired Rate of Return</t>
  </si>
  <si>
    <t>Percent/'Year</t>
  </si>
  <si>
    <t>P.O. Period</t>
  </si>
  <si>
    <t>Report File</t>
  </si>
  <si>
    <t>Report Date</t>
  </si>
  <si>
    <t>Analysis Date</t>
  </si>
  <si>
    <t>Country Base</t>
  </si>
  <si>
    <t>KWH</t>
  </si>
  <si>
    <t xml:space="preserve">  </t>
  </si>
  <si>
    <t>AP-UTIL-CW</t>
  </si>
  <si>
    <t>Water</t>
  </si>
  <si>
    <t>BTU</t>
  </si>
  <si>
    <t>BTU/H</t>
  </si>
  <si>
    <t>PSIA</t>
  </si>
  <si>
    <t>DEG F</t>
  </si>
  <si>
    <t>AP-UTIL-CW-IN</t>
  </si>
  <si>
    <t>USD/H</t>
  </si>
  <si>
    <t>Mass Basis</t>
  </si>
  <si>
    <t>NH3</t>
  </si>
  <si>
    <t>Mass, Liquid</t>
  </si>
  <si>
    <t>Process Utilities Subtotal Cost</t>
    <phoneticPr fontId="0" type="noConversion"/>
  </si>
  <si>
    <t>Cost/period</t>
    <phoneticPr fontId="0" type="noConversion"/>
  </si>
  <si>
    <t>UTIL.ICS (Utilities)</t>
    <phoneticPr fontId="0" type="noConversion"/>
  </si>
  <si>
    <t>UTILRES.ICS (Utility Resources)</t>
    <phoneticPr fontId="0" type="noConversion"/>
  </si>
  <si>
    <t>RAWMATL.ICS (Raw Materials)</t>
    <phoneticPr fontId="0" type="noConversion"/>
  </si>
  <si>
    <t>PROD.ICS (Products)</t>
    <phoneticPr fontId="0" type="noConversion"/>
  </si>
  <si>
    <t>Time</t>
    <phoneticPr fontId="0" type="noConversion"/>
  </si>
  <si>
    <t>Project Name</t>
    <phoneticPr fontId="0" type="noConversion"/>
  </si>
  <si>
    <t>EPC Duration</t>
    <phoneticPr fontId="0" type="noConversion"/>
  </si>
  <si>
    <t>Project Capital Cost</t>
    <phoneticPr fontId="0" type="noConversion"/>
  </si>
  <si>
    <t>Operating Cost</t>
    <phoneticPr fontId="0" type="noConversion"/>
  </si>
  <si>
    <t>IRR</t>
    <phoneticPr fontId="0" type="noConversion"/>
  </si>
  <si>
    <t>Rate</t>
    <phoneticPr fontId="0" type="noConversion"/>
  </si>
  <si>
    <t>$/LB</t>
    <phoneticPr fontId="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</si>
</sst>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</font>
    <font>
      <b/>
      <sz val="10"/>
      <name val="Arial"/>
      <family val="2"/>
    </font>
    <font>
      <b/>
      <sz val="14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25">
    <xf numFmtId="0" fontId="0" fillId="0" borderId="0" xfId="0"/>
    <xf numFmtId="0" fontId="1" fillId="0" borderId="0" xfId="0" applyFont="1"/>
    <xf numFmtId="22" fontId="0" fillId="0" borderId="0" xfId="0" applyNumberFormat="1"/>
    <xf numFmtId="0" fontId="2" fillId="0" borderId="0" xfId="0" applyFont="1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15" fontId="0" fillId="0" borderId="0" xfId="0" applyNumberFormat="1" applyAlignment="1">
      <alignment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4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0" fontId="1" fillId="2" borderId="1" xfId="0" applyFont="1" applyFill="1" applyBorder="1" applyAlignment="1">
      <alignment horizontal="left"/>
    </xf>
    <xf numFmtId="0" fontId="0" fillId="0" borderId="0" xfId="0" applyAlignment="1">
      <alignment horizontal="right"/>
    </xf>
    <xf numFmtId="0" fontId="1" fillId="2" borderId="1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right"/>
    </xf>
    <xf numFmtId="0" fontId="0" fillId="2" borderId="1" xfId="0" applyFill="1" applyBorder="1" applyAlignment="1">
      <alignment horizontal="center"/>
    </xf>
    <xf numFmtId="22" fontId="4" fillId="0" borderId="0" xfId="0" applyNumberFormat="1" applyFont="1"/>
    <xf numFmtId="11" fontId="4" fillId="0" borderId="0" xfId="0" applyNumberFormat="1" applyFont="1"/>
    <xf numFmtId="0" fontId="0" fillId="0" borderId="0" xfId="0" applyAlignment="1">
      <alignment horizontal="center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</cellXfs>
  <cellStyles count="2">
    <cellStyle name="Normal_Equip Item Dets" xfId="1" xr:uid="{00000000-0005-0000-0000-000000000000}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6:H19"/>
  <sheetViews>
    <sheetView workbookViewId="0"/>
  </sheetViews>
  <sheetFormatPr defaultRowHeight="12.75" x14ac:dyDescent="0.2"/>
  <cols>
    <col min="2" max="2" width="8.85546875" customWidth="1"/>
    <col min="3" max="3" width="18.7109375" customWidth="1"/>
    <col min="4" max="4" width="13.28515625" bestFit="1" customWidth="1"/>
    <col min="5" max="5" width="13" bestFit="1" customWidth="1"/>
    <col min="6" max="6" width="18.85546875" bestFit="1" customWidth="1"/>
    <col min="7" max="7" width="14.42578125" bestFit="1" customWidth="1"/>
    <col min="8" max="8" width="13.42578125" customWidth="1"/>
  </cols>
  <sheetData>
    <row r="6" spans="3:8" s="1" customFormat="1" x14ac:dyDescent="0.2">
      <c r="C6" s="1" t="s">
        <v>379</v>
      </c>
      <c r="D6" s="1" t="s">
        <v>380</v>
      </c>
      <c r="E6" s="1" t="s">
        <v>381</v>
      </c>
      <c r="F6" s="1" t="s">
        <v>382</v>
      </c>
      <c r="G6" s="1" t="s">
        <v>383</v>
      </c>
      <c r="H6" s="1" t="s">
        <v>384</v>
      </c>
    </row>
    <row r="7" spans="3:8" s="9" customFormat="1" x14ac:dyDescent="0.2">
      <c r="C7" s="20">
        <v>45678.458758217595</v>
      </c>
      <c r="D7" s="9" t="s">
        <v>162</v>
      </c>
      <c r="E7" s="9">
        <v>44</v>
      </c>
      <c r="F7" s="21">
        <v>72604500</v>
      </c>
      <c r="G7" s="21">
        <v>135437000</v>
      </c>
      <c r="H7" s="9" t="s">
        <v>7</v>
      </c>
    </row>
    <row r="8" spans="3:8" x14ac:dyDescent="0.2">
      <c r="C8" s="2"/>
    </row>
    <row r="9" spans="3:8" x14ac:dyDescent="0.2">
      <c r="C9" s="2"/>
    </row>
    <row r="11" spans="3:8" x14ac:dyDescent="0.2">
      <c r="C11" s="2"/>
    </row>
    <row r="12" spans="3:8" x14ac:dyDescent="0.2">
      <c r="C12" s="2"/>
    </row>
    <row r="13" spans="3:8" x14ac:dyDescent="0.2">
      <c r="C13" s="2"/>
    </row>
    <row r="14" spans="3:8" x14ac:dyDescent="0.2">
      <c r="C14" s="2"/>
    </row>
    <row r="15" spans="3:8" x14ac:dyDescent="0.2">
      <c r="C15" s="2"/>
    </row>
    <row r="16" spans="3:8" x14ac:dyDescent="0.2">
      <c r="C16" s="2"/>
    </row>
    <row r="18" spans="3:3" x14ac:dyDescent="0.2">
      <c r="C18" s="2"/>
    </row>
    <row r="19" spans="3:3" x14ac:dyDescent="0.2">
      <c r="C19" s="2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D47"/>
  <sheetViews>
    <sheetView topLeftCell="A10" workbookViewId="0">
      <selection activeCell="B45" sqref="B45"/>
    </sheetView>
  </sheetViews>
  <sheetFormatPr defaultRowHeight="12.75" x14ac:dyDescent="0.2"/>
  <cols>
    <col min="1" max="1" width="40.85546875" customWidth="1"/>
    <col min="2" max="2" width="43.28515625" customWidth="1"/>
    <col min="3" max="3" width="14.28515625" customWidth="1"/>
  </cols>
  <sheetData>
    <row r="1" spans="1:4" ht="18" x14ac:dyDescent="0.25">
      <c r="A1" s="7"/>
      <c r="B1" s="7" t="s">
        <v>105</v>
      </c>
      <c r="C1" s="7"/>
      <c r="D1" s="3"/>
    </row>
    <row r="2" spans="1:4" x14ac:dyDescent="0.2">
      <c r="A2" s="4" t="s">
        <v>106</v>
      </c>
      <c r="B2" s="4"/>
      <c r="C2" s="4"/>
    </row>
    <row r="3" spans="1:4" x14ac:dyDescent="0.2">
      <c r="A3" s="4"/>
      <c r="B3" s="4"/>
      <c r="C3" s="4"/>
    </row>
    <row r="4" spans="1:4" x14ac:dyDescent="0.2">
      <c r="A4" s="8" t="s">
        <v>107</v>
      </c>
      <c r="B4" s="4" t="s">
        <v>162</v>
      </c>
      <c r="C4" s="4"/>
    </row>
    <row r="5" spans="1:4" x14ac:dyDescent="0.2">
      <c r="A5" s="4"/>
      <c r="B5" s="4"/>
      <c r="C5" s="4"/>
    </row>
    <row r="6" spans="1:4" x14ac:dyDescent="0.2">
      <c r="A6" s="8" t="s">
        <v>108</v>
      </c>
      <c r="B6" s="4" t="s">
        <v>200</v>
      </c>
      <c r="C6" s="4"/>
    </row>
    <row r="7" spans="1:4" x14ac:dyDescent="0.2">
      <c r="A7" s="4"/>
      <c r="B7" s="4"/>
      <c r="C7" s="4"/>
    </row>
    <row r="8" spans="1:4" x14ac:dyDescent="0.2">
      <c r="A8" s="8" t="s">
        <v>109</v>
      </c>
      <c r="B8" s="4" t="s">
        <v>198</v>
      </c>
      <c r="C8" s="4"/>
    </row>
    <row r="9" spans="1:4" x14ac:dyDescent="0.2">
      <c r="A9" s="4"/>
      <c r="B9" s="4"/>
      <c r="C9" s="4"/>
    </row>
    <row r="10" spans="1:4" x14ac:dyDescent="0.2">
      <c r="A10" s="8" t="s">
        <v>110</v>
      </c>
      <c r="B10" s="4"/>
      <c r="C10" s="4"/>
    </row>
    <row r="11" spans="1:4" x14ac:dyDescent="0.2">
      <c r="A11" s="4"/>
      <c r="B11" s="4"/>
      <c r="C11" s="4"/>
    </row>
    <row r="12" spans="1:4" x14ac:dyDescent="0.2">
      <c r="A12" s="4"/>
      <c r="B12" s="4"/>
      <c r="C12" s="4"/>
    </row>
    <row r="13" spans="1:4" x14ac:dyDescent="0.2">
      <c r="A13" s="4"/>
      <c r="B13" s="4"/>
      <c r="C13" s="4"/>
    </row>
    <row r="14" spans="1:4" x14ac:dyDescent="0.2">
      <c r="A14" s="8" t="s">
        <v>111</v>
      </c>
      <c r="B14" s="4" t="s">
        <v>351</v>
      </c>
      <c r="C14" s="4"/>
    </row>
    <row r="15" spans="1:4" x14ac:dyDescent="0.2">
      <c r="A15" s="4" t="s">
        <v>216</v>
      </c>
      <c r="B15" s="6">
        <v>45658</v>
      </c>
      <c r="C15" s="4"/>
    </row>
    <row r="16" spans="1:4" x14ac:dyDescent="0.2">
      <c r="A16" s="4" t="s">
        <v>217</v>
      </c>
      <c r="B16" s="4">
        <v>44</v>
      </c>
      <c r="C16" s="4" t="s">
        <v>218</v>
      </c>
    </row>
    <row r="17" spans="1:3" x14ac:dyDescent="0.2">
      <c r="A17" s="4" t="s">
        <v>221</v>
      </c>
      <c r="B17" s="4" t="s">
        <v>222</v>
      </c>
      <c r="C17" s="4"/>
    </row>
    <row r="18" spans="1:3" x14ac:dyDescent="0.2">
      <c r="A18" s="4" t="s">
        <v>219</v>
      </c>
      <c r="B18" s="4">
        <v>26</v>
      </c>
      <c r="C18" s="4" t="s">
        <v>218</v>
      </c>
    </row>
    <row r="19" spans="1:3" x14ac:dyDescent="0.2">
      <c r="A19" s="4"/>
      <c r="B19" s="4"/>
      <c r="C19" s="4"/>
    </row>
    <row r="20" spans="1:3" x14ac:dyDescent="0.2">
      <c r="A20" s="4"/>
      <c r="B20" s="4"/>
      <c r="C20" s="4"/>
    </row>
    <row r="21" spans="1:3" x14ac:dyDescent="0.2">
      <c r="A21" s="8" t="s">
        <v>112</v>
      </c>
      <c r="B21" s="4" t="s">
        <v>351</v>
      </c>
      <c r="C21" s="4"/>
    </row>
    <row r="22" spans="1:3" x14ac:dyDescent="0.2">
      <c r="A22" s="4" t="s">
        <v>188</v>
      </c>
      <c r="B22" s="4">
        <v>1</v>
      </c>
      <c r="C22" s="4" t="s">
        <v>189</v>
      </c>
    </row>
    <row r="23" spans="1:3" x14ac:dyDescent="0.2">
      <c r="A23" s="4" t="s">
        <v>242</v>
      </c>
      <c r="B23" s="5">
        <v>72604500</v>
      </c>
      <c r="C23" s="4" t="s">
        <v>208</v>
      </c>
    </row>
    <row r="24" spans="1:3" x14ac:dyDescent="0.2">
      <c r="A24" s="4" t="s">
        <v>248</v>
      </c>
      <c r="B24" s="5">
        <v>135437000</v>
      </c>
      <c r="C24" s="4" t="s">
        <v>292</v>
      </c>
    </row>
    <row r="25" spans="1:3" x14ac:dyDescent="0.2">
      <c r="A25" s="4" t="s">
        <v>244</v>
      </c>
      <c r="B25" s="5">
        <v>118629000</v>
      </c>
      <c r="C25" s="4" t="s">
        <v>292</v>
      </c>
    </row>
    <row r="26" spans="1:3" x14ac:dyDescent="0.2">
      <c r="A26" s="4" t="s">
        <v>247</v>
      </c>
      <c r="B26" s="5">
        <v>3930530</v>
      </c>
      <c r="C26" s="4" t="s">
        <v>292</v>
      </c>
    </row>
    <row r="27" spans="1:3" x14ac:dyDescent="0.2">
      <c r="A27" s="4" t="s">
        <v>352</v>
      </c>
      <c r="B27" s="5">
        <v>2381490</v>
      </c>
      <c r="C27" s="4" t="s">
        <v>292</v>
      </c>
    </row>
    <row r="28" spans="1:3" x14ac:dyDescent="0.2">
      <c r="A28" s="4" t="s">
        <v>353</v>
      </c>
      <c r="B28" s="4">
        <v>4</v>
      </c>
      <c r="C28" s="4" t="s">
        <v>354</v>
      </c>
    </row>
    <row r="29" spans="1:3" x14ac:dyDescent="0.2">
      <c r="A29" s="4" t="s">
        <v>355</v>
      </c>
      <c r="B29" s="4">
        <v>0</v>
      </c>
      <c r="C29" s="4" t="s">
        <v>210</v>
      </c>
    </row>
    <row r="30" spans="1:3" x14ac:dyDescent="0.2">
      <c r="A30" s="4"/>
      <c r="B30" s="4"/>
      <c r="C30" s="4"/>
    </row>
    <row r="31" spans="1:3" x14ac:dyDescent="0.2">
      <c r="A31" s="4" t="s">
        <v>113</v>
      </c>
      <c r="B31" s="4" t="s">
        <v>351</v>
      </c>
      <c r="C31" s="4"/>
    </row>
    <row r="32" spans="1:3" x14ac:dyDescent="0.2">
      <c r="A32" s="8" t="s">
        <v>166</v>
      </c>
      <c r="B32" s="4" t="s">
        <v>167</v>
      </c>
      <c r="C32" s="4"/>
    </row>
    <row r="33" spans="1:3" x14ac:dyDescent="0.2">
      <c r="A33" s="4" t="s">
        <v>174</v>
      </c>
      <c r="B33" s="4"/>
      <c r="C33" s="4"/>
    </row>
    <row r="34" spans="1:3" x14ac:dyDescent="0.2">
      <c r="A34" s="4" t="s">
        <v>356</v>
      </c>
      <c r="B34" s="4" t="s">
        <v>170</v>
      </c>
      <c r="C34" s="4"/>
    </row>
    <row r="35" spans="1:3" x14ac:dyDescent="0.2">
      <c r="A35" s="4" t="s">
        <v>357</v>
      </c>
      <c r="B35" s="4"/>
      <c r="C35" s="4"/>
    </row>
    <row r="36" spans="1:3" x14ac:dyDescent="0.2">
      <c r="A36" s="4"/>
      <c r="B36" s="4"/>
      <c r="C36" s="4"/>
    </row>
    <row r="37" spans="1:3" x14ac:dyDescent="0.2">
      <c r="A37" s="4" t="s">
        <v>172</v>
      </c>
      <c r="B37" s="4" t="s">
        <v>173</v>
      </c>
      <c r="C37" s="4"/>
    </row>
    <row r="38" spans="1:3" x14ac:dyDescent="0.2">
      <c r="A38" s="8" t="s">
        <v>174</v>
      </c>
      <c r="B38" s="4" t="s">
        <v>175</v>
      </c>
      <c r="C38" s="4"/>
    </row>
    <row r="39" spans="1:3" x14ac:dyDescent="0.2">
      <c r="A39" s="4" t="s">
        <v>190</v>
      </c>
      <c r="B39" s="4" t="s">
        <v>191</v>
      </c>
      <c r="C39" s="4"/>
    </row>
    <row r="40" spans="1:3" x14ac:dyDescent="0.2">
      <c r="A40" s="4" t="s">
        <v>176</v>
      </c>
      <c r="B40" s="4" t="s">
        <v>177</v>
      </c>
      <c r="C40" s="4"/>
    </row>
    <row r="41" spans="1:3" x14ac:dyDescent="0.2">
      <c r="A41" s="4" t="s">
        <v>358</v>
      </c>
      <c r="B41" s="4" t="s">
        <v>165</v>
      </c>
      <c r="C41" s="4"/>
    </row>
    <row r="42" spans="1:3" x14ac:dyDescent="0.2">
      <c r="A42" s="4" t="s">
        <v>359</v>
      </c>
      <c r="B42" s="4" t="s">
        <v>183</v>
      </c>
      <c r="C42" s="4"/>
    </row>
    <row r="43" spans="1:3" x14ac:dyDescent="0.2">
      <c r="A43" s="4" t="s">
        <v>192</v>
      </c>
      <c r="B43" s="4" t="s">
        <v>193</v>
      </c>
      <c r="C43" s="4"/>
    </row>
    <row r="44" spans="1:3" x14ac:dyDescent="0.2">
      <c r="A44" s="4" t="s">
        <v>194</v>
      </c>
      <c r="B44" s="4" t="s">
        <v>195</v>
      </c>
      <c r="C44" s="4"/>
    </row>
    <row r="45" spans="1:3" x14ac:dyDescent="0.2">
      <c r="A45" s="4" t="s">
        <v>196</v>
      </c>
      <c r="B45" s="4"/>
      <c r="C45" s="4"/>
    </row>
    <row r="46" spans="1:3" x14ac:dyDescent="0.2">
      <c r="A46" s="4"/>
      <c r="B46" s="4"/>
      <c r="C46" s="4"/>
    </row>
    <row r="47" spans="1:3" x14ac:dyDescent="0.2">
      <c r="A47" s="4" t="s">
        <v>114</v>
      </c>
      <c r="B47" s="4" t="s">
        <v>351</v>
      </c>
      <c r="C47" s="4"/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A194"/>
  <sheetViews>
    <sheetView workbookViewId="0"/>
  </sheetViews>
  <sheetFormatPr defaultRowHeight="12.75" x14ac:dyDescent="0.2"/>
  <cols>
    <col min="1" max="1" width="70.7109375" customWidth="1"/>
    <col min="2" max="2" width="17.5703125" bestFit="1" customWidth="1"/>
    <col min="3" max="3" width="12.42578125" bestFit="1" customWidth="1"/>
    <col min="4" max="12" width="10.7109375" bestFit="1" customWidth="1"/>
    <col min="13" max="13" width="10.28515625" bestFit="1" customWidth="1"/>
    <col min="14" max="15" width="10.7109375" bestFit="1" customWidth="1"/>
    <col min="16" max="16" width="10.28515625" bestFit="1" customWidth="1"/>
    <col min="17" max="17" width="10.7109375" bestFit="1" customWidth="1"/>
    <col min="18" max="23" width="10.28515625" bestFit="1" customWidth="1"/>
  </cols>
  <sheetData>
    <row r="1" spans="1:53" ht="18" x14ac:dyDescent="0.2">
      <c r="A1" s="7" t="s">
        <v>36</v>
      </c>
      <c r="B1" s="8" t="s">
        <v>210</v>
      </c>
      <c r="C1" s="8">
        <v>0</v>
      </c>
      <c r="D1" s="8">
        <v>1</v>
      </c>
      <c r="E1" s="8">
        <v>2</v>
      </c>
      <c r="F1" s="8">
        <v>3</v>
      </c>
      <c r="G1" s="8">
        <v>4</v>
      </c>
      <c r="H1" s="8">
        <v>5</v>
      </c>
      <c r="I1" s="8">
        <v>6</v>
      </c>
      <c r="J1" s="8">
        <v>7</v>
      </c>
      <c r="K1" s="8">
        <v>8</v>
      </c>
      <c r="L1" s="8">
        <v>9</v>
      </c>
      <c r="M1" s="8">
        <v>10</v>
      </c>
      <c r="N1" s="8">
        <v>11</v>
      </c>
      <c r="O1" s="8">
        <v>12</v>
      </c>
      <c r="P1" s="8">
        <v>13</v>
      </c>
      <c r="Q1" s="8">
        <v>14</v>
      </c>
      <c r="R1" s="8">
        <v>15</v>
      </c>
      <c r="S1" s="8">
        <v>16</v>
      </c>
      <c r="T1" s="8">
        <v>17</v>
      </c>
      <c r="U1" s="8">
        <v>18</v>
      </c>
      <c r="V1" s="8">
        <v>19</v>
      </c>
      <c r="W1" s="8">
        <v>20</v>
      </c>
      <c r="X1" s="4">
        <v>21</v>
      </c>
      <c r="Y1" s="4">
        <v>22</v>
      </c>
      <c r="Z1" s="4">
        <v>23</v>
      </c>
      <c r="AA1" s="4">
        <v>24</v>
      </c>
      <c r="AB1" s="4">
        <v>25</v>
      </c>
      <c r="AC1" s="4">
        <v>26</v>
      </c>
      <c r="AD1" s="4">
        <v>27</v>
      </c>
      <c r="AE1" s="4">
        <v>28</v>
      </c>
      <c r="AF1" s="4">
        <v>29</v>
      </c>
      <c r="AG1" s="4">
        <v>30</v>
      </c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</row>
    <row r="2" spans="1:53" x14ac:dyDescent="0.2">
      <c r="A2" s="4"/>
      <c r="B2" s="4" t="s">
        <v>7</v>
      </c>
      <c r="C2" s="4"/>
      <c r="D2" s="4"/>
      <c r="E2" s="4"/>
      <c r="F2" s="4"/>
      <c r="G2" s="4"/>
      <c r="H2" s="4" t="s">
        <v>7</v>
      </c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</row>
    <row r="3" spans="1:53" x14ac:dyDescent="0.2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</row>
    <row r="4" spans="1:53" x14ac:dyDescent="0.2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</row>
    <row r="5" spans="1:53" x14ac:dyDescent="0.2">
      <c r="A5" s="8" t="s">
        <v>8</v>
      </c>
      <c r="B5" s="8" t="s">
        <v>9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</row>
    <row r="6" spans="1:53" x14ac:dyDescent="0.2">
      <c r="A6" s="4"/>
      <c r="B6" s="4"/>
      <c r="C6" s="4"/>
      <c r="D6" s="4"/>
      <c r="E6" s="4"/>
      <c r="F6" s="4"/>
      <c r="G6" s="4" t="s">
        <v>7</v>
      </c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</row>
    <row r="7" spans="1:53" x14ac:dyDescent="0.2">
      <c r="A7" s="4" t="s">
        <v>37</v>
      </c>
      <c r="B7" s="4" t="s">
        <v>214</v>
      </c>
      <c r="C7" s="4">
        <v>52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</row>
    <row r="8" spans="1:53" x14ac:dyDescent="0.2">
      <c r="A8" s="4" t="s">
        <v>38</v>
      </c>
      <c r="B8" s="4" t="s">
        <v>15</v>
      </c>
      <c r="C8" s="4">
        <v>30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 t="s">
        <v>7</v>
      </c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</row>
    <row r="9" spans="1:53" x14ac:dyDescent="0.2">
      <c r="A9" s="4" t="s">
        <v>39</v>
      </c>
      <c r="B9" s="4" t="s">
        <v>15</v>
      </c>
      <c r="C9" s="4">
        <v>0.84615399999999996</v>
      </c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</row>
    <row r="10" spans="1:53" x14ac:dyDescent="0.2">
      <c r="A10" s="4" t="s">
        <v>40</v>
      </c>
      <c r="B10" s="4" t="s">
        <v>15</v>
      </c>
      <c r="C10" s="4">
        <v>1.34615</v>
      </c>
      <c r="D10" s="4"/>
      <c r="E10" s="4"/>
      <c r="F10" s="4" t="s">
        <v>7</v>
      </c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</row>
    <row r="11" spans="1:53" x14ac:dyDescent="0.2">
      <c r="A11" s="4" t="s">
        <v>41</v>
      </c>
      <c r="B11" s="4" t="s">
        <v>224</v>
      </c>
      <c r="C11" s="4">
        <v>5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</row>
    <row r="12" spans="1:53" x14ac:dyDescent="0.2">
      <c r="A12" s="4" t="s">
        <v>95</v>
      </c>
      <c r="B12" s="4" t="s">
        <v>224</v>
      </c>
      <c r="C12" s="4">
        <v>25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</row>
    <row r="13" spans="1:53" x14ac:dyDescent="0.2">
      <c r="A13" s="4" t="s">
        <v>96</v>
      </c>
      <c r="B13" s="4" t="s">
        <v>224</v>
      </c>
      <c r="C13" s="4">
        <v>50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</row>
    <row r="14" spans="1:53" x14ac:dyDescent="0.2">
      <c r="A14" s="4" t="s">
        <v>42</v>
      </c>
      <c r="B14" s="4" t="s">
        <v>243</v>
      </c>
      <c r="C14" s="5">
        <v>72604500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</row>
    <row r="15" spans="1:53" x14ac:dyDescent="0.2">
      <c r="A15" s="4" t="s">
        <v>43</v>
      </c>
      <c r="B15" s="4" t="s">
        <v>19</v>
      </c>
      <c r="C15" s="5">
        <v>118629000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</row>
    <row r="16" spans="1:53" x14ac:dyDescent="0.2">
      <c r="A16" s="4" t="s">
        <v>44</v>
      </c>
      <c r="B16" s="4" t="s">
        <v>19</v>
      </c>
      <c r="C16" s="5">
        <v>2381490</v>
      </c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</row>
    <row r="17" spans="1:53" x14ac:dyDescent="0.2">
      <c r="A17" s="4" t="s">
        <v>97</v>
      </c>
      <c r="B17" s="4" t="s">
        <v>19</v>
      </c>
      <c r="C17" s="5">
        <v>1770000</v>
      </c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</row>
    <row r="18" spans="1:53" x14ac:dyDescent="0.2">
      <c r="A18" s="4" t="s">
        <v>45</v>
      </c>
      <c r="B18" s="4" t="s">
        <v>19</v>
      </c>
      <c r="C18" s="5">
        <v>3930530</v>
      </c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</row>
    <row r="19" spans="1:53" x14ac:dyDescent="0.2">
      <c r="A19" s="4" t="s">
        <v>319</v>
      </c>
      <c r="B19" s="4" t="s">
        <v>224</v>
      </c>
      <c r="C19" s="4">
        <v>4</v>
      </c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</row>
    <row r="20" spans="1:53" x14ac:dyDescent="0.2">
      <c r="A20" s="4" t="s">
        <v>98</v>
      </c>
      <c r="B20" s="4"/>
      <c r="C20" s="4">
        <v>25</v>
      </c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</row>
    <row r="21" spans="1:53" x14ac:dyDescent="0.2">
      <c r="A21" s="4" t="s">
        <v>46</v>
      </c>
      <c r="B21" s="4" t="s">
        <v>224</v>
      </c>
      <c r="C21" s="4">
        <v>40</v>
      </c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</row>
    <row r="22" spans="1:53" x14ac:dyDescent="0.2">
      <c r="A22" s="4" t="s">
        <v>99</v>
      </c>
      <c r="B22" s="4"/>
      <c r="C22" s="4">
        <v>1.04</v>
      </c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</row>
    <row r="23" spans="1:53" x14ac:dyDescent="0.2">
      <c r="A23" s="4" t="s">
        <v>47</v>
      </c>
      <c r="B23" s="4" t="s">
        <v>15</v>
      </c>
      <c r="C23" s="4">
        <v>30</v>
      </c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</row>
    <row r="24" spans="1:53" x14ac:dyDescent="0.2">
      <c r="A24" s="4" t="s">
        <v>89</v>
      </c>
      <c r="B24" s="4" t="s">
        <v>21</v>
      </c>
      <c r="C24" s="4">
        <v>0</v>
      </c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</row>
    <row r="25" spans="1:53" x14ac:dyDescent="0.2">
      <c r="A25" s="4" t="s">
        <v>48</v>
      </c>
      <c r="B25" s="4"/>
      <c r="C25" s="4" t="s">
        <v>236</v>
      </c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</row>
    <row r="26" spans="1:53" x14ac:dyDescent="0.2">
      <c r="A26" s="4" t="s">
        <v>49</v>
      </c>
      <c r="B26" s="4"/>
      <c r="C26" s="4">
        <v>1</v>
      </c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</row>
    <row r="27" spans="1:53" x14ac:dyDescent="0.2">
      <c r="A27" s="4" t="s">
        <v>50</v>
      </c>
      <c r="B27" s="4" t="s">
        <v>224</v>
      </c>
      <c r="C27" s="4">
        <v>5</v>
      </c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</row>
    <row r="28" spans="1:53" x14ac:dyDescent="0.2">
      <c r="A28" s="4" t="s">
        <v>51</v>
      </c>
      <c r="B28" s="4" t="s">
        <v>224</v>
      </c>
      <c r="C28" s="4">
        <v>5</v>
      </c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</row>
    <row r="29" spans="1:53" x14ac:dyDescent="0.2">
      <c r="A29" s="4" t="s">
        <v>52</v>
      </c>
      <c r="B29" s="4" t="s">
        <v>224</v>
      </c>
      <c r="C29" s="4">
        <v>3.5</v>
      </c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</row>
    <row r="30" spans="1:53" x14ac:dyDescent="0.2">
      <c r="A30" s="4" t="s">
        <v>53</v>
      </c>
      <c r="B30" s="4" t="s">
        <v>224</v>
      </c>
      <c r="C30" s="4">
        <v>3</v>
      </c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</row>
    <row r="31" spans="1:53" x14ac:dyDescent="0.2">
      <c r="A31" s="4" t="s">
        <v>54</v>
      </c>
      <c r="B31" s="4" t="s">
        <v>224</v>
      </c>
      <c r="C31" s="4">
        <v>3</v>
      </c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</row>
    <row r="32" spans="1:53" x14ac:dyDescent="0.2">
      <c r="A32" s="4" t="s">
        <v>90</v>
      </c>
      <c r="B32" s="4" t="s">
        <v>15</v>
      </c>
      <c r="C32" s="4">
        <v>1</v>
      </c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</row>
    <row r="33" spans="1:53" x14ac:dyDescent="0.2">
      <c r="A33" s="4" t="s">
        <v>55</v>
      </c>
      <c r="B33" s="4" t="s">
        <v>15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</row>
    <row r="34" spans="1:53" x14ac:dyDescent="0.2">
      <c r="A34" s="4" t="s">
        <v>56</v>
      </c>
      <c r="B34" s="4" t="s">
        <v>15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</row>
    <row r="35" spans="1:53" x14ac:dyDescent="0.2">
      <c r="A35" s="4" t="s">
        <v>320</v>
      </c>
      <c r="B35" s="4" t="s">
        <v>321</v>
      </c>
      <c r="C35" s="4">
        <v>10.5</v>
      </c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</row>
    <row r="36" spans="1:53" x14ac:dyDescent="0.2">
      <c r="A36" s="4" t="s">
        <v>91</v>
      </c>
      <c r="B36" s="4" t="s">
        <v>15</v>
      </c>
      <c r="C36" s="4">
        <v>30</v>
      </c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</row>
    <row r="37" spans="1:53" x14ac:dyDescent="0.2">
      <c r="A37" s="4" t="s">
        <v>100</v>
      </c>
      <c r="B37" s="4" t="s">
        <v>321</v>
      </c>
      <c r="C37" s="4">
        <v>8</v>
      </c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</row>
    <row r="38" spans="1:53" x14ac:dyDescent="0.2">
      <c r="A38" s="4" t="s">
        <v>101</v>
      </c>
      <c r="B38" s="4" t="s">
        <v>15</v>
      </c>
      <c r="C38" s="4">
        <v>0.5</v>
      </c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</row>
    <row r="39" spans="1:53" x14ac:dyDescent="0.2">
      <c r="A39" s="4" t="s">
        <v>102</v>
      </c>
      <c r="B39" s="4" t="s">
        <v>19</v>
      </c>
      <c r="C39" s="4">
        <v>760000</v>
      </c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</row>
    <row r="40" spans="1:53" x14ac:dyDescent="0.2">
      <c r="A40" s="4" t="s">
        <v>103</v>
      </c>
      <c r="B40" s="4" t="s">
        <v>19</v>
      </c>
      <c r="C40" s="5">
        <v>1010000</v>
      </c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</row>
    <row r="41" spans="1:53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</row>
    <row r="42" spans="1:53" x14ac:dyDescent="0.2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</row>
    <row r="43" spans="1:53" x14ac:dyDescent="0.2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</row>
    <row r="44" spans="1:53" x14ac:dyDescent="0.2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</row>
    <row r="45" spans="1:53" x14ac:dyDescent="0.2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</row>
    <row r="46" spans="1:53" x14ac:dyDescent="0.2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</row>
    <row r="47" spans="1:53" x14ac:dyDescent="0.2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</row>
    <row r="48" spans="1:53" x14ac:dyDescent="0.2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</row>
    <row r="49" spans="1:53" x14ac:dyDescent="0.2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</row>
    <row r="50" spans="1:53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</row>
    <row r="51" spans="1:53" x14ac:dyDescent="0.2">
      <c r="A51" s="4" t="s">
        <v>57</v>
      </c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</row>
    <row r="52" spans="1:53" x14ac:dyDescent="0.2">
      <c r="A52" s="4" t="s">
        <v>322</v>
      </c>
      <c r="B52" s="4" t="s">
        <v>33</v>
      </c>
      <c r="C52" s="4">
        <v>0</v>
      </c>
      <c r="D52" s="4">
        <v>0</v>
      </c>
      <c r="E52" s="5">
        <v>1716730</v>
      </c>
      <c r="F52" s="5">
        <v>2756870</v>
      </c>
      <c r="G52" s="5">
        <v>2894710</v>
      </c>
      <c r="H52" s="5">
        <v>3039450</v>
      </c>
      <c r="I52" s="5">
        <v>3191420</v>
      </c>
      <c r="J52" s="5">
        <v>3350990</v>
      </c>
      <c r="K52" s="5">
        <v>3518540</v>
      </c>
      <c r="L52" s="5">
        <v>3694470</v>
      </c>
      <c r="M52" s="5">
        <v>3879190</v>
      </c>
      <c r="N52" s="5">
        <v>4073150</v>
      </c>
      <c r="O52" s="5">
        <v>4276810</v>
      </c>
      <c r="P52" s="5">
        <v>4490650</v>
      </c>
      <c r="Q52" s="5">
        <v>4715180</v>
      </c>
      <c r="R52" s="5">
        <v>4950940</v>
      </c>
      <c r="S52" s="5">
        <v>5198480</v>
      </c>
      <c r="T52" s="5">
        <v>5458410</v>
      </c>
      <c r="U52" s="5">
        <v>5731330</v>
      </c>
      <c r="V52" s="5">
        <v>6017890</v>
      </c>
      <c r="W52" s="5">
        <v>6318790</v>
      </c>
      <c r="X52" s="5">
        <v>6634730</v>
      </c>
      <c r="Y52" s="5">
        <v>6966460</v>
      </c>
      <c r="Z52" s="5">
        <v>7314790</v>
      </c>
      <c r="AA52" s="5">
        <v>7680530</v>
      </c>
      <c r="AB52" s="5">
        <v>8064550</v>
      </c>
      <c r="AC52" s="5">
        <v>8467780</v>
      </c>
      <c r="AD52" s="5">
        <v>8891170</v>
      </c>
      <c r="AE52" s="5">
        <v>9335730</v>
      </c>
      <c r="AF52" s="5">
        <v>9802520</v>
      </c>
      <c r="AG52" s="5">
        <v>10292600</v>
      </c>
      <c r="AH52" s="4">
        <v>0</v>
      </c>
      <c r="AI52" s="4">
        <v>0</v>
      </c>
      <c r="AJ52" s="4">
        <v>0</v>
      </c>
      <c r="AK52" s="4">
        <v>0</v>
      </c>
      <c r="AL52" s="4">
        <v>0</v>
      </c>
      <c r="AM52" s="4">
        <v>0</v>
      </c>
      <c r="AN52" s="4">
        <v>0</v>
      </c>
      <c r="AO52" s="4">
        <v>0</v>
      </c>
      <c r="AP52" s="4">
        <v>0</v>
      </c>
      <c r="AQ52" s="4">
        <v>0</v>
      </c>
      <c r="AR52" s="4">
        <v>0</v>
      </c>
      <c r="AS52" s="4">
        <v>0</v>
      </c>
      <c r="AT52" s="4">
        <v>0</v>
      </c>
      <c r="AU52" s="4">
        <v>0</v>
      </c>
      <c r="AV52" s="4">
        <v>0</v>
      </c>
      <c r="AW52" s="4">
        <v>0</v>
      </c>
      <c r="AX52" s="4">
        <v>0</v>
      </c>
      <c r="AY52" s="4">
        <v>0</v>
      </c>
      <c r="AZ52" s="4">
        <v>0</v>
      </c>
      <c r="BA52" s="4">
        <v>0</v>
      </c>
    </row>
    <row r="53" spans="1:53" x14ac:dyDescent="0.2">
      <c r="A53" s="4" t="s">
        <v>323</v>
      </c>
      <c r="B53" s="4"/>
      <c r="C53" s="4">
        <v>0</v>
      </c>
      <c r="D53" s="4">
        <v>0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  <c r="J53" s="4">
        <v>0</v>
      </c>
      <c r="K53" s="4">
        <v>0</v>
      </c>
      <c r="L53" s="4">
        <v>0</v>
      </c>
      <c r="M53" s="4">
        <v>0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v>0</v>
      </c>
      <c r="W53" s="4">
        <v>0</v>
      </c>
      <c r="X53" s="4">
        <v>0</v>
      </c>
      <c r="Y53" s="4">
        <v>0</v>
      </c>
      <c r="Z53" s="4">
        <v>0</v>
      </c>
      <c r="AA53" s="4">
        <v>0</v>
      </c>
      <c r="AB53" s="4">
        <v>0</v>
      </c>
      <c r="AC53" s="4">
        <v>0</v>
      </c>
      <c r="AD53" s="4">
        <v>0</v>
      </c>
      <c r="AE53" s="4">
        <v>0</v>
      </c>
      <c r="AF53" s="4">
        <v>0</v>
      </c>
      <c r="AG53" s="4">
        <v>0</v>
      </c>
      <c r="AH53" s="4">
        <v>0</v>
      </c>
      <c r="AI53" s="4">
        <v>0</v>
      </c>
      <c r="AJ53" s="4">
        <v>0</v>
      </c>
      <c r="AK53" s="4">
        <v>0</v>
      </c>
      <c r="AL53" s="4">
        <v>0</v>
      </c>
      <c r="AM53" s="4">
        <v>0</v>
      </c>
      <c r="AN53" s="4">
        <v>0</v>
      </c>
      <c r="AO53" s="4">
        <v>0</v>
      </c>
      <c r="AP53" s="4">
        <v>0</v>
      </c>
      <c r="AQ53" s="4">
        <v>0</v>
      </c>
      <c r="AR53" s="4">
        <v>0</v>
      </c>
      <c r="AS53" s="4">
        <v>0</v>
      </c>
      <c r="AT53" s="4">
        <v>0</v>
      </c>
      <c r="AU53" s="4">
        <v>0</v>
      </c>
      <c r="AV53" s="4">
        <v>0</v>
      </c>
      <c r="AW53" s="4">
        <v>0</v>
      </c>
      <c r="AX53" s="4">
        <v>0</v>
      </c>
      <c r="AY53" s="4">
        <v>0</v>
      </c>
      <c r="AZ53" s="4">
        <v>0</v>
      </c>
      <c r="BA53" s="4">
        <v>0</v>
      </c>
    </row>
    <row r="54" spans="1:53" x14ac:dyDescent="0.2">
      <c r="A54" s="4" t="s">
        <v>324</v>
      </c>
      <c r="B54" s="4" t="s">
        <v>33</v>
      </c>
      <c r="C54" s="4">
        <v>0</v>
      </c>
      <c r="D54" s="4">
        <v>0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  <c r="J54" s="4">
        <v>0</v>
      </c>
      <c r="K54" s="4">
        <v>0</v>
      </c>
      <c r="L54" s="4">
        <v>0</v>
      </c>
      <c r="M54" s="4">
        <v>0</v>
      </c>
      <c r="N54" s="4">
        <v>0</v>
      </c>
      <c r="O54" s="4">
        <v>0</v>
      </c>
      <c r="P54" s="4">
        <v>0</v>
      </c>
      <c r="Q54" s="4">
        <v>0</v>
      </c>
      <c r="R54" s="4">
        <v>0</v>
      </c>
      <c r="S54" s="4">
        <v>0</v>
      </c>
      <c r="T54" s="4">
        <v>0</v>
      </c>
      <c r="U54" s="4">
        <v>0</v>
      </c>
      <c r="V54" s="4">
        <v>0</v>
      </c>
      <c r="W54" s="4">
        <v>0</v>
      </c>
      <c r="X54" s="4">
        <v>0</v>
      </c>
      <c r="Y54" s="4">
        <v>0</v>
      </c>
      <c r="Z54" s="4">
        <v>0</v>
      </c>
      <c r="AA54" s="4">
        <v>0</v>
      </c>
      <c r="AB54" s="4">
        <v>0</v>
      </c>
      <c r="AC54" s="4">
        <v>0</v>
      </c>
      <c r="AD54" s="4">
        <v>0</v>
      </c>
      <c r="AE54" s="4">
        <v>0</v>
      </c>
      <c r="AF54" s="4">
        <v>0</v>
      </c>
      <c r="AG54" s="4">
        <v>0</v>
      </c>
      <c r="AH54" s="4">
        <v>0</v>
      </c>
      <c r="AI54" s="4">
        <v>0</v>
      </c>
      <c r="AJ54" s="4">
        <v>0</v>
      </c>
      <c r="AK54" s="4">
        <v>0</v>
      </c>
      <c r="AL54" s="4">
        <v>0</v>
      </c>
      <c r="AM54" s="4">
        <v>0</v>
      </c>
      <c r="AN54" s="4">
        <v>0</v>
      </c>
      <c r="AO54" s="4">
        <v>0</v>
      </c>
      <c r="AP54" s="4">
        <v>0</v>
      </c>
      <c r="AQ54" s="4">
        <v>0</v>
      </c>
      <c r="AR54" s="4">
        <v>0</v>
      </c>
      <c r="AS54" s="4">
        <v>0</v>
      </c>
      <c r="AT54" s="4">
        <v>0</v>
      </c>
      <c r="AU54" s="4">
        <v>0</v>
      </c>
      <c r="AV54" s="4">
        <v>0</v>
      </c>
      <c r="AW54" s="4">
        <v>0</v>
      </c>
      <c r="AX54" s="4">
        <v>0</v>
      </c>
      <c r="AY54" s="4">
        <v>0</v>
      </c>
      <c r="AZ54" s="4">
        <v>0</v>
      </c>
      <c r="BA54" s="4">
        <v>0</v>
      </c>
    </row>
    <row r="55" spans="1:53" x14ac:dyDescent="0.2">
      <c r="A55" s="4" t="s">
        <v>325</v>
      </c>
      <c r="B55" s="4" t="s">
        <v>33</v>
      </c>
      <c r="C55" s="4">
        <v>0</v>
      </c>
      <c r="D55" s="4">
        <v>0</v>
      </c>
      <c r="E55" s="5">
        <v>1716730</v>
      </c>
      <c r="F55" s="5">
        <v>2756870</v>
      </c>
      <c r="G55" s="5">
        <v>2894710</v>
      </c>
      <c r="H55" s="5">
        <v>3039450</v>
      </c>
      <c r="I55" s="5">
        <v>3191420</v>
      </c>
      <c r="J55" s="5">
        <v>3350990</v>
      </c>
      <c r="K55" s="5">
        <v>3518540</v>
      </c>
      <c r="L55" s="5">
        <v>3694470</v>
      </c>
      <c r="M55" s="5">
        <v>3879190</v>
      </c>
      <c r="N55" s="5">
        <v>4073150</v>
      </c>
      <c r="O55" s="5">
        <v>4276810</v>
      </c>
      <c r="P55" s="5">
        <v>4490650</v>
      </c>
      <c r="Q55" s="5">
        <v>4715180</v>
      </c>
      <c r="R55" s="5">
        <v>4950940</v>
      </c>
      <c r="S55" s="5">
        <v>5198480</v>
      </c>
      <c r="T55" s="5">
        <v>5458410</v>
      </c>
      <c r="U55" s="5">
        <v>5731330</v>
      </c>
      <c r="V55" s="5">
        <v>6017890</v>
      </c>
      <c r="W55" s="5">
        <v>6318790</v>
      </c>
      <c r="X55" s="5">
        <v>6634730</v>
      </c>
      <c r="Y55" s="5">
        <v>6966460</v>
      </c>
      <c r="Z55" s="5">
        <v>7314790</v>
      </c>
      <c r="AA55" s="5">
        <v>7680530</v>
      </c>
      <c r="AB55" s="5">
        <v>8064550</v>
      </c>
      <c r="AC55" s="5">
        <v>8467780</v>
      </c>
      <c r="AD55" s="5">
        <v>8891170</v>
      </c>
      <c r="AE55" s="5">
        <v>9335730</v>
      </c>
      <c r="AF55" s="5">
        <v>9802520</v>
      </c>
      <c r="AG55" s="5">
        <v>10292600</v>
      </c>
      <c r="AH55" s="4">
        <v>0</v>
      </c>
      <c r="AI55" s="4">
        <v>0</v>
      </c>
      <c r="AJ55" s="4">
        <v>0</v>
      </c>
      <c r="AK55" s="4">
        <v>0</v>
      </c>
      <c r="AL55" s="4">
        <v>0</v>
      </c>
      <c r="AM55" s="4">
        <v>0</v>
      </c>
      <c r="AN55" s="4">
        <v>0</v>
      </c>
      <c r="AO55" s="4">
        <v>0</v>
      </c>
      <c r="AP55" s="4">
        <v>0</v>
      </c>
      <c r="AQ55" s="4">
        <v>0</v>
      </c>
      <c r="AR55" s="4">
        <v>0</v>
      </c>
      <c r="AS55" s="4">
        <v>0</v>
      </c>
      <c r="AT55" s="4">
        <v>0</v>
      </c>
      <c r="AU55" s="4">
        <v>0</v>
      </c>
      <c r="AV55" s="4">
        <v>0</v>
      </c>
      <c r="AW55" s="4">
        <v>0</v>
      </c>
      <c r="AX55" s="4">
        <v>0</v>
      </c>
      <c r="AY55" s="4">
        <v>0</v>
      </c>
      <c r="AZ55" s="4">
        <v>0</v>
      </c>
      <c r="BA55" s="4">
        <v>0</v>
      </c>
    </row>
    <row r="56" spans="1:53" x14ac:dyDescent="0.2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</row>
    <row r="57" spans="1:53" x14ac:dyDescent="0.2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</row>
    <row r="58" spans="1:53" x14ac:dyDescent="0.2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</row>
    <row r="59" spans="1:53" x14ac:dyDescent="0.2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</row>
    <row r="60" spans="1:53" x14ac:dyDescent="0.2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</row>
    <row r="61" spans="1:53" x14ac:dyDescent="0.2">
      <c r="A61" s="4" t="s">
        <v>58</v>
      </c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</row>
    <row r="62" spans="1:53" x14ac:dyDescent="0.2">
      <c r="A62" s="4" t="s">
        <v>326</v>
      </c>
      <c r="B62" s="4" t="s">
        <v>33</v>
      </c>
      <c r="C62" s="4">
        <v>0</v>
      </c>
      <c r="D62" s="5">
        <v>80046500</v>
      </c>
      <c r="E62" s="4" t="s">
        <v>7</v>
      </c>
      <c r="F62" s="4" t="s">
        <v>7</v>
      </c>
      <c r="G62" s="4" t="s">
        <v>7</v>
      </c>
      <c r="H62" s="4" t="s">
        <v>7</v>
      </c>
      <c r="I62" s="4" t="s">
        <v>7</v>
      </c>
      <c r="J62" s="4" t="s">
        <v>7</v>
      </c>
      <c r="K62" s="4" t="s">
        <v>7</v>
      </c>
      <c r="L62" s="4" t="s">
        <v>7</v>
      </c>
      <c r="M62" s="4" t="s">
        <v>7</v>
      </c>
      <c r="N62" s="4" t="s">
        <v>7</v>
      </c>
      <c r="O62" s="4" t="s">
        <v>7</v>
      </c>
      <c r="P62" s="4" t="s">
        <v>7</v>
      </c>
      <c r="Q62" s="4" t="s">
        <v>7</v>
      </c>
      <c r="R62" s="4" t="s">
        <v>7</v>
      </c>
      <c r="S62" s="4" t="s">
        <v>7</v>
      </c>
      <c r="T62" s="4" t="s">
        <v>7</v>
      </c>
      <c r="U62" s="4" t="s">
        <v>7</v>
      </c>
      <c r="V62" s="4" t="s">
        <v>7</v>
      </c>
      <c r="W62" s="4" t="s">
        <v>7</v>
      </c>
      <c r="X62" s="4" t="s">
        <v>7</v>
      </c>
      <c r="Y62" s="4" t="s">
        <v>7</v>
      </c>
      <c r="Z62" s="4" t="s">
        <v>7</v>
      </c>
      <c r="AA62" s="4" t="s">
        <v>7</v>
      </c>
      <c r="AB62" s="4" t="s">
        <v>7</v>
      </c>
      <c r="AC62" s="4" t="s">
        <v>7</v>
      </c>
      <c r="AD62" s="4" t="s">
        <v>7</v>
      </c>
      <c r="AE62" s="4" t="s">
        <v>7</v>
      </c>
      <c r="AF62" s="4" t="s">
        <v>7</v>
      </c>
      <c r="AG62" s="4" t="s">
        <v>7</v>
      </c>
      <c r="AH62" s="4">
        <v>0</v>
      </c>
      <c r="AI62" s="4">
        <v>0</v>
      </c>
      <c r="AJ62" s="4">
        <v>0</v>
      </c>
      <c r="AK62" s="4">
        <v>0</v>
      </c>
      <c r="AL62" s="4">
        <v>0</v>
      </c>
      <c r="AM62" s="4">
        <v>0</v>
      </c>
      <c r="AN62" s="4">
        <v>0</v>
      </c>
      <c r="AO62" s="4">
        <v>0</v>
      </c>
      <c r="AP62" s="4">
        <v>0</v>
      </c>
      <c r="AQ62" s="4">
        <v>0</v>
      </c>
      <c r="AR62" s="4">
        <v>0</v>
      </c>
      <c r="AS62" s="4">
        <v>0</v>
      </c>
      <c r="AT62" s="4">
        <v>0</v>
      </c>
      <c r="AU62" s="4">
        <v>0</v>
      </c>
      <c r="AV62" s="4">
        <v>0</v>
      </c>
      <c r="AW62" s="4">
        <v>0</v>
      </c>
      <c r="AX62" s="4">
        <v>0</v>
      </c>
      <c r="AY62" s="4">
        <v>0</v>
      </c>
      <c r="AZ62" s="4">
        <v>0</v>
      </c>
      <c r="BA62" s="4">
        <v>0</v>
      </c>
    </row>
    <row r="63" spans="1:53" x14ac:dyDescent="0.2">
      <c r="A63" s="4" t="s">
        <v>327</v>
      </c>
      <c r="B63" s="4" t="s">
        <v>33</v>
      </c>
      <c r="C63" s="4">
        <v>0</v>
      </c>
      <c r="D63" s="5">
        <v>72604500</v>
      </c>
      <c r="E63" s="5">
        <v>72604500</v>
      </c>
      <c r="F63" s="5">
        <v>72604500</v>
      </c>
      <c r="G63" s="5">
        <v>72604500</v>
      </c>
      <c r="H63" s="5">
        <v>72604500</v>
      </c>
      <c r="I63" s="5">
        <v>72604500</v>
      </c>
      <c r="J63" s="5">
        <v>72604500</v>
      </c>
      <c r="K63" s="5">
        <v>72604500</v>
      </c>
      <c r="L63" s="5">
        <v>72604500</v>
      </c>
      <c r="M63" s="5">
        <v>72604500</v>
      </c>
      <c r="N63" s="5">
        <v>72604500</v>
      </c>
      <c r="O63" s="5">
        <v>72604500</v>
      </c>
      <c r="P63" s="5">
        <v>72604500</v>
      </c>
      <c r="Q63" s="5">
        <v>72604500</v>
      </c>
      <c r="R63" s="5">
        <v>72604500</v>
      </c>
      <c r="S63" s="5">
        <v>72604500</v>
      </c>
      <c r="T63" s="5">
        <v>72604500</v>
      </c>
      <c r="U63" s="5">
        <v>72604500</v>
      </c>
      <c r="V63" s="5">
        <v>72604500</v>
      </c>
      <c r="W63" s="5">
        <v>72604500</v>
      </c>
      <c r="X63" s="5">
        <v>72604500</v>
      </c>
      <c r="Y63" s="5">
        <v>72604500</v>
      </c>
      <c r="Z63" s="5">
        <v>72604500</v>
      </c>
      <c r="AA63" s="5">
        <v>72604500</v>
      </c>
      <c r="AB63" s="5">
        <v>72604500</v>
      </c>
      <c r="AC63" s="5">
        <v>72604500</v>
      </c>
      <c r="AD63" s="5">
        <v>72604500</v>
      </c>
      <c r="AE63" s="5">
        <v>72604500</v>
      </c>
      <c r="AF63" s="5">
        <v>72604500</v>
      </c>
      <c r="AG63" s="5">
        <v>72604500</v>
      </c>
      <c r="AH63" s="4">
        <v>0</v>
      </c>
      <c r="AI63" s="4">
        <v>0</v>
      </c>
      <c r="AJ63" s="4">
        <v>0</v>
      </c>
      <c r="AK63" s="4">
        <v>0</v>
      </c>
      <c r="AL63" s="4">
        <v>0</v>
      </c>
      <c r="AM63" s="4">
        <v>0</v>
      </c>
      <c r="AN63" s="4">
        <v>0</v>
      </c>
      <c r="AO63" s="4">
        <v>0</v>
      </c>
      <c r="AP63" s="4">
        <v>0</v>
      </c>
      <c r="AQ63" s="4">
        <v>0</v>
      </c>
      <c r="AR63" s="4">
        <v>0</v>
      </c>
      <c r="AS63" s="4">
        <v>0</v>
      </c>
      <c r="AT63" s="4">
        <v>0</v>
      </c>
      <c r="AU63" s="4">
        <v>0</v>
      </c>
      <c r="AV63" s="4">
        <v>0</v>
      </c>
      <c r="AW63" s="4">
        <v>0</v>
      </c>
      <c r="AX63" s="4">
        <v>0</v>
      </c>
      <c r="AY63" s="4">
        <v>0</v>
      </c>
      <c r="AZ63" s="4">
        <v>0</v>
      </c>
      <c r="BA63" s="4">
        <v>0</v>
      </c>
    </row>
    <row r="64" spans="1:53" x14ac:dyDescent="0.2">
      <c r="A64" s="4" t="s">
        <v>328</v>
      </c>
      <c r="B64" s="4" t="s">
        <v>19</v>
      </c>
      <c r="C64" s="4">
        <v>0</v>
      </c>
      <c r="D64" s="5">
        <v>76234800</v>
      </c>
      <c r="E64" s="4" t="s">
        <v>7</v>
      </c>
      <c r="F64" s="4" t="s">
        <v>7</v>
      </c>
      <c r="G64" s="4" t="s">
        <v>7</v>
      </c>
      <c r="H64" s="4" t="s">
        <v>7</v>
      </c>
      <c r="I64" s="4" t="s">
        <v>7</v>
      </c>
      <c r="J64" s="4" t="s">
        <v>7</v>
      </c>
      <c r="K64" s="4" t="s">
        <v>7</v>
      </c>
      <c r="L64" s="4" t="s">
        <v>7</v>
      </c>
      <c r="M64" s="4" t="s">
        <v>7</v>
      </c>
      <c r="N64" s="4" t="s">
        <v>7</v>
      </c>
      <c r="O64" s="4" t="s">
        <v>7</v>
      </c>
      <c r="P64" s="4" t="s">
        <v>7</v>
      </c>
      <c r="Q64" s="4" t="s">
        <v>7</v>
      </c>
      <c r="R64" s="4" t="s">
        <v>7</v>
      </c>
      <c r="S64" s="4" t="s">
        <v>7</v>
      </c>
      <c r="T64" s="4" t="s">
        <v>7</v>
      </c>
      <c r="U64" s="4" t="s">
        <v>7</v>
      </c>
      <c r="V64" s="4" t="s">
        <v>7</v>
      </c>
      <c r="W64" s="4" t="s">
        <v>7</v>
      </c>
      <c r="X64" s="4" t="s">
        <v>7</v>
      </c>
      <c r="Y64" s="4" t="s">
        <v>7</v>
      </c>
      <c r="Z64" s="4" t="s">
        <v>7</v>
      </c>
      <c r="AA64" s="4" t="s">
        <v>7</v>
      </c>
      <c r="AB64" s="4" t="s">
        <v>7</v>
      </c>
      <c r="AC64" s="4" t="s">
        <v>7</v>
      </c>
      <c r="AD64" s="4" t="s">
        <v>7</v>
      </c>
      <c r="AE64" s="4" t="s">
        <v>7</v>
      </c>
      <c r="AF64" s="4" t="s">
        <v>7</v>
      </c>
      <c r="AG64" s="4" t="s">
        <v>7</v>
      </c>
      <c r="AH64" s="4">
        <v>0</v>
      </c>
      <c r="AI64" s="4">
        <v>0</v>
      </c>
      <c r="AJ64" s="4">
        <v>0</v>
      </c>
      <c r="AK64" s="4">
        <v>0</v>
      </c>
      <c r="AL64" s="4">
        <v>0</v>
      </c>
      <c r="AM64" s="4">
        <v>0</v>
      </c>
      <c r="AN64" s="4">
        <v>0</v>
      </c>
      <c r="AO64" s="4">
        <v>0</v>
      </c>
      <c r="AP64" s="4">
        <v>0</v>
      </c>
      <c r="AQ64" s="4">
        <v>0</v>
      </c>
      <c r="AR64" s="4">
        <v>0</v>
      </c>
      <c r="AS64" s="4">
        <v>0</v>
      </c>
      <c r="AT64" s="4">
        <v>0</v>
      </c>
      <c r="AU64" s="4">
        <v>0</v>
      </c>
      <c r="AV64" s="4">
        <v>0</v>
      </c>
      <c r="AW64" s="4">
        <v>0</v>
      </c>
      <c r="AX64" s="4">
        <v>0</v>
      </c>
      <c r="AY64" s="4">
        <v>0</v>
      </c>
      <c r="AZ64" s="4">
        <v>0</v>
      </c>
      <c r="BA64" s="4">
        <v>0</v>
      </c>
    </row>
    <row r="65" spans="1:53" x14ac:dyDescent="0.2">
      <c r="A65" s="4" t="s">
        <v>329</v>
      </c>
      <c r="B65" s="4" t="s">
        <v>19</v>
      </c>
      <c r="C65" s="4">
        <v>0</v>
      </c>
      <c r="D65" s="5">
        <v>76234800</v>
      </c>
      <c r="E65" s="5">
        <v>76234800</v>
      </c>
      <c r="F65" s="5">
        <v>76234800</v>
      </c>
      <c r="G65" s="5">
        <v>76234800</v>
      </c>
      <c r="H65" s="5">
        <v>76234800</v>
      </c>
      <c r="I65" s="5">
        <v>76234800</v>
      </c>
      <c r="J65" s="5">
        <v>76234800</v>
      </c>
      <c r="K65" s="5">
        <v>76234800</v>
      </c>
      <c r="L65" s="5">
        <v>76234800</v>
      </c>
      <c r="M65" s="5">
        <v>76234800</v>
      </c>
      <c r="N65" s="5">
        <v>76234800</v>
      </c>
      <c r="O65" s="5">
        <v>76234800</v>
      </c>
      <c r="P65" s="5">
        <v>76234800</v>
      </c>
      <c r="Q65" s="5">
        <v>76234800</v>
      </c>
      <c r="R65" s="5">
        <v>76234800</v>
      </c>
      <c r="S65" s="5">
        <v>76234800</v>
      </c>
      <c r="T65" s="5">
        <v>76234800</v>
      </c>
      <c r="U65" s="5">
        <v>76234800</v>
      </c>
      <c r="V65" s="5">
        <v>76234800</v>
      </c>
      <c r="W65" s="5">
        <v>76234800</v>
      </c>
      <c r="X65" s="5">
        <v>76234800</v>
      </c>
      <c r="Y65" s="5">
        <v>76234800</v>
      </c>
      <c r="Z65" s="5">
        <v>76234800</v>
      </c>
      <c r="AA65" s="5">
        <v>76234800</v>
      </c>
      <c r="AB65" s="5">
        <v>76234800</v>
      </c>
      <c r="AC65" s="5">
        <v>76234800</v>
      </c>
      <c r="AD65" s="5">
        <v>76234800</v>
      </c>
      <c r="AE65" s="5">
        <v>76234800</v>
      </c>
      <c r="AF65" s="5">
        <v>76234800</v>
      </c>
      <c r="AG65" s="5">
        <v>76234800</v>
      </c>
      <c r="AH65" s="5">
        <v>76234800</v>
      </c>
      <c r="AI65" s="5">
        <v>76234800</v>
      </c>
      <c r="AJ65" s="5">
        <v>76234800</v>
      </c>
      <c r="AK65" s="5">
        <v>76234800</v>
      </c>
      <c r="AL65" s="5">
        <v>76234800</v>
      </c>
      <c r="AM65" s="5">
        <v>76234800</v>
      </c>
      <c r="AN65" s="5">
        <v>76234800</v>
      </c>
      <c r="AO65" s="5">
        <v>76234800</v>
      </c>
      <c r="AP65" s="5">
        <v>76234800</v>
      </c>
      <c r="AQ65" s="5">
        <v>76234800</v>
      </c>
      <c r="AR65" s="5">
        <v>76234800</v>
      </c>
      <c r="AS65" s="5">
        <v>76234800</v>
      </c>
      <c r="AT65" s="5">
        <v>76234800</v>
      </c>
      <c r="AU65" s="5">
        <v>76234800</v>
      </c>
      <c r="AV65" s="5">
        <v>76234800</v>
      </c>
      <c r="AW65" s="5">
        <v>76234800</v>
      </c>
      <c r="AX65" s="5">
        <v>76234800</v>
      </c>
      <c r="AY65" s="5">
        <v>76234800</v>
      </c>
      <c r="AZ65" s="5">
        <v>76234800</v>
      </c>
      <c r="BA65" s="5">
        <v>76234800</v>
      </c>
    </row>
    <row r="66" spans="1:53" x14ac:dyDescent="0.2">
      <c r="A66" s="4" t="s">
        <v>330</v>
      </c>
      <c r="B66" s="4" t="s">
        <v>19</v>
      </c>
      <c r="C66" s="4" t="s">
        <v>7</v>
      </c>
      <c r="D66" s="5">
        <v>3811740</v>
      </c>
      <c r="E66" s="4" t="s">
        <v>7</v>
      </c>
      <c r="F66" s="4" t="s">
        <v>7</v>
      </c>
      <c r="G66" s="4" t="s">
        <v>7</v>
      </c>
      <c r="H66" s="4" t="s">
        <v>7</v>
      </c>
      <c r="I66" s="4" t="s">
        <v>7</v>
      </c>
      <c r="J66" s="4" t="s">
        <v>7</v>
      </c>
      <c r="K66" s="4" t="s">
        <v>7</v>
      </c>
      <c r="L66" s="4" t="s">
        <v>7</v>
      </c>
      <c r="M66" s="4" t="s">
        <v>7</v>
      </c>
      <c r="N66" s="4" t="s">
        <v>7</v>
      </c>
      <c r="O66" s="4" t="s">
        <v>7</v>
      </c>
      <c r="P66" s="4" t="s">
        <v>7</v>
      </c>
      <c r="Q66" s="4" t="s">
        <v>7</v>
      </c>
      <c r="R66" s="4" t="s">
        <v>7</v>
      </c>
      <c r="S66" s="4" t="s">
        <v>7</v>
      </c>
      <c r="T66" s="4" t="s">
        <v>7</v>
      </c>
      <c r="U66" s="4" t="s">
        <v>7</v>
      </c>
      <c r="V66" s="4" t="s">
        <v>7</v>
      </c>
      <c r="W66" s="4" t="s">
        <v>7</v>
      </c>
      <c r="X66" s="4" t="s">
        <v>7</v>
      </c>
      <c r="Y66" s="4" t="s">
        <v>7</v>
      </c>
      <c r="Z66" s="4" t="s">
        <v>7</v>
      </c>
      <c r="AA66" s="4" t="s">
        <v>7</v>
      </c>
      <c r="AB66" s="4" t="s">
        <v>7</v>
      </c>
      <c r="AC66" s="4" t="s">
        <v>7</v>
      </c>
      <c r="AD66" s="4" t="s">
        <v>7</v>
      </c>
      <c r="AE66" s="4" t="s">
        <v>7</v>
      </c>
      <c r="AF66" s="4" t="s">
        <v>7</v>
      </c>
      <c r="AG66" s="4" t="s">
        <v>7</v>
      </c>
      <c r="AH66" s="4" t="s">
        <v>7</v>
      </c>
      <c r="AI66" s="4" t="s">
        <v>7</v>
      </c>
      <c r="AJ66" s="4" t="s">
        <v>7</v>
      </c>
      <c r="AK66" s="4" t="s">
        <v>7</v>
      </c>
      <c r="AL66" s="4" t="s">
        <v>7</v>
      </c>
      <c r="AM66" s="4" t="s">
        <v>7</v>
      </c>
      <c r="AN66" s="4" t="s">
        <v>7</v>
      </c>
      <c r="AO66" s="4" t="s">
        <v>7</v>
      </c>
      <c r="AP66" s="4" t="s">
        <v>7</v>
      </c>
      <c r="AQ66" s="4" t="s">
        <v>7</v>
      </c>
      <c r="AR66" s="4" t="s">
        <v>7</v>
      </c>
      <c r="AS66" s="4" t="s">
        <v>7</v>
      </c>
      <c r="AT66" s="4" t="s">
        <v>7</v>
      </c>
      <c r="AU66" s="4" t="s">
        <v>7</v>
      </c>
      <c r="AV66" s="4" t="s">
        <v>7</v>
      </c>
      <c r="AW66" s="4" t="s">
        <v>7</v>
      </c>
      <c r="AX66" s="4" t="s">
        <v>7</v>
      </c>
      <c r="AY66" s="4" t="s">
        <v>7</v>
      </c>
      <c r="AZ66" s="4" t="s">
        <v>7</v>
      </c>
      <c r="BA66" s="4" t="s">
        <v>7</v>
      </c>
    </row>
    <row r="67" spans="1:53" x14ac:dyDescent="0.2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</row>
    <row r="68" spans="1:53" x14ac:dyDescent="0.2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</row>
    <row r="69" spans="1:53" x14ac:dyDescent="0.2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</row>
    <row r="70" spans="1:53" x14ac:dyDescent="0.2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</row>
    <row r="71" spans="1:53" x14ac:dyDescent="0.2">
      <c r="A71" s="4" t="s">
        <v>331</v>
      </c>
      <c r="B71" s="4" t="s">
        <v>33</v>
      </c>
      <c r="C71" s="4">
        <v>0</v>
      </c>
      <c r="D71" s="5">
        <v>21560100</v>
      </c>
      <c r="E71" s="5">
        <v>145008000</v>
      </c>
      <c r="F71" s="5">
        <v>150045000</v>
      </c>
      <c r="G71" s="5">
        <v>155256000</v>
      </c>
      <c r="H71" s="5">
        <v>160649000</v>
      </c>
      <c r="I71" s="5">
        <v>166229000</v>
      </c>
      <c r="J71" s="5">
        <v>172004000</v>
      </c>
      <c r="K71" s="5">
        <v>177979000</v>
      </c>
      <c r="L71" s="5">
        <v>184162000</v>
      </c>
      <c r="M71" s="5">
        <v>190560000</v>
      </c>
      <c r="N71" s="5">
        <v>197180000</v>
      </c>
      <c r="O71" s="5">
        <v>204031000</v>
      </c>
      <c r="P71" s="5">
        <v>211120000</v>
      </c>
      <c r="Q71" s="5">
        <v>218455000</v>
      </c>
      <c r="R71" s="5">
        <v>226046000</v>
      </c>
      <c r="S71" s="5">
        <v>233900000</v>
      </c>
      <c r="T71" s="5">
        <v>242028000</v>
      </c>
      <c r="U71" s="5">
        <v>250439000</v>
      </c>
      <c r="V71" s="5">
        <v>259142000</v>
      </c>
      <c r="W71" s="5">
        <v>268147000</v>
      </c>
      <c r="X71" s="5">
        <v>277467000</v>
      </c>
      <c r="Y71" s="5">
        <v>287110000</v>
      </c>
      <c r="Z71" s="5">
        <v>297089000</v>
      </c>
      <c r="AA71" s="5">
        <v>307414000</v>
      </c>
      <c r="AB71" s="5">
        <v>318100000</v>
      </c>
      <c r="AC71" s="5">
        <v>329156000</v>
      </c>
      <c r="AD71" s="5">
        <v>340598000</v>
      </c>
      <c r="AE71" s="5">
        <v>352438000</v>
      </c>
      <c r="AF71" s="5">
        <v>364689000</v>
      </c>
      <c r="AG71" s="5">
        <v>377367000</v>
      </c>
      <c r="AH71" s="4">
        <v>0</v>
      </c>
      <c r="AI71" s="4">
        <v>0</v>
      </c>
      <c r="AJ71" s="4">
        <v>0</v>
      </c>
      <c r="AK71" s="4">
        <v>0</v>
      </c>
      <c r="AL71" s="4">
        <v>0</v>
      </c>
      <c r="AM71" s="4">
        <v>0</v>
      </c>
      <c r="AN71" s="4">
        <v>0</v>
      </c>
      <c r="AO71" s="4">
        <v>0</v>
      </c>
      <c r="AP71" s="4">
        <v>0</v>
      </c>
      <c r="AQ71" s="4">
        <v>0</v>
      </c>
      <c r="AR71" s="4">
        <v>0</v>
      </c>
      <c r="AS71" s="4">
        <v>0</v>
      </c>
      <c r="AT71" s="4">
        <v>0</v>
      </c>
      <c r="AU71" s="4">
        <v>0</v>
      </c>
      <c r="AV71" s="4">
        <v>0</v>
      </c>
      <c r="AW71" s="4">
        <v>0</v>
      </c>
      <c r="AX71" s="4">
        <v>0</v>
      </c>
      <c r="AY71" s="4">
        <v>0</v>
      </c>
      <c r="AZ71" s="4">
        <v>0</v>
      </c>
      <c r="BA71" s="4">
        <v>0</v>
      </c>
    </row>
    <row r="72" spans="1:53" x14ac:dyDescent="0.2">
      <c r="A72" s="4" t="s">
        <v>332</v>
      </c>
      <c r="B72" s="4" t="s">
        <v>19</v>
      </c>
      <c r="C72" s="4">
        <v>0</v>
      </c>
      <c r="D72" s="5">
        <v>18889400</v>
      </c>
      <c r="E72" s="5">
        <v>127079000</v>
      </c>
      <c r="F72" s="5">
        <v>131526000</v>
      </c>
      <c r="G72" s="5">
        <v>136130000</v>
      </c>
      <c r="H72" s="5">
        <v>140894000</v>
      </c>
      <c r="I72" s="5">
        <v>145826000</v>
      </c>
      <c r="J72" s="5">
        <v>150930000</v>
      </c>
      <c r="K72" s="5">
        <v>156212000</v>
      </c>
      <c r="L72" s="5">
        <v>161680000</v>
      </c>
      <c r="M72" s="5">
        <v>167338000</v>
      </c>
      <c r="N72" s="5">
        <v>173195000</v>
      </c>
      <c r="O72" s="5">
        <v>179257000</v>
      </c>
      <c r="P72" s="5">
        <v>185531000</v>
      </c>
      <c r="Q72" s="5">
        <v>192025000</v>
      </c>
      <c r="R72" s="5">
        <v>198746000</v>
      </c>
      <c r="S72" s="5">
        <v>205702000</v>
      </c>
      <c r="T72" s="5">
        <v>212901000</v>
      </c>
      <c r="U72" s="5">
        <v>220353000</v>
      </c>
      <c r="V72" s="5">
        <v>228065000</v>
      </c>
      <c r="W72" s="5">
        <v>236047000</v>
      </c>
      <c r="X72" s="5">
        <v>244309000</v>
      </c>
      <c r="Y72" s="5">
        <v>252860000</v>
      </c>
      <c r="Z72" s="5">
        <v>261710000</v>
      </c>
      <c r="AA72" s="5">
        <v>270870000</v>
      </c>
      <c r="AB72" s="5">
        <v>280350000</v>
      </c>
      <c r="AC72" s="5">
        <v>290162000</v>
      </c>
      <c r="AD72" s="5">
        <v>300318000</v>
      </c>
      <c r="AE72" s="5">
        <v>310829000</v>
      </c>
      <c r="AF72" s="5">
        <v>321708000</v>
      </c>
      <c r="AG72" s="5">
        <v>332968000</v>
      </c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</row>
    <row r="73" spans="1:53" x14ac:dyDescent="0.2">
      <c r="A73" s="4" t="s">
        <v>249</v>
      </c>
      <c r="B73" s="4" t="s">
        <v>19</v>
      </c>
      <c r="C73" s="4">
        <v>0</v>
      </c>
      <c r="D73" s="4">
        <v>120431</v>
      </c>
      <c r="E73" s="4">
        <v>806284</v>
      </c>
      <c r="F73" s="4">
        <v>830473</v>
      </c>
      <c r="G73" s="4">
        <v>855387</v>
      </c>
      <c r="H73" s="4">
        <v>881048</v>
      </c>
      <c r="I73" s="4">
        <v>907480</v>
      </c>
      <c r="J73" s="4">
        <v>934704</v>
      </c>
      <c r="K73" s="4">
        <v>962745</v>
      </c>
      <c r="L73" s="4">
        <v>991628</v>
      </c>
      <c r="M73" s="5">
        <v>1021380</v>
      </c>
      <c r="N73" s="5">
        <v>1052020</v>
      </c>
      <c r="O73" s="5">
        <v>1083580</v>
      </c>
      <c r="P73" s="5">
        <v>1116090</v>
      </c>
      <c r="Q73" s="5">
        <v>1149570</v>
      </c>
      <c r="R73" s="5">
        <v>1184060</v>
      </c>
      <c r="S73" s="5">
        <v>1219580</v>
      </c>
      <c r="T73" s="5">
        <v>1256160</v>
      </c>
      <c r="U73" s="5">
        <v>1293850</v>
      </c>
      <c r="V73" s="5">
        <v>1332660</v>
      </c>
      <c r="W73" s="5">
        <v>1372640</v>
      </c>
      <c r="X73" s="5">
        <v>1413820</v>
      </c>
      <c r="Y73" s="5">
        <v>1456240</v>
      </c>
      <c r="Z73" s="5">
        <v>1499930</v>
      </c>
      <c r="AA73" s="5">
        <v>1544920</v>
      </c>
      <c r="AB73" s="5">
        <v>1591270</v>
      </c>
      <c r="AC73" s="5">
        <v>1639010</v>
      </c>
      <c r="AD73" s="5">
        <v>1688180</v>
      </c>
      <c r="AE73" s="5">
        <v>1738830</v>
      </c>
      <c r="AF73" s="5">
        <v>1790990</v>
      </c>
      <c r="AG73" s="5">
        <v>1844720</v>
      </c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</row>
    <row r="74" spans="1:53" x14ac:dyDescent="0.2">
      <c r="A74" s="4" t="s">
        <v>250</v>
      </c>
      <c r="B74" s="4" t="s">
        <v>19</v>
      </c>
      <c r="C74" s="4">
        <v>0</v>
      </c>
      <c r="D74" s="4">
        <v>160046</v>
      </c>
      <c r="E74" s="5">
        <v>1071510</v>
      </c>
      <c r="F74" s="5">
        <v>1103650</v>
      </c>
      <c r="G74" s="5">
        <v>1136760</v>
      </c>
      <c r="H74" s="5">
        <v>1170870</v>
      </c>
      <c r="I74" s="5">
        <v>1205990</v>
      </c>
      <c r="J74" s="5">
        <v>1242170</v>
      </c>
      <c r="K74" s="5">
        <v>1279440</v>
      </c>
      <c r="L74" s="5">
        <v>1317820</v>
      </c>
      <c r="M74" s="5">
        <v>1357360</v>
      </c>
      <c r="N74" s="5">
        <v>1398080</v>
      </c>
      <c r="O74" s="5">
        <v>1440020</v>
      </c>
      <c r="P74" s="5">
        <v>1483220</v>
      </c>
      <c r="Q74" s="5">
        <v>1527720</v>
      </c>
      <c r="R74" s="5">
        <v>1573550</v>
      </c>
      <c r="S74" s="5">
        <v>1620750</v>
      </c>
      <c r="T74" s="5">
        <v>1669380</v>
      </c>
      <c r="U74" s="5">
        <v>1719460</v>
      </c>
      <c r="V74" s="5">
        <v>1771040</v>
      </c>
      <c r="W74" s="5">
        <v>1824170</v>
      </c>
      <c r="X74" s="5">
        <v>1878900</v>
      </c>
      <c r="Y74" s="5">
        <v>1935260</v>
      </c>
      <c r="Z74" s="5">
        <v>1993320</v>
      </c>
      <c r="AA74" s="5">
        <v>2053120</v>
      </c>
      <c r="AB74" s="5">
        <v>2114720</v>
      </c>
      <c r="AC74" s="5">
        <v>2178160</v>
      </c>
      <c r="AD74" s="5">
        <v>2243500</v>
      </c>
      <c r="AE74" s="5">
        <v>2310810</v>
      </c>
      <c r="AF74" s="5">
        <v>2380130</v>
      </c>
      <c r="AG74" s="5">
        <v>2451540</v>
      </c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</row>
    <row r="75" spans="1:53" x14ac:dyDescent="0.2">
      <c r="A75" s="4" t="s">
        <v>333</v>
      </c>
      <c r="B75" s="4" t="s">
        <v>19</v>
      </c>
      <c r="C75" s="4">
        <v>0</v>
      </c>
      <c r="D75" s="4">
        <v>622838</v>
      </c>
      <c r="E75" s="5">
        <v>4169900</v>
      </c>
      <c r="F75" s="5">
        <v>4295000</v>
      </c>
      <c r="G75" s="5">
        <v>4423850</v>
      </c>
      <c r="H75" s="5">
        <v>4556560</v>
      </c>
      <c r="I75" s="5">
        <v>4693260</v>
      </c>
      <c r="J75" s="5">
        <v>4834060</v>
      </c>
      <c r="K75" s="5">
        <v>4979080</v>
      </c>
      <c r="L75" s="5">
        <v>5128450</v>
      </c>
      <c r="M75" s="5">
        <v>5282300</v>
      </c>
      <c r="N75" s="5">
        <v>5440770</v>
      </c>
      <c r="O75" s="5">
        <v>5603990</v>
      </c>
      <c r="P75" s="5">
        <v>5772110</v>
      </c>
      <c r="Q75" s="5">
        <v>5945280</v>
      </c>
      <c r="R75" s="5">
        <v>6123640</v>
      </c>
      <c r="S75" s="5">
        <v>6307350</v>
      </c>
      <c r="T75" s="5">
        <v>6496570</v>
      </c>
      <c r="U75" s="5">
        <v>6691460</v>
      </c>
      <c r="V75" s="5">
        <v>6892210</v>
      </c>
      <c r="W75" s="5">
        <v>7098970</v>
      </c>
      <c r="X75" s="5">
        <v>7311940</v>
      </c>
      <c r="Y75" s="5">
        <v>7531300</v>
      </c>
      <c r="Z75" s="5">
        <v>7757240</v>
      </c>
      <c r="AA75" s="5">
        <v>7989960</v>
      </c>
      <c r="AB75" s="5">
        <v>8229660</v>
      </c>
      <c r="AC75" s="5">
        <v>8476540</v>
      </c>
      <c r="AD75" s="5">
        <v>8730840</v>
      </c>
      <c r="AE75" s="5">
        <v>8992770</v>
      </c>
      <c r="AF75" s="5">
        <v>9262550</v>
      </c>
      <c r="AG75" s="5">
        <v>9540430</v>
      </c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</row>
    <row r="76" spans="1:53" x14ac:dyDescent="0.2">
      <c r="A76" s="4" t="s">
        <v>251</v>
      </c>
      <c r="B76" s="4" t="s">
        <v>19</v>
      </c>
      <c r="C76" s="4">
        <v>0</v>
      </c>
      <c r="D76" s="4">
        <v>30107.7</v>
      </c>
      <c r="E76" s="4">
        <v>201571</v>
      </c>
      <c r="F76" s="4">
        <v>207618</v>
      </c>
      <c r="G76" s="4">
        <v>213847</v>
      </c>
      <c r="H76" s="4">
        <v>220262</v>
      </c>
      <c r="I76" s="4">
        <v>226870</v>
      </c>
      <c r="J76" s="4">
        <v>233676</v>
      </c>
      <c r="K76" s="4">
        <v>240686</v>
      </c>
      <c r="L76" s="4">
        <v>247907</v>
      </c>
      <c r="M76" s="4">
        <v>255344</v>
      </c>
      <c r="N76" s="4">
        <v>263004</v>
      </c>
      <c r="O76" s="4">
        <v>270895</v>
      </c>
      <c r="P76" s="4">
        <v>279021</v>
      </c>
      <c r="Q76" s="4">
        <v>287392</v>
      </c>
      <c r="R76" s="4">
        <v>296014</v>
      </c>
      <c r="S76" s="4">
        <v>304894</v>
      </c>
      <c r="T76" s="4">
        <v>314041</v>
      </c>
      <c r="U76" s="4">
        <v>323462</v>
      </c>
      <c r="V76" s="4">
        <v>333166</v>
      </c>
      <c r="W76" s="4">
        <v>343161</v>
      </c>
      <c r="X76" s="4">
        <v>353456</v>
      </c>
      <c r="Y76" s="4">
        <v>364060</v>
      </c>
      <c r="Z76" s="4">
        <v>374981</v>
      </c>
      <c r="AA76" s="4">
        <v>386231</v>
      </c>
      <c r="AB76" s="4">
        <v>397818</v>
      </c>
      <c r="AC76" s="4">
        <v>409752</v>
      </c>
      <c r="AD76" s="4">
        <v>422045</v>
      </c>
      <c r="AE76" s="4">
        <v>434706</v>
      </c>
      <c r="AF76" s="4">
        <v>447747</v>
      </c>
      <c r="AG76" s="4">
        <v>461180</v>
      </c>
      <c r="AH76" s="4">
        <v>0</v>
      </c>
      <c r="AI76" s="4">
        <v>0</v>
      </c>
      <c r="AJ76" s="4">
        <v>0</v>
      </c>
      <c r="AK76" s="4">
        <v>0</v>
      </c>
      <c r="AL76" s="4">
        <v>0</v>
      </c>
      <c r="AM76" s="4">
        <v>0</v>
      </c>
      <c r="AN76" s="4">
        <v>0</v>
      </c>
      <c r="AO76" s="4">
        <v>0</v>
      </c>
      <c r="AP76" s="4">
        <v>0</v>
      </c>
      <c r="AQ76" s="4">
        <v>0</v>
      </c>
      <c r="AR76" s="4">
        <v>0</v>
      </c>
      <c r="AS76" s="4">
        <v>0</v>
      </c>
      <c r="AT76" s="4">
        <v>0</v>
      </c>
      <c r="AU76" s="4">
        <v>0</v>
      </c>
      <c r="AV76" s="4">
        <v>0</v>
      </c>
      <c r="AW76" s="4">
        <v>0</v>
      </c>
      <c r="AX76" s="4">
        <v>0</v>
      </c>
      <c r="AY76" s="4">
        <v>0</v>
      </c>
      <c r="AZ76" s="4">
        <v>0</v>
      </c>
      <c r="BA76" s="4">
        <v>0</v>
      </c>
    </row>
    <row r="77" spans="1:53" x14ac:dyDescent="0.2">
      <c r="A77" s="4" t="s">
        <v>252</v>
      </c>
      <c r="B77" s="4" t="s">
        <v>19</v>
      </c>
      <c r="C77" s="4">
        <v>0</v>
      </c>
      <c r="D77" s="4">
        <v>140238</v>
      </c>
      <c r="E77" s="4">
        <v>938896</v>
      </c>
      <c r="F77" s="4">
        <v>967063</v>
      </c>
      <c r="G77" s="4">
        <v>996075</v>
      </c>
      <c r="H77" s="5">
        <v>1025960</v>
      </c>
      <c r="I77" s="5">
        <v>1056740</v>
      </c>
      <c r="J77" s="5">
        <v>1088440</v>
      </c>
      <c r="K77" s="5">
        <v>1121090</v>
      </c>
      <c r="L77" s="5">
        <v>1154720</v>
      </c>
      <c r="M77" s="5">
        <v>1189370</v>
      </c>
      <c r="N77" s="5">
        <v>1225050</v>
      </c>
      <c r="O77" s="5">
        <v>1261800</v>
      </c>
      <c r="P77" s="5">
        <v>1299650</v>
      </c>
      <c r="Q77" s="5">
        <v>1338640</v>
      </c>
      <c r="R77" s="5">
        <v>1378800</v>
      </c>
      <c r="S77" s="5">
        <v>1420170</v>
      </c>
      <c r="T77" s="5">
        <v>1462770</v>
      </c>
      <c r="U77" s="5">
        <v>1506650</v>
      </c>
      <c r="V77" s="5">
        <v>1551850</v>
      </c>
      <c r="W77" s="5">
        <v>1598410</v>
      </c>
      <c r="X77" s="5">
        <v>1646360</v>
      </c>
      <c r="Y77" s="5">
        <v>1695750</v>
      </c>
      <c r="Z77" s="5">
        <v>1746620</v>
      </c>
      <c r="AA77" s="5">
        <v>1799020</v>
      </c>
      <c r="AB77" s="5">
        <v>1852990</v>
      </c>
      <c r="AC77" s="5">
        <v>1908580</v>
      </c>
      <c r="AD77" s="5">
        <v>1965840</v>
      </c>
      <c r="AE77" s="5">
        <v>2024820</v>
      </c>
      <c r="AF77" s="5">
        <v>2085560</v>
      </c>
      <c r="AG77" s="5">
        <v>2148130</v>
      </c>
      <c r="AH77" s="4">
        <v>0</v>
      </c>
      <c r="AI77" s="4">
        <v>0</v>
      </c>
      <c r="AJ77" s="4">
        <v>0</v>
      </c>
      <c r="AK77" s="4">
        <v>0</v>
      </c>
      <c r="AL77" s="4">
        <v>0</v>
      </c>
      <c r="AM77" s="4">
        <v>0</v>
      </c>
      <c r="AN77" s="4">
        <v>0</v>
      </c>
      <c r="AO77" s="4">
        <v>0</v>
      </c>
      <c r="AP77" s="4">
        <v>0</v>
      </c>
      <c r="AQ77" s="4">
        <v>0</v>
      </c>
      <c r="AR77" s="4">
        <v>0</v>
      </c>
      <c r="AS77" s="4">
        <v>0</v>
      </c>
      <c r="AT77" s="4">
        <v>0</v>
      </c>
      <c r="AU77" s="4">
        <v>0</v>
      </c>
      <c r="AV77" s="4">
        <v>0</v>
      </c>
      <c r="AW77" s="4">
        <v>0</v>
      </c>
      <c r="AX77" s="4">
        <v>0</v>
      </c>
      <c r="AY77" s="4">
        <v>0</v>
      </c>
      <c r="AZ77" s="4">
        <v>0</v>
      </c>
      <c r="BA77" s="4">
        <v>0</v>
      </c>
    </row>
    <row r="78" spans="1:53" x14ac:dyDescent="0.2">
      <c r="A78" s="4" t="s">
        <v>334</v>
      </c>
      <c r="B78" s="4" t="s">
        <v>19</v>
      </c>
      <c r="C78" s="4">
        <v>0</v>
      </c>
      <c r="D78" s="5">
        <v>19963100</v>
      </c>
      <c r="E78" s="5">
        <v>134267000</v>
      </c>
      <c r="F78" s="5">
        <v>138930000</v>
      </c>
      <c r="G78" s="5">
        <v>143756000</v>
      </c>
      <c r="H78" s="5">
        <v>148749000</v>
      </c>
      <c r="I78" s="5">
        <v>153916000</v>
      </c>
      <c r="J78" s="5">
        <v>159263000</v>
      </c>
      <c r="K78" s="5">
        <v>164795000</v>
      </c>
      <c r="L78" s="5">
        <v>170520000</v>
      </c>
      <c r="M78" s="5">
        <v>176444000</v>
      </c>
      <c r="N78" s="5">
        <v>182574000</v>
      </c>
      <c r="O78" s="5">
        <v>188917000</v>
      </c>
      <c r="P78" s="5">
        <v>195481000</v>
      </c>
      <c r="Q78" s="5">
        <v>202273000</v>
      </c>
      <c r="R78" s="5">
        <v>209302000</v>
      </c>
      <c r="S78" s="5">
        <v>216574000</v>
      </c>
      <c r="T78" s="5">
        <v>224100000</v>
      </c>
      <c r="U78" s="5">
        <v>231888000</v>
      </c>
      <c r="V78" s="5">
        <v>239946000</v>
      </c>
      <c r="W78" s="5">
        <v>248285000</v>
      </c>
      <c r="X78" s="5">
        <v>256913000</v>
      </c>
      <c r="Y78" s="5">
        <v>265842000</v>
      </c>
      <c r="Z78" s="5">
        <v>275082000</v>
      </c>
      <c r="AA78" s="5">
        <v>284643000</v>
      </c>
      <c r="AB78" s="5">
        <v>294537000</v>
      </c>
      <c r="AC78" s="5">
        <v>304774000</v>
      </c>
      <c r="AD78" s="5">
        <v>315369000</v>
      </c>
      <c r="AE78" s="5">
        <v>326331000</v>
      </c>
      <c r="AF78" s="5">
        <v>337675000</v>
      </c>
      <c r="AG78" s="5">
        <v>349414000</v>
      </c>
      <c r="AH78" s="4">
        <v>0</v>
      </c>
      <c r="AI78" s="4">
        <v>0</v>
      </c>
      <c r="AJ78" s="4">
        <v>0</v>
      </c>
      <c r="AK78" s="4">
        <v>0</v>
      </c>
      <c r="AL78" s="4">
        <v>0</v>
      </c>
      <c r="AM78" s="4">
        <v>0</v>
      </c>
      <c r="AN78" s="4">
        <v>0</v>
      </c>
      <c r="AO78" s="4">
        <v>0</v>
      </c>
      <c r="AP78" s="4">
        <v>0</v>
      </c>
      <c r="AQ78" s="4">
        <v>0</v>
      </c>
      <c r="AR78" s="4">
        <v>0</v>
      </c>
      <c r="AS78" s="4">
        <v>0</v>
      </c>
      <c r="AT78" s="4">
        <v>0</v>
      </c>
      <c r="AU78" s="4">
        <v>0</v>
      </c>
      <c r="AV78" s="4">
        <v>0</v>
      </c>
      <c r="AW78" s="4">
        <v>0</v>
      </c>
      <c r="AX78" s="4">
        <v>0</v>
      </c>
      <c r="AY78" s="4">
        <v>0</v>
      </c>
      <c r="AZ78" s="4">
        <v>0</v>
      </c>
      <c r="BA78" s="4">
        <v>0</v>
      </c>
    </row>
    <row r="79" spans="1:53" x14ac:dyDescent="0.2">
      <c r="A79" s="4" t="s">
        <v>335</v>
      </c>
      <c r="B79" s="4" t="s">
        <v>19</v>
      </c>
      <c r="C79" s="4">
        <v>0</v>
      </c>
      <c r="D79" s="5">
        <v>1597050</v>
      </c>
      <c r="E79" s="5">
        <v>10741300</v>
      </c>
      <c r="F79" s="5">
        <v>11114400</v>
      </c>
      <c r="G79" s="5">
        <v>11500500</v>
      </c>
      <c r="H79" s="5">
        <v>11899900</v>
      </c>
      <c r="I79" s="5">
        <v>12313300</v>
      </c>
      <c r="J79" s="5">
        <v>12741000</v>
      </c>
      <c r="K79" s="5">
        <v>13183600</v>
      </c>
      <c r="L79" s="5">
        <v>13641600</v>
      </c>
      <c r="M79" s="5">
        <v>14115500</v>
      </c>
      <c r="N79" s="5">
        <v>14605900</v>
      </c>
      <c r="O79" s="5">
        <v>15113400</v>
      </c>
      <c r="P79" s="5">
        <v>15638500</v>
      </c>
      <c r="Q79" s="5">
        <v>16181900</v>
      </c>
      <c r="R79" s="5">
        <v>16744100</v>
      </c>
      <c r="S79" s="5">
        <v>17325900</v>
      </c>
      <c r="T79" s="5">
        <v>17928000</v>
      </c>
      <c r="U79" s="5">
        <v>18551000</v>
      </c>
      <c r="V79" s="5">
        <v>19195700</v>
      </c>
      <c r="W79" s="5">
        <v>19862800</v>
      </c>
      <c r="X79" s="5">
        <v>20553100</v>
      </c>
      <c r="Y79" s="5">
        <v>21267400</v>
      </c>
      <c r="Z79" s="5">
        <v>22006600</v>
      </c>
      <c r="AA79" s="5">
        <v>22771400</v>
      </c>
      <c r="AB79" s="5">
        <v>23562900</v>
      </c>
      <c r="AC79" s="5">
        <v>24382000</v>
      </c>
      <c r="AD79" s="5">
        <v>25229500</v>
      </c>
      <c r="AE79" s="5">
        <v>26106500</v>
      </c>
      <c r="AF79" s="5">
        <v>27014000</v>
      </c>
      <c r="AG79" s="5">
        <v>27953100</v>
      </c>
      <c r="AH79" s="4">
        <v>0</v>
      </c>
      <c r="AI79" s="4">
        <v>0</v>
      </c>
      <c r="AJ79" s="4">
        <v>0</v>
      </c>
      <c r="AK79" s="4">
        <v>0</v>
      </c>
      <c r="AL79" s="4">
        <v>0</v>
      </c>
      <c r="AM79" s="4">
        <v>0</v>
      </c>
      <c r="AN79" s="4">
        <v>0</v>
      </c>
      <c r="AO79" s="4">
        <v>0</v>
      </c>
      <c r="AP79" s="4">
        <v>0</v>
      </c>
      <c r="AQ79" s="4">
        <v>0</v>
      </c>
      <c r="AR79" s="4">
        <v>0</v>
      </c>
      <c r="AS79" s="4">
        <v>0</v>
      </c>
      <c r="AT79" s="4">
        <v>0</v>
      </c>
      <c r="AU79" s="4">
        <v>0</v>
      </c>
      <c r="AV79" s="4">
        <v>0</v>
      </c>
      <c r="AW79" s="4">
        <v>0</v>
      </c>
      <c r="AX79" s="4">
        <v>0</v>
      </c>
      <c r="AY79" s="4">
        <v>0</v>
      </c>
      <c r="AZ79" s="4">
        <v>0</v>
      </c>
      <c r="BA79" s="4">
        <v>0</v>
      </c>
    </row>
    <row r="80" spans="1:53" x14ac:dyDescent="0.2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</row>
    <row r="81" spans="1:53" x14ac:dyDescent="0.2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</row>
    <row r="82" spans="1:53" x14ac:dyDescent="0.2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</row>
    <row r="83" spans="1:53" x14ac:dyDescent="0.2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</row>
    <row r="84" spans="1:53" x14ac:dyDescent="0.2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</row>
    <row r="85" spans="1:53" x14ac:dyDescent="0.2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</row>
    <row r="86" spans="1:53" x14ac:dyDescent="0.2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</row>
    <row r="87" spans="1:53" x14ac:dyDescent="0.2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</row>
    <row r="88" spans="1:53" x14ac:dyDescent="0.2">
      <c r="A88" s="8" t="s">
        <v>59</v>
      </c>
      <c r="B88" s="8" t="s">
        <v>33</v>
      </c>
      <c r="C88" s="4">
        <v>0</v>
      </c>
      <c r="D88" s="5">
        <v>-101607000</v>
      </c>
      <c r="E88" s="5">
        <v>-143291000</v>
      </c>
      <c r="F88" s="5">
        <v>-147288000</v>
      </c>
      <c r="G88" s="5">
        <v>-152362000</v>
      </c>
      <c r="H88" s="5">
        <v>-157610000</v>
      </c>
      <c r="I88" s="5">
        <v>-163038000</v>
      </c>
      <c r="J88" s="5">
        <v>-168653000</v>
      </c>
      <c r="K88" s="5">
        <v>-174460000</v>
      </c>
      <c r="L88" s="5">
        <v>-180467000</v>
      </c>
      <c r="M88" s="5">
        <v>-186680000</v>
      </c>
      <c r="N88" s="5">
        <v>-193107000</v>
      </c>
      <c r="O88" s="5">
        <v>-199754000</v>
      </c>
      <c r="P88" s="5">
        <v>-206629000</v>
      </c>
      <c r="Q88" s="5">
        <v>-213740000</v>
      </c>
      <c r="R88" s="5">
        <v>-221095000</v>
      </c>
      <c r="S88" s="5">
        <v>-228702000</v>
      </c>
      <c r="T88" s="5">
        <v>-236570000</v>
      </c>
      <c r="U88" s="5">
        <v>-244707000</v>
      </c>
      <c r="V88" s="5">
        <v>-253124000</v>
      </c>
      <c r="W88" s="5">
        <v>-261829000</v>
      </c>
      <c r="X88" s="5">
        <v>-270832000</v>
      </c>
      <c r="Y88" s="5">
        <v>-280143000</v>
      </c>
      <c r="Z88" s="5">
        <v>-289774000</v>
      </c>
      <c r="AA88" s="5">
        <v>-299734000</v>
      </c>
      <c r="AB88" s="5">
        <v>-310035000</v>
      </c>
      <c r="AC88" s="5">
        <v>-320689000</v>
      </c>
      <c r="AD88" s="5">
        <v>-331707000</v>
      </c>
      <c r="AE88" s="5">
        <v>-343102000</v>
      </c>
      <c r="AF88" s="5">
        <v>-354887000</v>
      </c>
      <c r="AG88" s="5">
        <v>-367075000</v>
      </c>
      <c r="AH88" s="4">
        <v>0</v>
      </c>
      <c r="AI88" s="4">
        <v>0</v>
      </c>
      <c r="AJ88" s="4">
        <v>0</v>
      </c>
      <c r="AK88" s="4">
        <v>0</v>
      </c>
      <c r="AL88" s="4">
        <v>0</v>
      </c>
      <c r="AM88" s="4">
        <v>0</v>
      </c>
      <c r="AN88" s="4">
        <v>0</v>
      </c>
      <c r="AO88" s="4">
        <v>0</v>
      </c>
      <c r="AP88" s="4">
        <v>0</v>
      </c>
      <c r="AQ88" s="4">
        <v>0</v>
      </c>
      <c r="AR88" s="4">
        <v>0</v>
      </c>
      <c r="AS88" s="4">
        <v>0</v>
      </c>
      <c r="AT88" s="4">
        <v>0</v>
      </c>
      <c r="AU88" s="4">
        <v>0</v>
      </c>
      <c r="AV88" s="4">
        <v>0</v>
      </c>
      <c r="AW88" s="4">
        <v>0</v>
      </c>
      <c r="AX88" s="4">
        <v>0</v>
      </c>
      <c r="AY88" s="4">
        <v>0</v>
      </c>
      <c r="AZ88" s="4">
        <v>0</v>
      </c>
      <c r="BA88" s="4">
        <v>0</v>
      </c>
    </row>
    <row r="89" spans="1:53" x14ac:dyDescent="0.2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</row>
    <row r="90" spans="1:53" x14ac:dyDescent="0.2">
      <c r="A90" s="4" t="s">
        <v>60</v>
      </c>
      <c r="B90" s="4" t="s">
        <v>33</v>
      </c>
      <c r="C90" s="4">
        <v>0</v>
      </c>
      <c r="D90" s="5">
        <v>2420150</v>
      </c>
      <c r="E90" s="5">
        <v>2420150</v>
      </c>
      <c r="F90" s="5">
        <v>2420150</v>
      </c>
      <c r="G90" s="5">
        <v>2420150</v>
      </c>
      <c r="H90" s="5">
        <v>2420150</v>
      </c>
      <c r="I90" s="5">
        <v>2420150</v>
      </c>
      <c r="J90" s="5">
        <v>2420150</v>
      </c>
      <c r="K90" s="5">
        <v>2420150</v>
      </c>
      <c r="L90" s="5">
        <v>2420150</v>
      </c>
      <c r="M90" s="5">
        <v>2420150</v>
      </c>
      <c r="N90" s="5">
        <v>2420150</v>
      </c>
      <c r="O90" s="5">
        <v>2420150</v>
      </c>
      <c r="P90" s="5">
        <v>2420150</v>
      </c>
      <c r="Q90" s="5">
        <v>2420150</v>
      </c>
      <c r="R90" s="5">
        <v>2420150</v>
      </c>
      <c r="S90" s="5">
        <v>2420150</v>
      </c>
      <c r="T90" s="5">
        <v>2420150</v>
      </c>
      <c r="U90" s="5">
        <v>2420150</v>
      </c>
      <c r="V90" s="5">
        <v>2420150</v>
      </c>
      <c r="W90" s="5">
        <v>2420150</v>
      </c>
      <c r="X90" s="5">
        <v>2420150</v>
      </c>
      <c r="Y90" s="5">
        <v>2420150</v>
      </c>
      <c r="Z90" s="5">
        <v>2420150</v>
      </c>
      <c r="AA90" s="5">
        <v>2420150</v>
      </c>
      <c r="AB90" s="5">
        <v>2420150</v>
      </c>
      <c r="AC90" s="5">
        <v>2420150</v>
      </c>
      <c r="AD90" s="5">
        <v>2420150</v>
      </c>
      <c r="AE90" s="5">
        <v>2420150</v>
      </c>
      <c r="AF90" s="5">
        <v>2420150</v>
      </c>
      <c r="AG90" s="5">
        <v>2420150</v>
      </c>
      <c r="AH90" s="4">
        <v>0</v>
      </c>
      <c r="AI90" s="4">
        <v>0</v>
      </c>
      <c r="AJ90" s="4">
        <v>0</v>
      </c>
      <c r="AK90" s="4">
        <v>0</v>
      </c>
      <c r="AL90" s="4">
        <v>0</v>
      </c>
      <c r="AM90" s="4">
        <v>0</v>
      </c>
      <c r="AN90" s="4">
        <v>0</v>
      </c>
      <c r="AO90" s="4">
        <v>0</v>
      </c>
      <c r="AP90" s="4">
        <v>0</v>
      </c>
      <c r="AQ90" s="4">
        <v>0</v>
      </c>
      <c r="AR90" s="4">
        <v>0</v>
      </c>
      <c r="AS90" s="4">
        <v>0</v>
      </c>
      <c r="AT90" s="4">
        <v>0</v>
      </c>
      <c r="AU90" s="4">
        <v>0</v>
      </c>
      <c r="AV90" s="4">
        <v>0</v>
      </c>
      <c r="AW90" s="4">
        <v>0</v>
      </c>
      <c r="AX90" s="4">
        <v>0</v>
      </c>
      <c r="AY90" s="4">
        <v>0</v>
      </c>
      <c r="AZ90" s="4">
        <v>0</v>
      </c>
      <c r="BA90" s="4">
        <v>0</v>
      </c>
    </row>
    <row r="91" spans="1:53" x14ac:dyDescent="0.2">
      <c r="A91" s="4" t="s">
        <v>61</v>
      </c>
      <c r="B91" s="4" t="s">
        <v>33</v>
      </c>
      <c r="C91" s="4">
        <v>0</v>
      </c>
      <c r="D91" s="5">
        <v>-104027000</v>
      </c>
      <c r="E91" s="5">
        <v>-145712000</v>
      </c>
      <c r="F91" s="5">
        <v>-149708000</v>
      </c>
      <c r="G91" s="5">
        <v>-154782000</v>
      </c>
      <c r="H91" s="5">
        <v>-160030000</v>
      </c>
      <c r="I91" s="5">
        <v>-165458000</v>
      </c>
      <c r="J91" s="5">
        <v>-171073000</v>
      </c>
      <c r="K91" s="5">
        <v>-176880000</v>
      </c>
      <c r="L91" s="5">
        <v>-182887000</v>
      </c>
      <c r="M91" s="5">
        <v>-189101000</v>
      </c>
      <c r="N91" s="5">
        <v>-195527000</v>
      </c>
      <c r="O91" s="5">
        <v>-202174000</v>
      </c>
      <c r="P91" s="5">
        <v>-209049000</v>
      </c>
      <c r="Q91" s="5">
        <v>-216160000</v>
      </c>
      <c r="R91" s="5">
        <v>-223515000</v>
      </c>
      <c r="S91" s="5">
        <v>-231122000</v>
      </c>
      <c r="T91" s="5">
        <v>-238990000</v>
      </c>
      <c r="U91" s="5">
        <v>-247127000</v>
      </c>
      <c r="V91" s="5">
        <v>-255544000</v>
      </c>
      <c r="W91" s="5">
        <v>-264249000</v>
      </c>
      <c r="X91" s="5">
        <v>-273252000</v>
      </c>
      <c r="Y91" s="5">
        <v>-282563000</v>
      </c>
      <c r="Z91" s="5">
        <v>-292194000</v>
      </c>
      <c r="AA91" s="5">
        <v>-302154000</v>
      </c>
      <c r="AB91" s="5">
        <v>-312455000</v>
      </c>
      <c r="AC91" s="5">
        <v>-323109000</v>
      </c>
      <c r="AD91" s="5">
        <v>-334127000</v>
      </c>
      <c r="AE91" s="5">
        <v>-345522000</v>
      </c>
      <c r="AF91" s="5">
        <v>-357307000</v>
      </c>
      <c r="AG91" s="5">
        <v>-369495000</v>
      </c>
      <c r="AH91" s="4">
        <v>0</v>
      </c>
      <c r="AI91" s="4">
        <v>0</v>
      </c>
      <c r="AJ91" s="4">
        <v>0</v>
      </c>
      <c r="AK91" s="4">
        <v>0</v>
      </c>
      <c r="AL91" s="4">
        <v>0</v>
      </c>
      <c r="AM91" s="4">
        <v>0</v>
      </c>
      <c r="AN91" s="4">
        <v>0</v>
      </c>
      <c r="AO91" s="4">
        <v>0</v>
      </c>
      <c r="AP91" s="4">
        <v>0</v>
      </c>
      <c r="AQ91" s="4">
        <v>0</v>
      </c>
      <c r="AR91" s="4">
        <v>0</v>
      </c>
      <c r="AS91" s="4">
        <v>0</v>
      </c>
      <c r="AT91" s="4">
        <v>0</v>
      </c>
      <c r="AU91" s="4">
        <v>0</v>
      </c>
      <c r="AV91" s="4">
        <v>0</v>
      </c>
      <c r="AW91" s="4">
        <v>0</v>
      </c>
      <c r="AX91" s="4">
        <v>0</v>
      </c>
      <c r="AY91" s="4">
        <v>0</v>
      </c>
      <c r="AZ91" s="4">
        <v>0</v>
      </c>
      <c r="BA91" s="4">
        <v>0</v>
      </c>
    </row>
    <row r="92" spans="1:53" x14ac:dyDescent="0.2">
      <c r="A92" s="4" t="s">
        <v>62</v>
      </c>
      <c r="B92" s="4" t="s">
        <v>33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  <c r="J92" s="4">
        <v>0</v>
      </c>
      <c r="K92" s="4">
        <v>0</v>
      </c>
      <c r="L92" s="4">
        <v>0</v>
      </c>
      <c r="M92" s="4">
        <v>0</v>
      </c>
      <c r="N92" s="4">
        <v>0</v>
      </c>
      <c r="O92" s="4">
        <v>0</v>
      </c>
      <c r="P92" s="4">
        <v>0</v>
      </c>
      <c r="Q92" s="4">
        <v>0</v>
      </c>
      <c r="R92" s="4">
        <v>0</v>
      </c>
      <c r="S92" s="4">
        <v>0</v>
      </c>
      <c r="T92" s="4">
        <v>0</v>
      </c>
      <c r="U92" s="4">
        <v>0</v>
      </c>
      <c r="V92" s="4">
        <v>0</v>
      </c>
      <c r="W92" s="4">
        <v>0</v>
      </c>
      <c r="X92" s="4">
        <v>0</v>
      </c>
      <c r="Y92" s="4">
        <v>0</v>
      </c>
      <c r="Z92" s="4">
        <v>0</v>
      </c>
      <c r="AA92" s="4">
        <v>0</v>
      </c>
      <c r="AB92" s="4">
        <v>0</v>
      </c>
      <c r="AC92" s="4">
        <v>0</v>
      </c>
      <c r="AD92" s="4">
        <v>0</v>
      </c>
      <c r="AE92" s="4">
        <v>0</v>
      </c>
      <c r="AF92" s="4">
        <v>0</v>
      </c>
      <c r="AG92" s="4">
        <v>0</v>
      </c>
      <c r="AH92" s="4">
        <v>0</v>
      </c>
      <c r="AI92" s="4">
        <v>0</v>
      </c>
      <c r="AJ92" s="4">
        <v>0</v>
      </c>
      <c r="AK92" s="4">
        <v>0</v>
      </c>
      <c r="AL92" s="4">
        <v>0</v>
      </c>
      <c r="AM92" s="4">
        <v>0</v>
      </c>
      <c r="AN92" s="4">
        <v>0</v>
      </c>
      <c r="AO92" s="4">
        <v>0</v>
      </c>
      <c r="AP92" s="4">
        <v>0</v>
      </c>
      <c r="AQ92" s="4">
        <v>0</v>
      </c>
      <c r="AR92" s="4">
        <v>0</v>
      </c>
      <c r="AS92" s="4">
        <v>0</v>
      </c>
      <c r="AT92" s="4">
        <v>0</v>
      </c>
      <c r="AU92" s="4">
        <v>0</v>
      </c>
      <c r="AV92" s="4">
        <v>0</v>
      </c>
      <c r="AW92" s="4">
        <v>0</v>
      </c>
      <c r="AX92" s="4">
        <v>0</v>
      </c>
      <c r="AY92" s="4">
        <v>0</v>
      </c>
      <c r="AZ92" s="4">
        <v>0</v>
      </c>
      <c r="BA92" s="4">
        <v>0</v>
      </c>
    </row>
    <row r="93" spans="1:53" x14ac:dyDescent="0.2">
      <c r="A93" s="4" t="s">
        <v>63</v>
      </c>
      <c r="B93" s="4" t="s">
        <v>33</v>
      </c>
      <c r="C93" s="4">
        <v>0</v>
      </c>
      <c r="D93" s="5">
        <v>-104027000</v>
      </c>
      <c r="E93" s="5">
        <v>-145712000</v>
      </c>
      <c r="F93" s="5">
        <v>-149708000</v>
      </c>
      <c r="G93" s="5">
        <v>-154782000</v>
      </c>
      <c r="H93" s="5">
        <v>-160030000</v>
      </c>
      <c r="I93" s="5">
        <v>-165458000</v>
      </c>
      <c r="J93" s="5">
        <v>-171073000</v>
      </c>
      <c r="K93" s="5">
        <v>-176880000</v>
      </c>
      <c r="L93" s="5">
        <v>-182887000</v>
      </c>
      <c r="M93" s="5">
        <v>-189101000</v>
      </c>
      <c r="N93" s="5">
        <v>-195527000</v>
      </c>
      <c r="O93" s="5">
        <v>-202174000</v>
      </c>
      <c r="P93" s="5">
        <v>-209049000</v>
      </c>
      <c r="Q93" s="5">
        <v>-216160000</v>
      </c>
      <c r="R93" s="5">
        <v>-223515000</v>
      </c>
      <c r="S93" s="5">
        <v>-231122000</v>
      </c>
      <c r="T93" s="5">
        <v>-238990000</v>
      </c>
      <c r="U93" s="5">
        <v>-247127000</v>
      </c>
      <c r="V93" s="5">
        <v>-255544000</v>
      </c>
      <c r="W93" s="5">
        <v>-264249000</v>
      </c>
      <c r="X93" s="5">
        <v>-273252000</v>
      </c>
      <c r="Y93" s="5">
        <v>-282563000</v>
      </c>
      <c r="Z93" s="5">
        <v>-292194000</v>
      </c>
      <c r="AA93" s="5">
        <v>-302154000</v>
      </c>
      <c r="AB93" s="5">
        <v>-312455000</v>
      </c>
      <c r="AC93" s="5">
        <v>-323109000</v>
      </c>
      <c r="AD93" s="5">
        <v>-334127000</v>
      </c>
      <c r="AE93" s="5">
        <v>-345522000</v>
      </c>
      <c r="AF93" s="5">
        <v>-357307000</v>
      </c>
      <c r="AG93" s="5">
        <v>-369495000</v>
      </c>
      <c r="AH93" s="4">
        <v>0</v>
      </c>
      <c r="AI93" s="4">
        <v>0</v>
      </c>
      <c r="AJ93" s="4">
        <v>0</v>
      </c>
      <c r="AK93" s="4">
        <v>0</v>
      </c>
      <c r="AL93" s="4">
        <v>0</v>
      </c>
      <c r="AM93" s="4">
        <v>0</v>
      </c>
      <c r="AN93" s="4">
        <v>0</v>
      </c>
      <c r="AO93" s="4">
        <v>0</v>
      </c>
      <c r="AP93" s="4">
        <v>0</v>
      </c>
      <c r="AQ93" s="4">
        <v>0</v>
      </c>
      <c r="AR93" s="4">
        <v>0</v>
      </c>
      <c r="AS93" s="4">
        <v>0</v>
      </c>
      <c r="AT93" s="4">
        <v>0</v>
      </c>
      <c r="AU93" s="4">
        <v>0</v>
      </c>
      <c r="AV93" s="4">
        <v>0</v>
      </c>
      <c r="AW93" s="4">
        <v>0</v>
      </c>
      <c r="AX93" s="4">
        <v>0</v>
      </c>
      <c r="AY93" s="4">
        <v>0</v>
      </c>
      <c r="AZ93" s="4">
        <v>0</v>
      </c>
      <c r="BA93" s="4">
        <v>0</v>
      </c>
    </row>
    <row r="94" spans="1:53" x14ac:dyDescent="0.2">
      <c r="A94" s="4" t="s">
        <v>92</v>
      </c>
      <c r="B94" s="4" t="s">
        <v>33</v>
      </c>
      <c r="C94" s="4">
        <v>0</v>
      </c>
      <c r="D94" s="5">
        <v>-101607000</v>
      </c>
      <c r="E94" s="5">
        <v>-143291000</v>
      </c>
      <c r="F94" s="5">
        <v>-147288000</v>
      </c>
      <c r="G94" s="5">
        <v>-152362000</v>
      </c>
      <c r="H94" s="5">
        <v>-157610000</v>
      </c>
      <c r="I94" s="5">
        <v>-163038000</v>
      </c>
      <c r="J94" s="5">
        <v>-168653000</v>
      </c>
      <c r="K94" s="5">
        <v>-174460000</v>
      </c>
      <c r="L94" s="5">
        <v>-180467000</v>
      </c>
      <c r="M94" s="5">
        <v>-186680000</v>
      </c>
      <c r="N94" s="5">
        <v>-193107000</v>
      </c>
      <c r="O94" s="5">
        <v>-199754000</v>
      </c>
      <c r="P94" s="5">
        <v>-206629000</v>
      </c>
      <c r="Q94" s="5">
        <v>-213740000</v>
      </c>
      <c r="R94" s="5">
        <v>-221095000</v>
      </c>
      <c r="S94" s="5">
        <v>-228702000</v>
      </c>
      <c r="T94" s="5">
        <v>-236570000</v>
      </c>
      <c r="U94" s="5">
        <v>-244707000</v>
      </c>
      <c r="V94" s="5">
        <v>-253124000</v>
      </c>
      <c r="W94" s="5">
        <v>-261829000</v>
      </c>
      <c r="X94" s="5">
        <v>-270832000</v>
      </c>
      <c r="Y94" s="5">
        <v>-280143000</v>
      </c>
      <c r="Z94" s="5">
        <v>-289774000</v>
      </c>
      <c r="AA94" s="5">
        <v>-299734000</v>
      </c>
      <c r="AB94" s="5">
        <v>-310035000</v>
      </c>
      <c r="AC94" s="5">
        <v>-320689000</v>
      </c>
      <c r="AD94" s="5">
        <v>-331707000</v>
      </c>
      <c r="AE94" s="5">
        <v>-343102000</v>
      </c>
      <c r="AF94" s="5">
        <v>-354887000</v>
      </c>
      <c r="AG94" s="5">
        <v>-367075000</v>
      </c>
      <c r="AH94" s="4">
        <v>0</v>
      </c>
      <c r="AI94" s="4">
        <v>0</v>
      </c>
      <c r="AJ94" s="4">
        <v>0</v>
      </c>
      <c r="AK94" s="4">
        <v>0</v>
      </c>
      <c r="AL94" s="4">
        <v>0</v>
      </c>
      <c r="AM94" s="4">
        <v>0</v>
      </c>
      <c r="AN94" s="4">
        <v>0</v>
      </c>
      <c r="AO94" s="4">
        <v>0</v>
      </c>
      <c r="AP94" s="4">
        <v>0</v>
      </c>
      <c r="AQ94" s="4">
        <v>0</v>
      </c>
      <c r="AR94" s="4">
        <v>0</v>
      </c>
      <c r="AS94" s="4">
        <v>0</v>
      </c>
      <c r="AT94" s="4">
        <v>0</v>
      </c>
      <c r="AU94" s="4">
        <v>0</v>
      </c>
      <c r="AV94" s="4">
        <v>0</v>
      </c>
      <c r="AW94" s="4">
        <v>0</v>
      </c>
      <c r="AX94" s="4">
        <v>0</v>
      </c>
      <c r="AY94" s="4">
        <v>0</v>
      </c>
      <c r="AZ94" s="4">
        <v>0</v>
      </c>
      <c r="BA94" s="4">
        <v>0</v>
      </c>
    </row>
    <row r="95" spans="1:53" x14ac:dyDescent="0.2">
      <c r="A95" s="4" t="s">
        <v>104</v>
      </c>
      <c r="B95" s="4" t="s">
        <v>33</v>
      </c>
      <c r="C95" s="4">
        <v>0</v>
      </c>
      <c r="D95" s="5">
        <v>101607000</v>
      </c>
      <c r="E95" s="5">
        <v>145008000</v>
      </c>
      <c r="F95" s="5">
        <v>150045000</v>
      </c>
      <c r="G95" s="5">
        <v>155256000</v>
      </c>
      <c r="H95" s="5">
        <v>160649000</v>
      </c>
      <c r="I95" s="5">
        <v>166229000</v>
      </c>
      <c r="J95" s="5">
        <v>172004000</v>
      </c>
      <c r="K95" s="5">
        <v>177979000</v>
      </c>
      <c r="L95" s="5">
        <v>184162000</v>
      </c>
      <c r="M95" s="5">
        <v>190560000</v>
      </c>
      <c r="N95" s="5">
        <v>197180000</v>
      </c>
      <c r="O95" s="5">
        <v>204031000</v>
      </c>
      <c r="P95" s="5">
        <v>211120000</v>
      </c>
      <c r="Q95" s="5">
        <v>218455000</v>
      </c>
      <c r="R95" s="5">
        <v>226046000</v>
      </c>
      <c r="S95" s="5">
        <v>233900000</v>
      </c>
      <c r="T95" s="5">
        <v>242028000</v>
      </c>
      <c r="U95" s="5">
        <v>250439000</v>
      </c>
      <c r="V95" s="5">
        <v>259142000</v>
      </c>
      <c r="W95" s="5">
        <v>268147000</v>
      </c>
      <c r="X95" s="5">
        <v>277467000</v>
      </c>
      <c r="Y95" s="5">
        <v>287110000</v>
      </c>
      <c r="Z95" s="5">
        <v>297089000</v>
      </c>
      <c r="AA95" s="5">
        <v>307414000</v>
      </c>
      <c r="AB95" s="5">
        <v>318100000</v>
      </c>
      <c r="AC95" s="5">
        <v>329156000</v>
      </c>
      <c r="AD95" s="5">
        <v>340598000</v>
      </c>
      <c r="AE95" s="5">
        <v>352438000</v>
      </c>
      <c r="AF95" s="5">
        <v>364689000</v>
      </c>
      <c r="AG95" s="5">
        <v>377367000</v>
      </c>
      <c r="AH95" s="4">
        <v>0</v>
      </c>
      <c r="AI95" s="4">
        <v>0</v>
      </c>
      <c r="AJ95" s="4">
        <v>0</v>
      </c>
      <c r="AK95" s="4">
        <v>0</v>
      </c>
      <c r="AL95" s="4">
        <v>0</v>
      </c>
      <c r="AM95" s="4">
        <v>0</v>
      </c>
      <c r="AN95" s="4">
        <v>0</v>
      </c>
      <c r="AO95" s="4">
        <v>0</v>
      </c>
      <c r="AP95" s="4">
        <v>0</v>
      </c>
      <c r="AQ95" s="4">
        <v>0</v>
      </c>
      <c r="AR95" s="4">
        <v>0</v>
      </c>
      <c r="AS95" s="4">
        <v>0</v>
      </c>
      <c r="AT95" s="4">
        <v>0</v>
      </c>
      <c r="AU95" s="4">
        <v>0</v>
      </c>
      <c r="AV95" s="4">
        <v>0</v>
      </c>
      <c r="AW95" s="4">
        <v>0</v>
      </c>
      <c r="AX95" s="4">
        <v>0</v>
      </c>
      <c r="AY95" s="4">
        <v>0</v>
      </c>
      <c r="AZ95" s="4">
        <v>0</v>
      </c>
      <c r="BA95" s="4">
        <v>0</v>
      </c>
    </row>
    <row r="96" spans="1:53" x14ac:dyDescent="0.2">
      <c r="A96" s="8" t="s">
        <v>93</v>
      </c>
      <c r="B96" s="4" t="s">
        <v>33</v>
      </c>
      <c r="C96" s="4">
        <v>0</v>
      </c>
      <c r="D96" s="5">
        <v>-101607000</v>
      </c>
      <c r="E96" s="5">
        <v>-143291000</v>
      </c>
      <c r="F96" s="5">
        <v>-147288000</v>
      </c>
      <c r="G96" s="5">
        <v>-152362000</v>
      </c>
      <c r="H96" s="5">
        <v>-157610000</v>
      </c>
      <c r="I96" s="5">
        <v>-163038000</v>
      </c>
      <c r="J96" s="5">
        <v>-168653000</v>
      </c>
      <c r="K96" s="5">
        <v>-174460000</v>
      </c>
      <c r="L96" s="5">
        <v>-180467000</v>
      </c>
      <c r="M96" s="5">
        <v>-186680000</v>
      </c>
      <c r="N96" s="5">
        <v>-193107000</v>
      </c>
      <c r="O96" s="5">
        <v>-199754000</v>
      </c>
      <c r="P96" s="5">
        <v>-206629000</v>
      </c>
      <c r="Q96" s="5">
        <v>-213740000</v>
      </c>
      <c r="R96" s="5">
        <v>-221095000</v>
      </c>
      <c r="S96" s="5">
        <v>-228702000</v>
      </c>
      <c r="T96" s="5">
        <v>-236570000</v>
      </c>
      <c r="U96" s="5">
        <v>-244707000</v>
      </c>
      <c r="V96" s="5">
        <v>-253124000</v>
      </c>
      <c r="W96" s="5">
        <v>-261829000</v>
      </c>
      <c r="X96" s="5">
        <v>-270832000</v>
      </c>
      <c r="Y96" s="5">
        <v>-280143000</v>
      </c>
      <c r="Z96" s="5">
        <v>-289774000</v>
      </c>
      <c r="AA96" s="5">
        <v>-299734000</v>
      </c>
      <c r="AB96" s="5">
        <v>-310035000</v>
      </c>
      <c r="AC96" s="5">
        <v>-320689000</v>
      </c>
      <c r="AD96" s="5">
        <v>-331707000</v>
      </c>
      <c r="AE96" s="5">
        <v>-343102000</v>
      </c>
      <c r="AF96" s="5">
        <v>-354887000</v>
      </c>
      <c r="AG96" s="5">
        <v>-363444000</v>
      </c>
      <c r="AH96" s="4" t="s">
        <v>7</v>
      </c>
      <c r="AI96" s="4" t="s">
        <v>7</v>
      </c>
      <c r="AJ96" s="4" t="s">
        <v>7</v>
      </c>
      <c r="AK96" s="4" t="s">
        <v>7</v>
      </c>
      <c r="AL96" s="4" t="s">
        <v>7</v>
      </c>
      <c r="AM96" s="4" t="s">
        <v>7</v>
      </c>
      <c r="AN96" s="4" t="s">
        <v>7</v>
      </c>
      <c r="AO96" s="4" t="s">
        <v>7</v>
      </c>
      <c r="AP96" s="4" t="s">
        <v>7</v>
      </c>
      <c r="AQ96" s="4" t="s">
        <v>7</v>
      </c>
      <c r="AR96" s="4" t="s">
        <v>7</v>
      </c>
      <c r="AS96" s="4" t="s">
        <v>7</v>
      </c>
      <c r="AT96" s="4" t="s">
        <v>7</v>
      </c>
      <c r="AU96" s="4" t="s">
        <v>7</v>
      </c>
      <c r="AV96" s="4" t="s">
        <v>7</v>
      </c>
      <c r="AW96" s="4" t="s">
        <v>7</v>
      </c>
      <c r="AX96" s="4" t="s">
        <v>7</v>
      </c>
      <c r="AY96" s="4" t="s">
        <v>7</v>
      </c>
      <c r="AZ96" s="4" t="s">
        <v>7</v>
      </c>
      <c r="BA96" s="4" t="s">
        <v>7</v>
      </c>
    </row>
    <row r="97" spans="1:53" x14ac:dyDescent="0.2">
      <c r="A97" s="4"/>
      <c r="B97" s="4"/>
      <c r="C97" s="4"/>
      <c r="D97" s="4"/>
      <c r="E97" s="4"/>
      <c r="F97" s="4" t="s">
        <v>7</v>
      </c>
      <c r="G97" s="4" t="s">
        <v>7</v>
      </c>
      <c r="H97" s="4" t="s">
        <v>7</v>
      </c>
      <c r="I97" s="4" t="s">
        <v>7</v>
      </c>
      <c r="J97" s="4" t="s">
        <v>7</v>
      </c>
      <c r="K97" s="4" t="s">
        <v>7</v>
      </c>
      <c r="L97" s="4" t="s">
        <v>7</v>
      </c>
      <c r="M97" s="4" t="s">
        <v>7</v>
      </c>
      <c r="N97" s="4" t="s">
        <v>7</v>
      </c>
      <c r="O97" s="4" t="s">
        <v>7</v>
      </c>
      <c r="P97" s="4" t="s">
        <v>7</v>
      </c>
      <c r="Q97" s="4" t="s">
        <v>7</v>
      </c>
      <c r="R97" s="4" t="s">
        <v>7</v>
      </c>
      <c r="S97" s="4" t="s">
        <v>7</v>
      </c>
      <c r="T97" s="4" t="s">
        <v>7</v>
      </c>
      <c r="U97" s="4" t="s">
        <v>7</v>
      </c>
      <c r="V97" s="4" t="s">
        <v>7</v>
      </c>
      <c r="W97" s="4" t="s">
        <v>7</v>
      </c>
      <c r="X97" s="4" t="s">
        <v>7</v>
      </c>
      <c r="Y97" s="4" t="s">
        <v>7</v>
      </c>
      <c r="Z97" s="4" t="s">
        <v>7</v>
      </c>
      <c r="AA97" s="4" t="s">
        <v>7</v>
      </c>
      <c r="AB97" s="4" t="s">
        <v>7</v>
      </c>
      <c r="AC97" s="4" t="s">
        <v>7</v>
      </c>
      <c r="AD97" s="4" t="s">
        <v>7</v>
      </c>
      <c r="AE97" s="4" t="s">
        <v>7</v>
      </c>
      <c r="AF97" s="4" t="s">
        <v>7</v>
      </c>
      <c r="AG97" s="4" t="s">
        <v>7</v>
      </c>
      <c r="AH97" s="4" t="s">
        <v>7</v>
      </c>
      <c r="AI97" s="4" t="s">
        <v>7</v>
      </c>
      <c r="AJ97" s="4" t="s">
        <v>7</v>
      </c>
      <c r="AK97" s="4" t="s">
        <v>7</v>
      </c>
      <c r="AL97" s="4" t="s">
        <v>7</v>
      </c>
      <c r="AM97" s="4" t="s">
        <v>7</v>
      </c>
      <c r="AN97" s="4" t="s">
        <v>7</v>
      </c>
      <c r="AO97" s="4" t="s">
        <v>7</v>
      </c>
      <c r="AP97" s="4" t="s">
        <v>7</v>
      </c>
      <c r="AQ97" s="4" t="s">
        <v>7</v>
      </c>
      <c r="AR97" s="4" t="s">
        <v>7</v>
      </c>
      <c r="AS97" s="4" t="s">
        <v>7</v>
      </c>
      <c r="AT97" s="4" t="s">
        <v>7</v>
      </c>
      <c r="AU97" s="4" t="s">
        <v>7</v>
      </c>
      <c r="AV97" s="4" t="s">
        <v>7</v>
      </c>
      <c r="AW97" s="4" t="s">
        <v>7</v>
      </c>
      <c r="AX97" s="4" t="s">
        <v>7</v>
      </c>
      <c r="AY97" s="4" t="s">
        <v>7</v>
      </c>
      <c r="AZ97" s="4" t="s">
        <v>7</v>
      </c>
      <c r="BA97" s="4" t="s">
        <v>7</v>
      </c>
    </row>
    <row r="98" spans="1:53" x14ac:dyDescent="0.2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</row>
    <row r="99" spans="1:53" x14ac:dyDescent="0.2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</row>
    <row r="100" spans="1:53" x14ac:dyDescent="0.2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</row>
    <row r="101" spans="1:53" x14ac:dyDescent="0.2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</row>
    <row r="102" spans="1:53" x14ac:dyDescent="0.2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</row>
    <row r="103" spans="1:53" x14ac:dyDescent="0.2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</row>
    <row r="104" spans="1:53" x14ac:dyDescent="0.2">
      <c r="A104" s="4" t="s">
        <v>64</v>
      </c>
      <c r="B104" s="4" t="s">
        <v>33</v>
      </c>
      <c r="C104" s="4">
        <v>0</v>
      </c>
      <c r="D104" s="4">
        <v>0</v>
      </c>
      <c r="E104" s="5">
        <v>1716730</v>
      </c>
      <c r="F104" s="5">
        <v>4542270</v>
      </c>
      <c r="G104" s="5">
        <v>7618670</v>
      </c>
      <c r="H104" s="5">
        <v>10962900</v>
      </c>
      <c r="I104" s="5">
        <v>14592800</v>
      </c>
      <c r="J104" s="5">
        <v>18527500</v>
      </c>
      <c r="K104" s="5">
        <v>22787100</v>
      </c>
      <c r="L104" s="5">
        <v>27393100</v>
      </c>
      <c r="M104" s="5">
        <v>32368000</v>
      </c>
      <c r="N104" s="5">
        <v>37735900</v>
      </c>
      <c r="O104" s="5">
        <v>43522100</v>
      </c>
      <c r="P104" s="5">
        <v>49753600</v>
      </c>
      <c r="Q104" s="5">
        <v>56459000</v>
      </c>
      <c r="R104" s="5">
        <v>63668200</v>
      </c>
      <c r="S104" s="5">
        <v>71413500</v>
      </c>
      <c r="T104" s="5">
        <v>79728400</v>
      </c>
      <c r="U104" s="5">
        <v>88648900</v>
      </c>
      <c r="V104" s="5">
        <v>98212700</v>
      </c>
      <c r="W104" s="5">
        <v>108460000</v>
      </c>
      <c r="X104" s="5">
        <v>119433000</v>
      </c>
      <c r="Y104" s="5">
        <v>131177000</v>
      </c>
      <c r="Z104" s="5">
        <v>143739000</v>
      </c>
      <c r="AA104" s="5">
        <v>157169000</v>
      </c>
      <c r="AB104" s="5">
        <v>171520000</v>
      </c>
      <c r="AC104" s="5">
        <v>186849000</v>
      </c>
      <c r="AD104" s="5">
        <v>203214000</v>
      </c>
      <c r="AE104" s="5">
        <v>220678000</v>
      </c>
      <c r="AF104" s="5">
        <v>239308000</v>
      </c>
      <c r="AG104" s="5">
        <v>259173000</v>
      </c>
      <c r="AH104" s="5">
        <v>269540000</v>
      </c>
      <c r="AI104" s="5">
        <v>280321000</v>
      </c>
      <c r="AJ104" s="5">
        <v>291534000</v>
      </c>
      <c r="AK104" s="5">
        <v>303195000</v>
      </c>
      <c r="AL104" s="5">
        <v>315323000</v>
      </c>
      <c r="AM104" s="5">
        <v>327936000</v>
      </c>
      <c r="AN104" s="5">
        <v>341054000</v>
      </c>
      <c r="AO104" s="5">
        <v>354696000</v>
      </c>
      <c r="AP104" s="5">
        <v>368884000</v>
      </c>
      <c r="AQ104" s="5">
        <v>383639000</v>
      </c>
      <c r="AR104" s="5">
        <v>398985000</v>
      </c>
      <c r="AS104" s="5">
        <v>414944000</v>
      </c>
      <c r="AT104" s="5">
        <v>431542000</v>
      </c>
      <c r="AU104" s="5">
        <v>448803000</v>
      </c>
      <c r="AV104" s="5">
        <v>466756000</v>
      </c>
      <c r="AW104" s="5">
        <v>485426000</v>
      </c>
      <c r="AX104" s="5">
        <v>504843000</v>
      </c>
      <c r="AY104" s="5">
        <v>525037000</v>
      </c>
      <c r="AZ104" s="5">
        <v>546038000</v>
      </c>
      <c r="BA104" s="5">
        <v>567879000</v>
      </c>
    </row>
    <row r="105" spans="1:53" x14ac:dyDescent="0.2">
      <c r="A105" s="4" t="s">
        <v>65</v>
      </c>
      <c r="B105" s="4" t="s">
        <v>33</v>
      </c>
      <c r="C105" s="4">
        <v>0</v>
      </c>
      <c r="D105" s="4">
        <v>0</v>
      </c>
      <c r="E105" s="5">
        <v>1587210</v>
      </c>
      <c r="F105" s="5">
        <v>4038060</v>
      </c>
      <c r="G105" s="5">
        <v>6512470</v>
      </c>
      <c r="H105" s="5">
        <v>9010670</v>
      </c>
      <c r="I105" s="5">
        <v>11532900</v>
      </c>
      <c r="J105" s="5">
        <v>14079400</v>
      </c>
      <c r="K105" s="5">
        <v>16650300</v>
      </c>
      <c r="L105" s="5">
        <v>19246000</v>
      </c>
      <c r="M105" s="5">
        <v>21866700</v>
      </c>
      <c r="N105" s="5">
        <v>24512500</v>
      </c>
      <c r="O105" s="5">
        <v>27183800</v>
      </c>
      <c r="P105" s="5">
        <v>29880700</v>
      </c>
      <c r="Q105" s="5">
        <v>32603600</v>
      </c>
      <c r="R105" s="5">
        <v>35352700</v>
      </c>
      <c r="S105" s="5">
        <v>38128200</v>
      </c>
      <c r="T105" s="5">
        <v>40930400</v>
      </c>
      <c r="U105" s="5">
        <v>43759600</v>
      </c>
      <c r="V105" s="5">
        <v>46615900</v>
      </c>
      <c r="W105" s="5">
        <v>49499700</v>
      </c>
      <c r="X105" s="5">
        <v>52411300</v>
      </c>
      <c r="Y105" s="5">
        <v>55350800</v>
      </c>
      <c r="Z105" s="5">
        <v>58318600</v>
      </c>
      <c r="AA105" s="5">
        <v>61315000</v>
      </c>
      <c r="AB105" s="5">
        <v>64340100</v>
      </c>
      <c r="AC105" s="5">
        <v>67394300</v>
      </c>
      <c r="AD105" s="5">
        <v>70477900</v>
      </c>
      <c r="AE105" s="5">
        <v>73591200</v>
      </c>
      <c r="AF105" s="5">
        <v>76734400</v>
      </c>
      <c r="AG105" s="5">
        <v>79907800</v>
      </c>
      <c r="AH105" s="5">
        <v>79907800</v>
      </c>
      <c r="AI105" s="5">
        <v>79907800</v>
      </c>
      <c r="AJ105" s="5">
        <v>79907800</v>
      </c>
      <c r="AK105" s="5">
        <v>79907800</v>
      </c>
      <c r="AL105" s="5">
        <v>79907800</v>
      </c>
      <c r="AM105" s="5">
        <v>79907800</v>
      </c>
      <c r="AN105" s="5">
        <v>79907800</v>
      </c>
      <c r="AO105" s="5">
        <v>79907800</v>
      </c>
      <c r="AP105" s="5">
        <v>79907800</v>
      </c>
      <c r="AQ105" s="5">
        <v>79907800</v>
      </c>
      <c r="AR105" s="5">
        <v>79907800</v>
      </c>
      <c r="AS105" s="5">
        <v>79907800</v>
      </c>
      <c r="AT105" s="5">
        <v>79907800</v>
      </c>
      <c r="AU105" s="5">
        <v>79907800</v>
      </c>
      <c r="AV105" s="5">
        <v>79907800</v>
      </c>
      <c r="AW105" s="5">
        <v>79907800</v>
      </c>
      <c r="AX105" s="5">
        <v>79907800</v>
      </c>
      <c r="AY105" s="5">
        <v>79907800</v>
      </c>
      <c r="AZ105" s="5">
        <v>79907800</v>
      </c>
      <c r="BA105" s="5">
        <v>79907800</v>
      </c>
    </row>
    <row r="106" spans="1:53" x14ac:dyDescent="0.2">
      <c r="A106" s="4" t="s">
        <v>66</v>
      </c>
      <c r="B106" s="4" t="s">
        <v>33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  <c r="J106" s="4">
        <v>0</v>
      </c>
      <c r="K106" s="4">
        <v>0</v>
      </c>
      <c r="L106" s="4">
        <v>0</v>
      </c>
      <c r="M106" s="4">
        <v>0</v>
      </c>
      <c r="N106" s="4">
        <v>0</v>
      </c>
      <c r="O106" s="4">
        <v>0</v>
      </c>
      <c r="P106" s="4">
        <v>0</v>
      </c>
      <c r="Q106" s="4">
        <v>0</v>
      </c>
      <c r="R106" s="4">
        <v>0</v>
      </c>
      <c r="S106" s="4">
        <v>0</v>
      </c>
      <c r="T106" s="4">
        <v>0</v>
      </c>
      <c r="U106" s="4">
        <v>0</v>
      </c>
      <c r="V106" s="4">
        <v>0</v>
      </c>
      <c r="W106" s="4">
        <v>0</v>
      </c>
      <c r="X106" s="4">
        <v>0</v>
      </c>
      <c r="Y106" s="4">
        <v>0</v>
      </c>
      <c r="Z106" s="4">
        <v>0</v>
      </c>
      <c r="AA106" s="4">
        <v>0</v>
      </c>
      <c r="AB106" s="4">
        <v>0</v>
      </c>
      <c r="AC106" s="4">
        <v>0</v>
      </c>
      <c r="AD106" s="4">
        <v>0</v>
      </c>
      <c r="AE106" s="4">
        <v>0</v>
      </c>
      <c r="AF106" s="4">
        <v>0</v>
      </c>
      <c r="AG106" s="4">
        <v>0</v>
      </c>
      <c r="AH106" s="4">
        <v>0</v>
      </c>
      <c r="AI106" s="4">
        <v>0</v>
      </c>
      <c r="AJ106" s="4">
        <v>0</v>
      </c>
      <c r="AK106" s="4">
        <v>0</v>
      </c>
      <c r="AL106" s="4">
        <v>0</v>
      </c>
      <c r="AM106" s="4">
        <v>0</v>
      </c>
      <c r="AN106" s="4">
        <v>0</v>
      </c>
      <c r="AO106" s="4">
        <v>0</v>
      </c>
      <c r="AP106" s="4">
        <v>0</v>
      </c>
      <c r="AQ106" s="4">
        <v>0</v>
      </c>
      <c r="AR106" s="4">
        <v>0</v>
      </c>
      <c r="AS106" s="4">
        <v>0</v>
      </c>
      <c r="AT106" s="4">
        <v>0</v>
      </c>
      <c r="AU106" s="4">
        <v>0</v>
      </c>
      <c r="AV106" s="4">
        <v>0</v>
      </c>
      <c r="AW106" s="4">
        <v>0</v>
      </c>
      <c r="AX106" s="4">
        <v>0</v>
      </c>
      <c r="AY106" s="4">
        <v>0</v>
      </c>
      <c r="AZ106" s="4">
        <v>0</v>
      </c>
      <c r="BA106" s="4">
        <v>0</v>
      </c>
    </row>
    <row r="107" spans="1:53" x14ac:dyDescent="0.2">
      <c r="A107" s="4" t="s">
        <v>336</v>
      </c>
      <c r="B107" s="4" t="s">
        <v>33</v>
      </c>
      <c r="C107" s="4">
        <v>0</v>
      </c>
      <c r="D107" s="5">
        <v>97698700</v>
      </c>
      <c r="E107" s="5">
        <v>231767000</v>
      </c>
      <c r="F107" s="5">
        <v>365156000</v>
      </c>
      <c r="G107" s="5">
        <v>497870000</v>
      </c>
      <c r="H107" s="5">
        <v>629912000</v>
      </c>
      <c r="I107" s="5">
        <v>761285000</v>
      </c>
      <c r="J107" s="5">
        <v>891994000</v>
      </c>
      <c r="K107" s="5">
        <v>1022040000</v>
      </c>
      <c r="L107" s="5">
        <v>1151430000</v>
      </c>
      <c r="M107" s="5">
        <v>1280170000</v>
      </c>
      <c r="N107" s="5">
        <v>1408250000</v>
      </c>
      <c r="O107" s="5">
        <v>1535690000</v>
      </c>
      <c r="P107" s="5">
        <v>1662480000</v>
      </c>
      <c r="Q107" s="5">
        <v>1788630000</v>
      </c>
      <c r="R107" s="5">
        <v>1914150000</v>
      </c>
      <c r="S107" s="5">
        <v>2039030000</v>
      </c>
      <c r="T107" s="5">
        <v>2163280000</v>
      </c>
      <c r="U107" s="5">
        <v>2286900000</v>
      </c>
      <c r="V107" s="5">
        <v>2409900000</v>
      </c>
      <c r="W107" s="5">
        <v>2532280000</v>
      </c>
      <c r="X107" s="5">
        <v>2654040000</v>
      </c>
      <c r="Y107" s="5">
        <v>2775190000</v>
      </c>
      <c r="Z107" s="5">
        <v>2895730000</v>
      </c>
      <c r="AA107" s="5">
        <v>3015660000</v>
      </c>
      <c r="AB107" s="5">
        <v>3134980000</v>
      </c>
      <c r="AC107" s="5">
        <v>3253700000</v>
      </c>
      <c r="AD107" s="5">
        <v>3371830000</v>
      </c>
      <c r="AE107" s="5">
        <v>3489360000</v>
      </c>
      <c r="AF107" s="5">
        <v>3606300000</v>
      </c>
      <c r="AG107" s="5">
        <v>3722650000</v>
      </c>
      <c r="AH107" s="5">
        <v>3722650000</v>
      </c>
      <c r="AI107" s="5">
        <v>3722650000</v>
      </c>
      <c r="AJ107" s="5">
        <v>3722650000</v>
      </c>
      <c r="AK107" s="5">
        <v>3722650000</v>
      </c>
      <c r="AL107" s="5">
        <v>3722650000</v>
      </c>
      <c r="AM107" s="5">
        <v>3722650000</v>
      </c>
      <c r="AN107" s="5">
        <v>3722650000</v>
      </c>
      <c r="AO107" s="5">
        <v>3722650000</v>
      </c>
      <c r="AP107" s="5">
        <v>3722650000</v>
      </c>
      <c r="AQ107" s="5">
        <v>3722650000</v>
      </c>
      <c r="AR107" s="5">
        <v>3722650000</v>
      </c>
      <c r="AS107" s="5">
        <v>3722650000</v>
      </c>
      <c r="AT107" s="5">
        <v>3722650000</v>
      </c>
      <c r="AU107" s="5">
        <v>3722650000</v>
      </c>
      <c r="AV107" s="5">
        <v>3722650000</v>
      </c>
      <c r="AW107" s="5">
        <v>3722650000</v>
      </c>
      <c r="AX107" s="5">
        <v>3722650000</v>
      </c>
      <c r="AY107" s="5">
        <v>3722650000</v>
      </c>
      <c r="AZ107" s="5">
        <v>3722650000</v>
      </c>
      <c r="BA107" s="5">
        <v>3722650000</v>
      </c>
    </row>
    <row r="108" spans="1:53" x14ac:dyDescent="0.2">
      <c r="A108" s="4" t="s">
        <v>337</v>
      </c>
      <c r="B108" s="4"/>
      <c r="C108" s="4">
        <v>0</v>
      </c>
      <c r="D108" s="5">
        <v>97698700</v>
      </c>
      <c r="E108" s="5">
        <v>231767000</v>
      </c>
      <c r="F108" s="5">
        <v>365156000</v>
      </c>
      <c r="G108" s="5">
        <v>497870000</v>
      </c>
      <c r="H108" s="5">
        <v>629912000</v>
      </c>
      <c r="I108" s="5">
        <v>761285000</v>
      </c>
      <c r="J108" s="5">
        <v>891994000</v>
      </c>
      <c r="K108" s="5">
        <v>1022040000</v>
      </c>
      <c r="L108" s="5">
        <v>1151430000</v>
      </c>
      <c r="M108" s="5">
        <v>1280170000</v>
      </c>
      <c r="N108" s="5">
        <v>1408250000</v>
      </c>
      <c r="O108" s="5">
        <v>1535690000</v>
      </c>
      <c r="P108" s="5">
        <v>1662480000</v>
      </c>
      <c r="Q108" s="5">
        <v>1788630000</v>
      </c>
      <c r="R108" s="5">
        <v>1914150000</v>
      </c>
      <c r="S108" s="5">
        <v>2039030000</v>
      </c>
      <c r="T108" s="5">
        <v>2163280000</v>
      </c>
      <c r="U108" s="5">
        <v>2286900000</v>
      </c>
      <c r="V108" s="5">
        <v>2409900000</v>
      </c>
      <c r="W108" s="5">
        <v>2532280000</v>
      </c>
      <c r="X108" s="5">
        <v>2654040000</v>
      </c>
      <c r="Y108" s="5">
        <v>2775190000</v>
      </c>
      <c r="Z108" s="5">
        <v>2895730000</v>
      </c>
      <c r="AA108" s="5">
        <v>3015660000</v>
      </c>
      <c r="AB108" s="5">
        <v>3134980000</v>
      </c>
      <c r="AC108" s="5">
        <v>3253700000</v>
      </c>
      <c r="AD108" s="5">
        <v>3371830000</v>
      </c>
      <c r="AE108" s="5">
        <v>3489360000</v>
      </c>
      <c r="AF108" s="5">
        <v>3606300000</v>
      </c>
      <c r="AG108" s="5">
        <v>3722650000</v>
      </c>
      <c r="AH108" s="5">
        <v>3722650000</v>
      </c>
      <c r="AI108" s="5">
        <v>3722650000</v>
      </c>
      <c r="AJ108" s="5">
        <v>3722650000</v>
      </c>
      <c r="AK108" s="5">
        <v>3722650000</v>
      </c>
      <c r="AL108" s="5">
        <v>3722650000</v>
      </c>
      <c r="AM108" s="5">
        <v>3722650000</v>
      </c>
      <c r="AN108" s="5">
        <v>3722650000</v>
      </c>
      <c r="AO108" s="5">
        <v>3722650000</v>
      </c>
      <c r="AP108" s="5">
        <v>3722650000</v>
      </c>
      <c r="AQ108" s="5">
        <v>3722650000</v>
      </c>
      <c r="AR108" s="5">
        <v>3722650000</v>
      </c>
      <c r="AS108" s="5">
        <v>3722650000</v>
      </c>
      <c r="AT108" s="5">
        <v>3722650000</v>
      </c>
      <c r="AU108" s="5">
        <v>3722650000</v>
      </c>
      <c r="AV108" s="5">
        <v>3722650000</v>
      </c>
      <c r="AW108" s="5">
        <v>3722650000</v>
      </c>
      <c r="AX108" s="5">
        <v>3722650000</v>
      </c>
      <c r="AY108" s="5">
        <v>3722650000</v>
      </c>
      <c r="AZ108" s="5">
        <v>3722650000</v>
      </c>
      <c r="BA108" s="5">
        <v>3722650000</v>
      </c>
    </row>
    <row r="109" spans="1:53" x14ac:dyDescent="0.2">
      <c r="A109" s="4" t="s">
        <v>67</v>
      </c>
      <c r="B109" s="4" t="s">
        <v>33</v>
      </c>
      <c r="C109" s="4">
        <v>0</v>
      </c>
      <c r="D109" s="5">
        <v>-97698700</v>
      </c>
      <c r="E109" s="5">
        <v>-132481000</v>
      </c>
      <c r="F109" s="5">
        <v>-130938000</v>
      </c>
      <c r="G109" s="5">
        <v>-130239000</v>
      </c>
      <c r="H109" s="5">
        <v>-129544000</v>
      </c>
      <c r="I109" s="5">
        <v>-128851000</v>
      </c>
      <c r="J109" s="5">
        <v>-128162000</v>
      </c>
      <c r="K109" s="5">
        <v>-127476000</v>
      </c>
      <c r="L109" s="5">
        <v>-126794000</v>
      </c>
      <c r="M109" s="5">
        <v>-126115000</v>
      </c>
      <c r="N109" s="5">
        <v>-125439000</v>
      </c>
      <c r="O109" s="5">
        <v>-124766000</v>
      </c>
      <c r="P109" s="5">
        <v>-124096000</v>
      </c>
      <c r="Q109" s="5">
        <v>-123429000</v>
      </c>
      <c r="R109" s="5">
        <v>-122766000</v>
      </c>
      <c r="S109" s="5">
        <v>-122106000</v>
      </c>
      <c r="T109" s="5">
        <v>-121449000</v>
      </c>
      <c r="U109" s="5">
        <v>-120794000</v>
      </c>
      <c r="V109" s="5">
        <v>-120143000</v>
      </c>
      <c r="W109" s="5">
        <v>-119495000</v>
      </c>
      <c r="X109" s="5">
        <v>-118850000</v>
      </c>
      <c r="Y109" s="5">
        <v>-118208000</v>
      </c>
      <c r="Z109" s="5">
        <v>-117569000</v>
      </c>
      <c r="AA109" s="5">
        <v>-116933000</v>
      </c>
      <c r="AB109" s="5">
        <v>-116299000</v>
      </c>
      <c r="AC109" s="5">
        <v>-115669000</v>
      </c>
      <c r="AD109" s="5">
        <v>-115041000</v>
      </c>
      <c r="AE109" s="5">
        <v>-114417000</v>
      </c>
      <c r="AF109" s="5">
        <v>-113795000</v>
      </c>
      <c r="AG109" s="5">
        <v>-113176000</v>
      </c>
      <c r="AH109" s="4">
        <v>0</v>
      </c>
      <c r="AI109" s="4">
        <v>0</v>
      </c>
      <c r="AJ109" s="4">
        <v>0</v>
      </c>
      <c r="AK109" s="4">
        <v>0</v>
      </c>
      <c r="AL109" s="4">
        <v>0</v>
      </c>
      <c r="AM109" s="4">
        <v>0</v>
      </c>
      <c r="AN109" s="4">
        <v>0</v>
      </c>
      <c r="AO109" s="4">
        <v>0</v>
      </c>
      <c r="AP109" s="4">
        <v>0</v>
      </c>
      <c r="AQ109" s="4">
        <v>0</v>
      </c>
      <c r="AR109" s="4">
        <v>0</v>
      </c>
      <c r="AS109" s="4">
        <v>0</v>
      </c>
      <c r="AT109" s="4">
        <v>0</v>
      </c>
      <c r="AU109" s="4">
        <v>0</v>
      </c>
      <c r="AV109" s="4">
        <v>0</v>
      </c>
      <c r="AW109" s="4">
        <v>0</v>
      </c>
      <c r="AX109" s="4">
        <v>0</v>
      </c>
      <c r="AY109" s="4">
        <v>0</v>
      </c>
      <c r="AZ109" s="4">
        <v>0</v>
      </c>
      <c r="BA109" s="4">
        <v>0</v>
      </c>
    </row>
    <row r="110" spans="1:53" x14ac:dyDescent="0.2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</row>
    <row r="111" spans="1:53" x14ac:dyDescent="0.2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</row>
    <row r="112" spans="1:53" x14ac:dyDescent="0.2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</row>
    <row r="113" spans="1:53" x14ac:dyDescent="0.2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</row>
    <row r="114" spans="1:53" x14ac:dyDescent="0.2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</row>
    <row r="115" spans="1:53" x14ac:dyDescent="0.2">
      <c r="A115" s="8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</row>
    <row r="116" spans="1:53" x14ac:dyDescent="0.2">
      <c r="A116" s="4" t="s">
        <v>68</v>
      </c>
      <c r="B116" s="4" t="s">
        <v>33</v>
      </c>
      <c r="C116" s="4">
        <v>0</v>
      </c>
      <c r="D116" s="5">
        <v>-97698700</v>
      </c>
      <c r="E116" s="5">
        <v>-230180000</v>
      </c>
      <c r="F116" s="5">
        <v>-361118000</v>
      </c>
      <c r="G116" s="5">
        <v>-491357000</v>
      </c>
      <c r="H116" s="5">
        <v>-620901000</v>
      </c>
      <c r="I116" s="5">
        <v>-749752000</v>
      </c>
      <c r="J116" s="5">
        <v>-877914000</v>
      </c>
      <c r="K116" s="5">
        <v>-1005390000</v>
      </c>
      <c r="L116" s="5">
        <v>-1132180000</v>
      </c>
      <c r="M116" s="5">
        <v>-1258300000</v>
      </c>
      <c r="N116" s="5">
        <v>-1383740000</v>
      </c>
      <c r="O116" s="5">
        <v>-1508500000</v>
      </c>
      <c r="P116" s="5">
        <v>-1632600000</v>
      </c>
      <c r="Q116" s="5">
        <v>-1756030000</v>
      </c>
      <c r="R116" s="5">
        <v>-1878800000</v>
      </c>
      <c r="S116" s="5">
        <v>-2000900000</v>
      </c>
      <c r="T116" s="5">
        <v>-2122350000</v>
      </c>
      <c r="U116" s="5">
        <v>-2243140000</v>
      </c>
      <c r="V116" s="5">
        <v>-2363290000</v>
      </c>
      <c r="W116" s="5">
        <v>-2482780000</v>
      </c>
      <c r="X116" s="5">
        <v>-2601630000</v>
      </c>
      <c r="Y116" s="5">
        <v>-2719840000</v>
      </c>
      <c r="Z116" s="5">
        <v>-2837410000</v>
      </c>
      <c r="AA116" s="5">
        <v>-2954340000</v>
      </c>
      <c r="AB116" s="5">
        <v>-3070640000</v>
      </c>
      <c r="AC116" s="5">
        <v>-3186310000</v>
      </c>
      <c r="AD116" s="5">
        <v>-3301350000</v>
      </c>
      <c r="AE116" s="5">
        <v>-3415770000</v>
      </c>
      <c r="AF116" s="5">
        <v>-3529560000</v>
      </c>
      <c r="AG116" s="5">
        <v>-3641620000</v>
      </c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</row>
    <row r="117" spans="1:53" x14ac:dyDescent="0.2">
      <c r="A117" s="4" t="s">
        <v>69</v>
      </c>
      <c r="B117" s="4" t="s">
        <v>21</v>
      </c>
      <c r="C117" s="4">
        <v>0</v>
      </c>
      <c r="D117" s="4"/>
      <c r="E117" s="4" t="s">
        <v>7</v>
      </c>
      <c r="F117" s="4" t="s">
        <v>7</v>
      </c>
      <c r="G117" s="4" t="s">
        <v>7</v>
      </c>
      <c r="H117" s="4" t="s">
        <v>7</v>
      </c>
      <c r="I117" s="4" t="s">
        <v>7</v>
      </c>
      <c r="J117" s="4" t="s">
        <v>7</v>
      </c>
      <c r="K117" s="4" t="s">
        <v>7</v>
      </c>
      <c r="L117" s="4" t="s">
        <v>7</v>
      </c>
      <c r="M117" s="4" t="s">
        <v>7</v>
      </c>
      <c r="N117" s="4" t="s">
        <v>7</v>
      </c>
      <c r="O117" s="4" t="s">
        <v>7</v>
      </c>
      <c r="P117" s="4" t="s">
        <v>7</v>
      </c>
      <c r="Q117" s="4" t="s">
        <v>7</v>
      </c>
      <c r="R117" s="4" t="s">
        <v>7</v>
      </c>
      <c r="S117" s="4" t="s">
        <v>7</v>
      </c>
      <c r="T117" s="4" t="s">
        <v>7</v>
      </c>
      <c r="U117" s="4" t="s">
        <v>7</v>
      </c>
      <c r="V117" s="4" t="s">
        <v>7</v>
      </c>
      <c r="W117" s="4" t="s">
        <v>7</v>
      </c>
      <c r="X117" s="4" t="s">
        <v>7</v>
      </c>
      <c r="Y117" s="4" t="s">
        <v>7</v>
      </c>
      <c r="Z117" s="4" t="s">
        <v>7</v>
      </c>
      <c r="AA117" s="4" t="s">
        <v>7</v>
      </c>
      <c r="AB117" s="4" t="s">
        <v>7</v>
      </c>
      <c r="AC117" s="4" t="s">
        <v>7</v>
      </c>
      <c r="AD117" s="4" t="s">
        <v>7</v>
      </c>
      <c r="AE117" s="4" t="s">
        <v>7</v>
      </c>
      <c r="AF117" s="4" t="s">
        <v>7</v>
      </c>
      <c r="AG117" s="4" t="s">
        <v>7</v>
      </c>
      <c r="AH117" s="4" t="s">
        <v>7</v>
      </c>
      <c r="AI117" s="4" t="s">
        <v>7</v>
      </c>
      <c r="AJ117" s="4" t="s">
        <v>7</v>
      </c>
      <c r="AK117" s="4" t="s">
        <v>7</v>
      </c>
      <c r="AL117" s="4" t="s">
        <v>7</v>
      </c>
      <c r="AM117" s="4" t="s">
        <v>7</v>
      </c>
      <c r="AN117" s="4" t="s">
        <v>7</v>
      </c>
      <c r="AO117" s="4" t="s">
        <v>7</v>
      </c>
      <c r="AP117" s="4" t="s">
        <v>7</v>
      </c>
      <c r="AQ117" s="4" t="s">
        <v>7</v>
      </c>
      <c r="AR117" s="4" t="s">
        <v>7</v>
      </c>
      <c r="AS117" s="4" t="s">
        <v>7</v>
      </c>
      <c r="AT117" s="4" t="s">
        <v>7</v>
      </c>
      <c r="AU117" s="4" t="s">
        <v>7</v>
      </c>
      <c r="AV117" s="4" t="s">
        <v>7</v>
      </c>
      <c r="AW117" s="4" t="s">
        <v>7</v>
      </c>
      <c r="AX117" s="4" t="s">
        <v>7</v>
      </c>
      <c r="AY117" s="4" t="s">
        <v>7</v>
      </c>
      <c r="AZ117" s="4" t="s">
        <v>7</v>
      </c>
      <c r="BA117" s="4" t="s">
        <v>7</v>
      </c>
    </row>
    <row r="118" spans="1:53" x14ac:dyDescent="0.2">
      <c r="A118" s="4" t="s">
        <v>70</v>
      </c>
      <c r="B118" s="4" t="s">
        <v>21</v>
      </c>
      <c r="C118" s="4">
        <v>-8.4992599999999996</v>
      </c>
      <c r="D118" s="4" t="s">
        <v>7</v>
      </c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>
        <v>-8.4992599999999996</v>
      </c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</row>
    <row r="119" spans="1:53" x14ac:dyDescent="0.2">
      <c r="A119" s="4" t="s">
        <v>71</v>
      </c>
      <c r="B119" s="4" t="s">
        <v>21</v>
      </c>
      <c r="C119" s="4">
        <v>-97.823400000000007</v>
      </c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>
        <v>-97.823400000000007</v>
      </c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</row>
    <row r="120" spans="1:53" x14ac:dyDescent="0.2">
      <c r="A120" s="4" t="s">
        <v>72</v>
      </c>
      <c r="B120" s="4" t="s">
        <v>15</v>
      </c>
      <c r="C120" s="4">
        <v>0</v>
      </c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</row>
    <row r="121" spans="1:53" x14ac:dyDescent="0.2">
      <c r="A121" s="4" t="s">
        <v>73</v>
      </c>
      <c r="B121" s="4" t="s">
        <v>21</v>
      </c>
      <c r="C121" s="4">
        <v>-649.66499999999996</v>
      </c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>
        <v>-649.66499999999996</v>
      </c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</row>
    <row r="122" spans="1:53" x14ac:dyDescent="0.2">
      <c r="A122" s="4" t="s">
        <v>74</v>
      </c>
      <c r="B122" s="4"/>
      <c r="C122" s="4">
        <v>2.14653E-2</v>
      </c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>
        <v>2.14653E-2</v>
      </c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</row>
    <row r="123" spans="1:53" x14ac:dyDescent="0.2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</row>
    <row r="124" spans="1:53" x14ac:dyDescent="0.2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</row>
    <row r="125" spans="1:53" x14ac:dyDescent="0.2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</row>
    <row r="126" spans="1:53" x14ac:dyDescent="0.2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</row>
    <row r="127" spans="1:53" x14ac:dyDescent="0.2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</row>
    <row r="128" spans="1:53" x14ac:dyDescent="0.2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</row>
    <row r="129" spans="1:53" x14ac:dyDescent="0.2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</row>
    <row r="130" spans="1:53" x14ac:dyDescent="0.2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</row>
    <row r="131" spans="1:53" x14ac:dyDescent="0.2">
      <c r="A131" s="4"/>
      <c r="B131" s="4" t="s">
        <v>75</v>
      </c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</row>
    <row r="132" spans="1:53" x14ac:dyDescent="0.2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</row>
    <row r="133" spans="1:53" x14ac:dyDescent="0.2">
      <c r="A133" s="4" t="s">
        <v>8</v>
      </c>
      <c r="B133" s="4" t="s">
        <v>76</v>
      </c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</row>
    <row r="134" spans="1:53" x14ac:dyDescent="0.2">
      <c r="A134" s="4" t="s">
        <v>77</v>
      </c>
      <c r="B134" s="4" t="s">
        <v>78</v>
      </c>
      <c r="C134" s="4">
        <v>0</v>
      </c>
      <c r="D134" s="4" t="s">
        <v>338</v>
      </c>
      <c r="E134" s="4" t="s">
        <v>338</v>
      </c>
      <c r="F134" s="4" t="s">
        <v>338</v>
      </c>
      <c r="G134" s="4" t="s">
        <v>338</v>
      </c>
      <c r="H134" s="4" t="s">
        <v>338</v>
      </c>
      <c r="I134" s="4" t="s">
        <v>338</v>
      </c>
      <c r="J134" s="4" t="s">
        <v>338</v>
      </c>
      <c r="K134" s="4" t="s">
        <v>338</v>
      </c>
      <c r="L134" s="4" t="s">
        <v>338</v>
      </c>
      <c r="M134" s="4" t="s">
        <v>338</v>
      </c>
      <c r="N134" s="4" t="s">
        <v>339</v>
      </c>
      <c r="O134" s="4" t="s">
        <v>339</v>
      </c>
      <c r="P134" s="4" t="s">
        <v>339</v>
      </c>
      <c r="Q134" s="4" t="s">
        <v>339</v>
      </c>
      <c r="R134" s="4" t="s">
        <v>339</v>
      </c>
      <c r="S134" s="4" t="s">
        <v>339</v>
      </c>
      <c r="T134" s="4" t="s">
        <v>339</v>
      </c>
      <c r="U134" s="4" t="s">
        <v>339</v>
      </c>
      <c r="V134" s="4" t="s">
        <v>339</v>
      </c>
      <c r="W134" s="4" t="s">
        <v>339</v>
      </c>
      <c r="X134" s="4" t="s">
        <v>339</v>
      </c>
      <c r="Y134" s="4" t="s">
        <v>339</v>
      </c>
      <c r="Z134" s="4" t="s">
        <v>339</v>
      </c>
      <c r="AA134" s="4" t="s">
        <v>339</v>
      </c>
      <c r="AB134" s="4" t="s">
        <v>339</v>
      </c>
      <c r="AC134" s="4" t="s">
        <v>339</v>
      </c>
      <c r="AD134" s="4" t="s">
        <v>339</v>
      </c>
      <c r="AE134" s="4" t="s">
        <v>339</v>
      </c>
      <c r="AF134" s="4" t="s">
        <v>339</v>
      </c>
      <c r="AG134" s="4" t="s">
        <v>339</v>
      </c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</row>
    <row r="135" spans="1:53" x14ac:dyDescent="0.2">
      <c r="A135" s="4" t="s">
        <v>79</v>
      </c>
      <c r="B135" s="4" t="s">
        <v>78</v>
      </c>
      <c r="C135" s="4" t="s">
        <v>338</v>
      </c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 t="s">
        <v>339</v>
      </c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</row>
    <row r="136" spans="1:53" x14ac:dyDescent="0.2">
      <c r="A136" s="4" t="s">
        <v>80</v>
      </c>
      <c r="B136" s="4" t="s">
        <v>78</v>
      </c>
      <c r="C136" s="4" t="s">
        <v>338</v>
      </c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 t="s">
        <v>339</v>
      </c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</row>
    <row r="137" spans="1:53" x14ac:dyDescent="0.2">
      <c r="A137" s="4" t="s">
        <v>81</v>
      </c>
      <c r="B137" s="4" t="s">
        <v>78</v>
      </c>
      <c r="C137" s="4" t="s">
        <v>338</v>
      </c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 t="s">
        <v>339</v>
      </c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</row>
    <row r="138" spans="1:53" x14ac:dyDescent="0.2">
      <c r="A138" s="4" t="s">
        <v>82</v>
      </c>
      <c r="B138" s="4" t="s">
        <v>340</v>
      </c>
      <c r="C138" s="4" t="s">
        <v>338</v>
      </c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 t="s">
        <v>339</v>
      </c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</row>
    <row r="139" spans="1:53" x14ac:dyDescent="0.2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</row>
    <row r="140" spans="1:53" x14ac:dyDescent="0.2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</row>
    <row r="141" spans="1:53" x14ac:dyDescent="0.2">
      <c r="A141" s="4" t="s">
        <v>83</v>
      </c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</row>
    <row r="142" spans="1:53" x14ac:dyDescent="0.2">
      <c r="A142" s="4" t="s">
        <v>341</v>
      </c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</row>
    <row r="143" spans="1:53" x14ac:dyDescent="0.2">
      <c r="A143" s="4" t="s">
        <v>84</v>
      </c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</row>
    <row r="144" spans="1:53" x14ac:dyDescent="0.2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</row>
    <row r="145" spans="1:53" x14ac:dyDescent="0.2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</row>
    <row r="146" spans="1:53" x14ac:dyDescent="0.2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</row>
    <row r="147" spans="1:53" x14ac:dyDescent="0.2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</row>
    <row r="148" spans="1:53" x14ac:dyDescent="0.2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</row>
    <row r="149" spans="1:53" x14ac:dyDescent="0.2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</row>
    <row r="150" spans="1:53" x14ac:dyDescent="0.2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</row>
    <row r="151" spans="1:53" x14ac:dyDescent="0.2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</row>
    <row r="152" spans="1:53" x14ac:dyDescent="0.2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</row>
    <row r="153" spans="1:53" x14ac:dyDescent="0.2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</row>
    <row r="154" spans="1:53" x14ac:dyDescent="0.2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</row>
    <row r="155" spans="1:53" x14ac:dyDescent="0.2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</row>
    <row r="156" spans="1:53" x14ac:dyDescent="0.2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</row>
    <row r="157" spans="1:53" x14ac:dyDescent="0.2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</row>
    <row r="158" spans="1:53" x14ac:dyDescent="0.2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</row>
    <row r="159" spans="1:53" x14ac:dyDescent="0.2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</row>
    <row r="160" spans="1:53" x14ac:dyDescent="0.2">
      <c r="A160" s="4" t="s">
        <v>85</v>
      </c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</row>
    <row r="161" spans="1:53" x14ac:dyDescent="0.2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</row>
    <row r="162" spans="1:53" x14ac:dyDescent="0.2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</row>
    <row r="163" spans="1:53" x14ac:dyDescent="0.2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</row>
    <row r="164" spans="1:53" x14ac:dyDescent="0.2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</row>
    <row r="165" spans="1:53" x14ac:dyDescent="0.2">
      <c r="A165" s="4" t="s">
        <v>86</v>
      </c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</row>
    <row r="166" spans="1:53" x14ac:dyDescent="0.2">
      <c r="A166" s="4" t="s">
        <v>342</v>
      </c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</row>
    <row r="167" spans="1:53" x14ac:dyDescent="0.2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</row>
    <row r="168" spans="1:53" x14ac:dyDescent="0.2">
      <c r="A168" s="4" t="s">
        <v>343</v>
      </c>
      <c r="B168" s="4" t="s">
        <v>19</v>
      </c>
      <c r="C168" s="4"/>
      <c r="D168" s="5">
        <v>2420150</v>
      </c>
      <c r="E168" s="5">
        <v>2420150</v>
      </c>
      <c r="F168" s="5">
        <v>2420150</v>
      </c>
      <c r="G168" s="5">
        <v>2420150</v>
      </c>
      <c r="H168" s="5">
        <v>2420150</v>
      </c>
      <c r="I168" s="5">
        <v>2420150</v>
      </c>
      <c r="J168" s="5">
        <v>2420150</v>
      </c>
      <c r="K168" s="5">
        <v>2420150</v>
      </c>
      <c r="L168" s="5">
        <v>2420150</v>
      </c>
      <c r="M168" s="5">
        <v>2420150</v>
      </c>
      <c r="N168" s="5">
        <v>2420150</v>
      </c>
      <c r="O168" s="5">
        <v>2420150</v>
      </c>
      <c r="P168" s="5">
        <v>2420150</v>
      </c>
      <c r="Q168" s="5">
        <v>2420150</v>
      </c>
      <c r="R168" s="5">
        <v>2420150</v>
      </c>
      <c r="S168" s="5">
        <v>2420150</v>
      </c>
      <c r="T168" s="5">
        <v>2420150</v>
      </c>
      <c r="U168" s="5">
        <v>2420150</v>
      </c>
      <c r="V168" s="5">
        <v>2420150</v>
      </c>
      <c r="W168" s="5">
        <v>2420150</v>
      </c>
      <c r="X168" s="5">
        <v>2420150</v>
      </c>
      <c r="Y168" s="5">
        <v>2420150</v>
      </c>
      <c r="Z168" s="5">
        <v>2420150</v>
      </c>
      <c r="AA168" s="5">
        <v>2420150</v>
      </c>
      <c r="AB168" s="5">
        <v>2420150</v>
      </c>
      <c r="AC168" s="5">
        <v>2420150</v>
      </c>
      <c r="AD168" s="5">
        <v>2420150</v>
      </c>
      <c r="AE168" s="5">
        <v>2420150</v>
      </c>
      <c r="AF168" s="5">
        <v>2420150</v>
      </c>
      <c r="AG168" s="5">
        <v>2420150</v>
      </c>
      <c r="AH168" s="4" t="s">
        <v>7</v>
      </c>
      <c r="AI168" s="4" t="s">
        <v>7</v>
      </c>
      <c r="AJ168" s="4" t="s">
        <v>7</v>
      </c>
      <c r="AK168" s="4" t="s">
        <v>7</v>
      </c>
      <c r="AL168" s="4" t="s">
        <v>7</v>
      </c>
      <c r="AM168" s="4" t="s">
        <v>7</v>
      </c>
      <c r="AN168" s="4" t="s">
        <v>7</v>
      </c>
      <c r="AO168" s="4" t="s">
        <v>7</v>
      </c>
      <c r="AP168" s="4" t="s">
        <v>7</v>
      </c>
      <c r="AQ168" s="4" t="s">
        <v>7</v>
      </c>
      <c r="AR168" s="4" t="s">
        <v>7</v>
      </c>
      <c r="AS168" s="4" t="s">
        <v>7</v>
      </c>
      <c r="AT168" s="4" t="s">
        <v>7</v>
      </c>
      <c r="AU168" s="4" t="s">
        <v>7</v>
      </c>
      <c r="AV168" s="4" t="s">
        <v>7</v>
      </c>
      <c r="AW168" s="4" t="s">
        <v>7</v>
      </c>
      <c r="AX168" s="4" t="s">
        <v>7</v>
      </c>
      <c r="AY168" s="4" t="s">
        <v>7</v>
      </c>
      <c r="AZ168" s="4" t="s">
        <v>7</v>
      </c>
      <c r="BA168" s="4" t="s">
        <v>7</v>
      </c>
    </row>
    <row r="169" spans="1:53" x14ac:dyDescent="0.2">
      <c r="A169" s="4"/>
      <c r="B169" s="4"/>
      <c r="C169" s="4"/>
      <c r="D169" s="5">
        <v>72604500</v>
      </c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</row>
    <row r="170" spans="1:53" x14ac:dyDescent="0.2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</row>
    <row r="171" spans="1:53" x14ac:dyDescent="0.2">
      <c r="A171" s="4" t="s">
        <v>87</v>
      </c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</row>
    <row r="172" spans="1:53" x14ac:dyDescent="0.2">
      <c r="A172" s="4" t="s">
        <v>344</v>
      </c>
      <c r="B172" s="4" t="s">
        <v>7</v>
      </c>
      <c r="C172" s="4"/>
      <c r="D172" s="4">
        <v>465</v>
      </c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</row>
    <row r="173" spans="1:53" x14ac:dyDescent="0.2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</row>
    <row r="174" spans="1:53" x14ac:dyDescent="0.2">
      <c r="A174" s="4" t="s">
        <v>343</v>
      </c>
      <c r="B174" s="4" t="s">
        <v>19</v>
      </c>
      <c r="C174" s="4"/>
      <c r="D174" s="5">
        <v>4684160</v>
      </c>
      <c r="E174" s="5">
        <v>4528030</v>
      </c>
      <c r="F174" s="5">
        <v>4371890</v>
      </c>
      <c r="G174" s="5">
        <v>4215750</v>
      </c>
      <c r="H174" s="5">
        <v>4059610</v>
      </c>
      <c r="I174" s="5">
        <v>3903470</v>
      </c>
      <c r="J174" s="5">
        <v>3747330</v>
      </c>
      <c r="K174" s="5">
        <v>3591190</v>
      </c>
      <c r="L174" s="5">
        <v>3435050</v>
      </c>
      <c r="M174" s="5">
        <v>3278910</v>
      </c>
      <c r="N174" s="5">
        <v>3122780</v>
      </c>
      <c r="O174" s="5">
        <v>2966640</v>
      </c>
      <c r="P174" s="5">
        <v>2810500</v>
      </c>
      <c r="Q174" s="5">
        <v>2654360</v>
      </c>
      <c r="R174" s="5">
        <v>2498220</v>
      </c>
      <c r="S174" s="5">
        <v>2342080</v>
      </c>
      <c r="T174" s="5">
        <v>2185940</v>
      </c>
      <c r="U174" s="5">
        <v>2029800</v>
      </c>
      <c r="V174" s="5">
        <v>1873670</v>
      </c>
      <c r="W174" s="5">
        <v>1717530</v>
      </c>
      <c r="X174" s="5">
        <v>1561390</v>
      </c>
      <c r="Y174" s="5">
        <v>1405250</v>
      </c>
      <c r="Z174" s="5">
        <v>1249110</v>
      </c>
      <c r="AA174" s="5">
        <v>1092970</v>
      </c>
      <c r="AB174" s="4">
        <v>936833</v>
      </c>
      <c r="AC174" s="4">
        <v>780694</v>
      </c>
      <c r="AD174" s="4">
        <v>624555</v>
      </c>
      <c r="AE174" s="4">
        <v>468416</v>
      </c>
      <c r="AF174" s="4">
        <v>312278</v>
      </c>
      <c r="AG174" s="4">
        <v>156139</v>
      </c>
      <c r="AH174" s="4" t="s">
        <v>7</v>
      </c>
      <c r="AI174" s="4" t="s">
        <v>7</v>
      </c>
      <c r="AJ174" s="4" t="s">
        <v>7</v>
      </c>
      <c r="AK174" s="4" t="s">
        <v>7</v>
      </c>
      <c r="AL174" s="4" t="s">
        <v>7</v>
      </c>
      <c r="AM174" s="4" t="s">
        <v>7</v>
      </c>
      <c r="AN174" s="4" t="s">
        <v>7</v>
      </c>
      <c r="AO174" s="4" t="s">
        <v>7</v>
      </c>
      <c r="AP174" s="4" t="s">
        <v>7</v>
      </c>
      <c r="AQ174" s="4" t="s">
        <v>7</v>
      </c>
      <c r="AR174" s="4" t="s">
        <v>7</v>
      </c>
      <c r="AS174" s="4" t="s">
        <v>7</v>
      </c>
      <c r="AT174" s="4" t="s">
        <v>7</v>
      </c>
      <c r="AU174" s="4" t="s">
        <v>7</v>
      </c>
      <c r="AV174" s="4" t="s">
        <v>7</v>
      </c>
      <c r="AW174" s="4" t="s">
        <v>7</v>
      </c>
      <c r="AX174" s="4" t="s">
        <v>7</v>
      </c>
      <c r="AY174" s="4" t="s">
        <v>7</v>
      </c>
      <c r="AZ174" s="4" t="s">
        <v>7</v>
      </c>
      <c r="BA174" s="4" t="s">
        <v>7</v>
      </c>
    </row>
    <row r="175" spans="1:53" x14ac:dyDescent="0.2">
      <c r="A175" s="4"/>
      <c r="B175" s="4"/>
      <c r="C175" s="4"/>
      <c r="D175" s="5">
        <v>72604500</v>
      </c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</row>
    <row r="176" spans="1:53" x14ac:dyDescent="0.2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</row>
    <row r="177" spans="1:53" x14ac:dyDescent="0.2">
      <c r="A177" s="4" t="s">
        <v>88</v>
      </c>
      <c r="B177" s="4"/>
      <c r="C177" s="4"/>
      <c r="D177" s="4" t="s">
        <v>7</v>
      </c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</row>
    <row r="178" spans="1:53" x14ac:dyDescent="0.2">
      <c r="A178" s="4" t="s">
        <v>342</v>
      </c>
      <c r="B178" s="4"/>
      <c r="C178" s="4"/>
      <c r="D178" s="4">
        <v>6.6666699999999995E-2</v>
      </c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</row>
    <row r="179" spans="1:53" x14ac:dyDescent="0.2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</row>
    <row r="180" spans="1:53" x14ac:dyDescent="0.2">
      <c r="A180" s="4" t="s">
        <v>345</v>
      </c>
      <c r="B180" s="4" t="s">
        <v>19</v>
      </c>
      <c r="C180" s="4"/>
      <c r="D180" s="5">
        <v>2420150</v>
      </c>
      <c r="E180" s="5">
        <v>2336700</v>
      </c>
      <c r="F180" s="5">
        <v>2258810</v>
      </c>
      <c r="G180" s="5">
        <v>2186300</v>
      </c>
      <c r="H180" s="5">
        <v>2119030</v>
      </c>
      <c r="I180" s="5">
        <v>2056870</v>
      </c>
      <c r="J180" s="5">
        <v>1999740</v>
      </c>
      <c r="K180" s="5">
        <v>1947570</v>
      </c>
      <c r="L180" s="5">
        <v>1900360</v>
      </c>
      <c r="M180" s="5">
        <v>1858130</v>
      </c>
      <c r="N180" s="5">
        <v>1820960</v>
      </c>
      <c r="O180" s="5">
        <v>1789020</v>
      </c>
      <c r="P180" s="5">
        <v>1762510</v>
      </c>
      <c r="Q180" s="5">
        <v>1741780</v>
      </c>
      <c r="R180" s="5">
        <v>1727260</v>
      </c>
      <c r="S180" s="5">
        <v>1719590</v>
      </c>
      <c r="T180" s="5">
        <v>1719590</v>
      </c>
      <c r="U180" s="5">
        <v>1719590</v>
      </c>
      <c r="V180" s="5">
        <v>1719590</v>
      </c>
      <c r="W180" s="5">
        <v>1719590</v>
      </c>
      <c r="X180" s="5">
        <v>1719590</v>
      </c>
      <c r="Y180" s="5">
        <v>1719590</v>
      </c>
      <c r="Z180" s="5">
        <v>1719590</v>
      </c>
      <c r="AA180" s="5">
        <v>1719590</v>
      </c>
      <c r="AB180" s="5">
        <v>1719590</v>
      </c>
      <c r="AC180" s="5">
        <v>1719590</v>
      </c>
      <c r="AD180" s="5">
        <v>1719590</v>
      </c>
      <c r="AE180" s="5">
        <v>1719590</v>
      </c>
      <c r="AF180" s="5">
        <v>1719590</v>
      </c>
      <c r="AG180" s="5">
        <v>1719590</v>
      </c>
      <c r="AH180" s="4" t="s">
        <v>7</v>
      </c>
      <c r="AI180" s="4" t="s">
        <v>7</v>
      </c>
      <c r="AJ180" s="4" t="s">
        <v>7</v>
      </c>
      <c r="AK180" s="4" t="s">
        <v>7</v>
      </c>
      <c r="AL180" s="4" t="s">
        <v>7</v>
      </c>
      <c r="AM180" s="4" t="s">
        <v>7</v>
      </c>
      <c r="AN180" s="4" t="s">
        <v>7</v>
      </c>
      <c r="AO180" s="4" t="s">
        <v>7</v>
      </c>
      <c r="AP180" s="4" t="s">
        <v>7</v>
      </c>
      <c r="AQ180" s="4" t="s">
        <v>7</v>
      </c>
      <c r="AR180" s="4" t="s">
        <v>7</v>
      </c>
      <c r="AS180" s="4" t="s">
        <v>7</v>
      </c>
      <c r="AT180" s="4" t="s">
        <v>7</v>
      </c>
      <c r="AU180" s="4" t="s">
        <v>7</v>
      </c>
      <c r="AV180" s="4" t="s">
        <v>7</v>
      </c>
      <c r="AW180" s="4" t="s">
        <v>7</v>
      </c>
      <c r="AX180" s="4" t="s">
        <v>7</v>
      </c>
      <c r="AY180" s="4" t="s">
        <v>7</v>
      </c>
      <c r="AZ180" s="4" t="s">
        <v>7</v>
      </c>
      <c r="BA180" s="4" t="s">
        <v>7</v>
      </c>
    </row>
    <row r="181" spans="1:53" x14ac:dyDescent="0.2">
      <c r="A181" s="4" t="s">
        <v>346</v>
      </c>
      <c r="B181" s="4" t="s">
        <v>19</v>
      </c>
      <c r="C181" s="4"/>
      <c r="D181" s="5">
        <v>4840300</v>
      </c>
      <c r="E181" s="5">
        <v>4517620</v>
      </c>
      <c r="F181" s="5">
        <v>4216440</v>
      </c>
      <c r="G181" s="5">
        <v>3935350</v>
      </c>
      <c r="H181" s="5">
        <v>3672990</v>
      </c>
      <c r="I181" s="5">
        <v>3428120</v>
      </c>
      <c r="J181" s="5">
        <v>3199580</v>
      </c>
      <c r="K181" s="5">
        <v>2986280</v>
      </c>
      <c r="L181" s="5">
        <v>2787190</v>
      </c>
      <c r="M181" s="5">
        <v>2601380</v>
      </c>
      <c r="N181" s="5">
        <v>2427950</v>
      </c>
      <c r="O181" s="5">
        <v>2266090</v>
      </c>
      <c r="P181" s="5">
        <v>2115020</v>
      </c>
      <c r="Q181" s="5">
        <v>1974020</v>
      </c>
      <c r="R181" s="5">
        <v>1842410</v>
      </c>
      <c r="S181" s="5">
        <v>1719590</v>
      </c>
      <c r="T181" s="5">
        <v>1604950</v>
      </c>
      <c r="U181" s="5">
        <v>1497950</v>
      </c>
      <c r="V181" s="5">
        <v>1398090</v>
      </c>
      <c r="W181" s="5">
        <v>1304880</v>
      </c>
      <c r="X181" s="5">
        <v>1217890</v>
      </c>
      <c r="Y181" s="5">
        <v>1136700</v>
      </c>
      <c r="Z181" s="5">
        <v>1060920</v>
      </c>
      <c r="AA181" s="4">
        <v>990190</v>
      </c>
      <c r="AB181" s="4">
        <v>924177</v>
      </c>
      <c r="AC181" s="4">
        <v>862565</v>
      </c>
      <c r="AD181" s="4">
        <v>805061</v>
      </c>
      <c r="AE181" s="4">
        <v>751390</v>
      </c>
      <c r="AF181" s="4">
        <v>701297</v>
      </c>
      <c r="AG181" s="4">
        <v>654544</v>
      </c>
      <c r="AH181" s="4" t="s">
        <v>7</v>
      </c>
      <c r="AI181" s="4" t="s">
        <v>7</v>
      </c>
      <c r="AJ181" s="4" t="s">
        <v>7</v>
      </c>
      <c r="AK181" s="4" t="s">
        <v>7</v>
      </c>
      <c r="AL181" s="4" t="s">
        <v>7</v>
      </c>
      <c r="AM181" s="4" t="s">
        <v>7</v>
      </c>
      <c r="AN181" s="4" t="s">
        <v>7</v>
      </c>
      <c r="AO181" s="4" t="s">
        <v>7</v>
      </c>
      <c r="AP181" s="4" t="s">
        <v>7</v>
      </c>
      <c r="AQ181" s="4" t="s">
        <v>7</v>
      </c>
      <c r="AR181" s="4" t="s">
        <v>7</v>
      </c>
      <c r="AS181" s="4" t="s">
        <v>7</v>
      </c>
      <c r="AT181" s="4" t="s">
        <v>7</v>
      </c>
      <c r="AU181" s="4" t="s">
        <v>7</v>
      </c>
      <c r="AV181" s="4" t="s">
        <v>7</v>
      </c>
      <c r="AW181" s="4" t="s">
        <v>7</v>
      </c>
      <c r="AX181" s="4" t="s">
        <v>7</v>
      </c>
      <c r="AY181" s="4" t="s">
        <v>7</v>
      </c>
      <c r="AZ181" s="4" t="s">
        <v>7</v>
      </c>
      <c r="BA181" s="4" t="s">
        <v>7</v>
      </c>
    </row>
    <row r="182" spans="1:53" x14ac:dyDescent="0.2">
      <c r="A182" s="4" t="s">
        <v>347</v>
      </c>
      <c r="B182" s="4" t="s">
        <v>19</v>
      </c>
      <c r="C182" s="5">
        <v>72604500</v>
      </c>
      <c r="D182" s="5">
        <v>67764200</v>
      </c>
      <c r="E182" s="5">
        <v>63246600</v>
      </c>
      <c r="F182" s="5">
        <v>59030200</v>
      </c>
      <c r="G182" s="5">
        <v>55094800</v>
      </c>
      <c r="H182" s="5">
        <v>51421800</v>
      </c>
      <c r="I182" s="5">
        <v>47993700</v>
      </c>
      <c r="J182" s="5">
        <v>44794100</v>
      </c>
      <c r="K182" s="5">
        <v>41807900</v>
      </c>
      <c r="L182" s="5">
        <v>39020700</v>
      </c>
      <c r="M182" s="5">
        <v>36419300</v>
      </c>
      <c r="N182" s="5">
        <v>33991300</v>
      </c>
      <c r="O182" s="5">
        <v>31725300</v>
      </c>
      <c r="P182" s="5">
        <v>29610200</v>
      </c>
      <c r="Q182" s="5">
        <v>27636200</v>
      </c>
      <c r="R182" s="5">
        <v>25793800</v>
      </c>
      <c r="S182" s="5">
        <v>24074200</v>
      </c>
      <c r="T182" s="5">
        <v>22469300</v>
      </c>
      <c r="U182" s="5">
        <v>20971300</v>
      </c>
      <c r="V182" s="5">
        <v>19573200</v>
      </c>
      <c r="W182" s="5">
        <v>18268300</v>
      </c>
      <c r="X182" s="5">
        <v>17050500</v>
      </c>
      <c r="Y182" s="5">
        <v>15913800</v>
      </c>
      <c r="Z182" s="5">
        <v>14852800</v>
      </c>
      <c r="AA182" s="5">
        <v>13862700</v>
      </c>
      <c r="AB182" s="5">
        <v>12938500</v>
      </c>
      <c r="AC182" s="5">
        <v>12075900</v>
      </c>
      <c r="AD182" s="5">
        <v>11270900</v>
      </c>
      <c r="AE182" s="5">
        <v>10519500</v>
      </c>
      <c r="AF182" s="5">
        <v>9818160</v>
      </c>
      <c r="AG182" s="5">
        <v>9163620</v>
      </c>
      <c r="AH182" s="5">
        <v>72604500</v>
      </c>
      <c r="AI182" s="5">
        <v>72604500</v>
      </c>
      <c r="AJ182" s="5">
        <v>72604500</v>
      </c>
      <c r="AK182" s="5">
        <v>72604500</v>
      </c>
      <c r="AL182" s="5">
        <v>72604500</v>
      </c>
      <c r="AM182" s="5">
        <v>72604500</v>
      </c>
      <c r="AN182" s="5">
        <v>72604500</v>
      </c>
      <c r="AO182" s="5">
        <v>72604500</v>
      </c>
      <c r="AP182" s="5">
        <v>72604500</v>
      </c>
      <c r="AQ182" s="5">
        <v>72604500</v>
      </c>
      <c r="AR182" s="5">
        <v>72604500</v>
      </c>
      <c r="AS182" s="5">
        <v>72604500</v>
      </c>
      <c r="AT182" s="5">
        <v>72604500</v>
      </c>
      <c r="AU182" s="5">
        <v>72604500</v>
      </c>
      <c r="AV182" s="5">
        <v>72604500</v>
      </c>
      <c r="AW182" s="5">
        <v>72604500</v>
      </c>
      <c r="AX182" s="5">
        <v>72604500</v>
      </c>
      <c r="AY182" s="5">
        <v>72604500</v>
      </c>
      <c r="AZ182" s="5">
        <v>72604500</v>
      </c>
      <c r="BA182" s="5">
        <v>72604500</v>
      </c>
    </row>
    <row r="183" spans="1:53" x14ac:dyDescent="0.2">
      <c r="A183" s="4" t="s">
        <v>343</v>
      </c>
      <c r="B183" s="4" t="s">
        <v>19</v>
      </c>
      <c r="C183" s="4"/>
      <c r="D183" s="5">
        <v>4840300</v>
      </c>
      <c r="E183" s="5">
        <v>4517620</v>
      </c>
      <c r="F183" s="5">
        <v>4216440</v>
      </c>
      <c r="G183" s="5">
        <v>3935350</v>
      </c>
      <c r="H183" s="5">
        <v>3672990</v>
      </c>
      <c r="I183" s="5">
        <v>3428120</v>
      </c>
      <c r="J183" s="5">
        <v>3199580</v>
      </c>
      <c r="K183" s="5">
        <v>2986280</v>
      </c>
      <c r="L183" s="5">
        <v>2787190</v>
      </c>
      <c r="M183" s="5">
        <v>2601380</v>
      </c>
      <c r="N183" s="5">
        <v>2427950</v>
      </c>
      <c r="O183" s="5">
        <v>2266090</v>
      </c>
      <c r="P183" s="5">
        <v>2115020</v>
      </c>
      <c r="Q183" s="5">
        <v>1974020</v>
      </c>
      <c r="R183" s="5">
        <v>1842410</v>
      </c>
      <c r="S183" s="5">
        <v>1719590</v>
      </c>
      <c r="T183" s="5">
        <v>1719590</v>
      </c>
      <c r="U183" s="5">
        <v>1719590</v>
      </c>
      <c r="V183" s="5">
        <v>1719590</v>
      </c>
      <c r="W183" s="5">
        <v>1719590</v>
      </c>
      <c r="X183" s="5">
        <v>1719590</v>
      </c>
      <c r="Y183" s="5">
        <v>1719590</v>
      </c>
      <c r="Z183" s="5">
        <v>1719590</v>
      </c>
      <c r="AA183" s="5">
        <v>1719590</v>
      </c>
      <c r="AB183" s="5">
        <v>1719590</v>
      </c>
      <c r="AC183" s="5">
        <v>1719590</v>
      </c>
      <c r="AD183" s="5">
        <v>1719590</v>
      </c>
      <c r="AE183" s="5">
        <v>1719590</v>
      </c>
      <c r="AF183" s="5">
        <v>1719590</v>
      </c>
      <c r="AG183" s="5">
        <v>1719590</v>
      </c>
      <c r="AH183" s="4" t="s">
        <v>7</v>
      </c>
      <c r="AI183" s="4" t="s">
        <v>7</v>
      </c>
      <c r="AJ183" s="4" t="s">
        <v>7</v>
      </c>
      <c r="AK183" s="4" t="s">
        <v>7</v>
      </c>
      <c r="AL183" s="4" t="s">
        <v>7</v>
      </c>
      <c r="AM183" s="4" t="s">
        <v>7</v>
      </c>
      <c r="AN183" s="4" t="s">
        <v>7</v>
      </c>
      <c r="AO183" s="4" t="s">
        <v>7</v>
      </c>
      <c r="AP183" s="4" t="s">
        <v>7</v>
      </c>
      <c r="AQ183" s="4" t="s">
        <v>7</v>
      </c>
      <c r="AR183" s="4" t="s">
        <v>7</v>
      </c>
      <c r="AS183" s="4" t="s">
        <v>7</v>
      </c>
      <c r="AT183" s="4" t="s">
        <v>7</v>
      </c>
      <c r="AU183" s="4" t="s">
        <v>7</v>
      </c>
      <c r="AV183" s="4" t="s">
        <v>7</v>
      </c>
      <c r="AW183" s="4" t="s">
        <v>7</v>
      </c>
      <c r="AX183" s="4" t="s">
        <v>7</v>
      </c>
      <c r="AY183" s="4" t="s">
        <v>7</v>
      </c>
      <c r="AZ183" s="4" t="s">
        <v>7</v>
      </c>
      <c r="BA183" s="4" t="s">
        <v>7</v>
      </c>
    </row>
    <row r="184" spans="1:53" x14ac:dyDescent="0.2">
      <c r="A184" s="4"/>
      <c r="B184" s="4"/>
      <c r="C184" s="4"/>
      <c r="D184" s="5">
        <v>72604500</v>
      </c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</row>
    <row r="185" spans="1:53" x14ac:dyDescent="0.2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</row>
    <row r="186" spans="1:53" x14ac:dyDescent="0.2">
      <c r="A186" s="4" t="s">
        <v>348</v>
      </c>
      <c r="B186" s="4"/>
      <c r="C186" s="4"/>
      <c r="D186" s="4" t="s">
        <v>7</v>
      </c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</row>
    <row r="187" spans="1:53" x14ac:dyDescent="0.2">
      <c r="A187" s="4" t="s">
        <v>349</v>
      </c>
      <c r="B187" s="4"/>
      <c r="C187" s="4"/>
      <c r="D187" s="4"/>
      <c r="E187" s="4">
        <v>3.3333300000000003E-2</v>
      </c>
      <c r="F187" s="4">
        <v>9.7777799999999998E-2</v>
      </c>
      <c r="G187" s="4">
        <v>0.15792600000000001</v>
      </c>
      <c r="H187" s="4">
        <v>0.214064</v>
      </c>
      <c r="I187" s="4">
        <v>0.26645999999999997</v>
      </c>
      <c r="J187" s="4">
        <v>0.315363</v>
      </c>
      <c r="K187" s="4">
        <v>0.36100500000000002</v>
      </c>
      <c r="L187" s="4">
        <v>0.40360499999999999</v>
      </c>
      <c r="M187" s="4">
        <v>0.44336399999999998</v>
      </c>
      <c r="N187" s="4">
        <v>0.48047299999999998</v>
      </c>
      <c r="O187" s="4">
        <v>0.51510900000000004</v>
      </c>
      <c r="P187" s="4">
        <v>0.547435</v>
      </c>
      <c r="Q187" s="4">
        <v>0.57760599999999995</v>
      </c>
      <c r="R187" s="4">
        <v>0.605765</v>
      </c>
      <c r="S187" s="4">
        <v>0.605765</v>
      </c>
      <c r="T187" s="4">
        <v>0.605765</v>
      </c>
      <c r="U187" s="4">
        <v>0.605765</v>
      </c>
      <c r="V187" s="4">
        <v>0.605765</v>
      </c>
      <c r="W187" s="4">
        <v>0.605765</v>
      </c>
      <c r="X187" s="4">
        <v>0.605765</v>
      </c>
      <c r="Y187" s="4">
        <v>0.605765</v>
      </c>
      <c r="Z187" s="4">
        <v>0.605765</v>
      </c>
      <c r="AA187" s="4">
        <v>0.605765</v>
      </c>
      <c r="AB187" s="4">
        <v>0.605765</v>
      </c>
      <c r="AC187" s="4">
        <v>0.605765</v>
      </c>
      <c r="AD187" s="4">
        <v>0.605765</v>
      </c>
      <c r="AE187" s="4">
        <v>0.605765</v>
      </c>
      <c r="AF187" s="4">
        <v>0.605765</v>
      </c>
      <c r="AG187" s="4">
        <v>0.605765</v>
      </c>
      <c r="AH187" s="4">
        <v>0.605765</v>
      </c>
      <c r="AI187" s="4">
        <v>0.605765</v>
      </c>
      <c r="AJ187" s="4">
        <v>0.605765</v>
      </c>
      <c r="AK187" s="4">
        <v>0.605765</v>
      </c>
      <c r="AL187" s="4">
        <v>0.605765</v>
      </c>
      <c r="AM187" s="4">
        <v>0.605765</v>
      </c>
      <c r="AN187" s="4">
        <v>0.605765</v>
      </c>
      <c r="AO187" s="4">
        <v>0.605765</v>
      </c>
      <c r="AP187" s="4">
        <v>0.605765</v>
      </c>
      <c r="AQ187" s="4">
        <v>0.605765</v>
      </c>
      <c r="AR187" s="4">
        <v>0.605765</v>
      </c>
      <c r="AS187" s="4">
        <v>0.605765</v>
      </c>
      <c r="AT187" s="4">
        <v>0.605765</v>
      </c>
      <c r="AU187" s="4">
        <v>0.605765</v>
      </c>
      <c r="AV187" s="4">
        <v>0.605765</v>
      </c>
      <c r="AW187" s="4">
        <v>0.605765</v>
      </c>
      <c r="AX187" s="4">
        <v>0.605765</v>
      </c>
      <c r="AY187" s="4">
        <v>0.605765</v>
      </c>
      <c r="AZ187" s="4">
        <v>0.605765</v>
      </c>
      <c r="BA187" s="4">
        <v>0.605765</v>
      </c>
    </row>
    <row r="188" spans="1:53" x14ac:dyDescent="0.2">
      <c r="A188" s="4" t="s">
        <v>342</v>
      </c>
      <c r="B188" s="4">
        <v>6.6666699999999995E-2</v>
      </c>
      <c r="C188" s="4"/>
      <c r="D188" s="4">
        <v>3.3333300000000003E-2</v>
      </c>
      <c r="E188" s="4">
        <v>6.4444399999999999E-2</v>
      </c>
      <c r="F188" s="4">
        <v>6.0148100000000003E-2</v>
      </c>
      <c r="G188" s="4">
        <v>5.6138300000000002E-2</v>
      </c>
      <c r="H188" s="4">
        <v>5.2395700000000003E-2</v>
      </c>
      <c r="I188" s="4">
        <v>4.89027E-2</v>
      </c>
      <c r="J188" s="4">
        <v>4.5642500000000003E-2</v>
      </c>
      <c r="K188" s="4">
        <v>4.2599699999999997E-2</v>
      </c>
      <c r="L188" s="4">
        <v>3.9759700000000002E-2</v>
      </c>
      <c r="M188" s="4">
        <v>3.7109000000000003E-2</v>
      </c>
      <c r="N188" s="4">
        <v>3.4635100000000002E-2</v>
      </c>
      <c r="O188" s="4">
        <v>3.2326100000000003E-2</v>
      </c>
      <c r="P188" s="4">
        <v>3.0171E-2</v>
      </c>
      <c r="Q188" s="4">
        <v>2.81596E-2</v>
      </c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</row>
    <row r="189" spans="1:53" x14ac:dyDescent="0.2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</row>
    <row r="190" spans="1:53" x14ac:dyDescent="0.2">
      <c r="A190" s="4" t="s">
        <v>345</v>
      </c>
      <c r="B190" s="4" t="s">
        <v>19</v>
      </c>
      <c r="C190" s="4"/>
      <c r="D190" s="5">
        <v>2420150</v>
      </c>
      <c r="E190" s="5">
        <v>2379130</v>
      </c>
      <c r="F190" s="5">
        <v>2298440</v>
      </c>
      <c r="G190" s="5">
        <v>2223210</v>
      </c>
      <c r="H190" s="5">
        <v>2153300</v>
      </c>
      <c r="I190" s="5">
        <v>2088560</v>
      </c>
      <c r="J190" s="5">
        <v>2028890</v>
      </c>
      <c r="K190" s="5">
        <v>1974210</v>
      </c>
      <c r="L190" s="5">
        <v>1924490</v>
      </c>
      <c r="M190" s="5">
        <v>1879730</v>
      </c>
      <c r="N190" s="5">
        <v>1840000</v>
      </c>
      <c r="O190" s="5">
        <v>1805400</v>
      </c>
      <c r="P190" s="5">
        <v>1776120</v>
      </c>
      <c r="Q190" s="5">
        <v>1752440</v>
      </c>
      <c r="R190" s="5">
        <v>1734740</v>
      </c>
      <c r="S190" s="5">
        <v>1734740</v>
      </c>
      <c r="T190" s="5">
        <v>1734740</v>
      </c>
      <c r="U190" s="5">
        <v>1734740</v>
      </c>
      <c r="V190" s="5">
        <v>1734740</v>
      </c>
      <c r="W190" s="5">
        <v>1734740</v>
      </c>
      <c r="X190" s="5">
        <v>1734740</v>
      </c>
      <c r="Y190" s="5">
        <v>1734740</v>
      </c>
      <c r="Z190" s="5">
        <v>1734740</v>
      </c>
      <c r="AA190" s="5">
        <v>1734740</v>
      </c>
      <c r="AB190" s="5">
        <v>1734740</v>
      </c>
      <c r="AC190" s="5">
        <v>1734740</v>
      </c>
      <c r="AD190" s="5">
        <v>1734740</v>
      </c>
      <c r="AE190" s="5">
        <v>1734740</v>
      </c>
      <c r="AF190" s="5">
        <v>1734740</v>
      </c>
      <c r="AG190" s="5">
        <v>1734740</v>
      </c>
      <c r="AH190" s="4" t="s">
        <v>7</v>
      </c>
      <c r="AI190" s="4" t="s">
        <v>7</v>
      </c>
      <c r="AJ190" s="4" t="s">
        <v>7</v>
      </c>
      <c r="AK190" s="4" t="s">
        <v>7</v>
      </c>
      <c r="AL190" s="4" t="s">
        <v>7</v>
      </c>
      <c r="AM190" s="4" t="s">
        <v>7</v>
      </c>
      <c r="AN190" s="4" t="s">
        <v>7</v>
      </c>
      <c r="AO190" s="4" t="s">
        <v>7</v>
      </c>
      <c r="AP190" s="4" t="s">
        <v>7</v>
      </c>
      <c r="AQ190" s="4" t="s">
        <v>7</v>
      </c>
      <c r="AR190" s="4" t="s">
        <v>7</v>
      </c>
      <c r="AS190" s="4" t="s">
        <v>7</v>
      </c>
      <c r="AT190" s="4" t="s">
        <v>7</v>
      </c>
      <c r="AU190" s="4" t="s">
        <v>7</v>
      </c>
      <c r="AV190" s="4" t="s">
        <v>7</v>
      </c>
      <c r="AW190" s="4" t="s">
        <v>7</v>
      </c>
      <c r="AX190" s="4" t="s">
        <v>7</v>
      </c>
      <c r="AY190" s="4" t="s">
        <v>7</v>
      </c>
      <c r="AZ190" s="4" t="s">
        <v>7</v>
      </c>
      <c r="BA190" s="4" t="s">
        <v>7</v>
      </c>
    </row>
    <row r="191" spans="1:53" x14ac:dyDescent="0.2">
      <c r="A191" s="4" t="s">
        <v>346</v>
      </c>
      <c r="B191" s="4" t="s">
        <v>19</v>
      </c>
      <c r="C191" s="4"/>
      <c r="D191" s="5">
        <v>2420150</v>
      </c>
      <c r="E191" s="5">
        <v>4678960</v>
      </c>
      <c r="F191" s="5">
        <v>4367030</v>
      </c>
      <c r="G191" s="5">
        <v>4075890</v>
      </c>
      <c r="H191" s="5">
        <v>3804170</v>
      </c>
      <c r="I191" s="5">
        <v>3550560</v>
      </c>
      <c r="J191" s="5">
        <v>3313850</v>
      </c>
      <c r="K191" s="5">
        <v>3092930</v>
      </c>
      <c r="L191" s="5">
        <v>2886730</v>
      </c>
      <c r="M191" s="5">
        <v>2694280</v>
      </c>
      <c r="N191" s="5">
        <v>2514670</v>
      </c>
      <c r="O191" s="5">
        <v>2347020</v>
      </c>
      <c r="P191" s="5">
        <v>2190550</v>
      </c>
      <c r="Q191" s="5">
        <v>2044520</v>
      </c>
      <c r="R191" s="4">
        <v>0</v>
      </c>
      <c r="S191" s="4">
        <v>0</v>
      </c>
      <c r="T191" s="4">
        <v>0</v>
      </c>
      <c r="U191" s="4">
        <v>0</v>
      </c>
      <c r="V191" s="4">
        <v>0</v>
      </c>
      <c r="W191" s="4">
        <v>0</v>
      </c>
      <c r="X191" s="4">
        <v>0</v>
      </c>
      <c r="Y191" s="4">
        <v>0</v>
      </c>
      <c r="Z191" s="4">
        <v>0</v>
      </c>
      <c r="AA191" s="4">
        <v>0</v>
      </c>
      <c r="AB191" s="4">
        <v>0</v>
      </c>
      <c r="AC191" s="4">
        <v>0</v>
      </c>
      <c r="AD191" s="4">
        <v>0</v>
      </c>
      <c r="AE191" s="4">
        <v>0</v>
      </c>
      <c r="AF191" s="4">
        <v>0</v>
      </c>
      <c r="AG191" s="4">
        <v>0</v>
      </c>
      <c r="AH191" s="4" t="s">
        <v>7</v>
      </c>
      <c r="AI191" s="4" t="s">
        <v>7</v>
      </c>
      <c r="AJ191" s="4" t="s">
        <v>7</v>
      </c>
      <c r="AK191" s="4" t="s">
        <v>7</v>
      </c>
      <c r="AL191" s="4" t="s">
        <v>7</v>
      </c>
      <c r="AM191" s="4" t="s">
        <v>7</v>
      </c>
      <c r="AN191" s="4" t="s">
        <v>7</v>
      </c>
      <c r="AO191" s="4" t="s">
        <v>7</v>
      </c>
      <c r="AP191" s="4" t="s">
        <v>7</v>
      </c>
      <c r="AQ191" s="4" t="s">
        <v>7</v>
      </c>
      <c r="AR191" s="4" t="s">
        <v>7</v>
      </c>
      <c r="AS191" s="4" t="s">
        <v>7</v>
      </c>
      <c r="AT191" s="4" t="s">
        <v>7</v>
      </c>
      <c r="AU191" s="4" t="s">
        <v>7</v>
      </c>
      <c r="AV191" s="4" t="s">
        <v>7</v>
      </c>
      <c r="AW191" s="4" t="s">
        <v>7</v>
      </c>
      <c r="AX191" s="4" t="s">
        <v>7</v>
      </c>
      <c r="AY191" s="4" t="s">
        <v>7</v>
      </c>
      <c r="AZ191" s="4" t="s">
        <v>7</v>
      </c>
      <c r="BA191" s="4" t="s">
        <v>7</v>
      </c>
    </row>
    <row r="192" spans="1:53" x14ac:dyDescent="0.2">
      <c r="A192" s="4" t="s">
        <v>350</v>
      </c>
      <c r="B192" s="4" t="s">
        <v>19</v>
      </c>
      <c r="C192" s="5">
        <v>72604500</v>
      </c>
      <c r="D192" s="5">
        <v>70184400</v>
      </c>
      <c r="E192" s="5">
        <v>65505400</v>
      </c>
      <c r="F192" s="5">
        <v>61138400</v>
      </c>
      <c r="G192" s="5">
        <v>57062500</v>
      </c>
      <c r="H192" s="5">
        <v>53258300</v>
      </c>
      <c r="I192" s="5">
        <v>49707800</v>
      </c>
      <c r="J192" s="5">
        <v>46393900</v>
      </c>
      <c r="K192" s="5">
        <v>43301000</v>
      </c>
      <c r="L192" s="5">
        <v>40414300</v>
      </c>
      <c r="M192" s="5">
        <v>37720000</v>
      </c>
      <c r="N192" s="5">
        <v>35205300</v>
      </c>
      <c r="O192" s="5">
        <v>32858300</v>
      </c>
      <c r="P192" s="5">
        <v>30667700</v>
      </c>
      <c r="Q192" s="5">
        <v>28623200</v>
      </c>
      <c r="R192" s="5">
        <v>28623200</v>
      </c>
      <c r="S192" s="5">
        <v>28623200</v>
      </c>
      <c r="T192" s="5">
        <v>28623200</v>
      </c>
      <c r="U192" s="5">
        <v>28623200</v>
      </c>
      <c r="V192" s="5">
        <v>28623200</v>
      </c>
      <c r="W192" s="5">
        <v>28623200</v>
      </c>
      <c r="X192" s="5">
        <v>28623200</v>
      </c>
      <c r="Y192" s="5">
        <v>28623200</v>
      </c>
      <c r="Z192" s="5">
        <v>28623200</v>
      </c>
      <c r="AA192" s="5">
        <v>28623200</v>
      </c>
      <c r="AB192" s="5">
        <v>28623200</v>
      </c>
      <c r="AC192" s="5">
        <v>28623200</v>
      </c>
      <c r="AD192" s="5">
        <v>28623200</v>
      </c>
      <c r="AE192" s="5">
        <v>28623200</v>
      </c>
      <c r="AF192" s="5">
        <v>28623200</v>
      </c>
      <c r="AG192" s="5">
        <v>28623200</v>
      </c>
      <c r="AH192" s="4" t="s">
        <v>7</v>
      </c>
      <c r="AI192" s="4" t="s">
        <v>7</v>
      </c>
      <c r="AJ192" s="4" t="s">
        <v>7</v>
      </c>
      <c r="AK192" s="4" t="s">
        <v>7</v>
      </c>
      <c r="AL192" s="4" t="s">
        <v>7</v>
      </c>
      <c r="AM192" s="4" t="s">
        <v>7</v>
      </c>
      <c r="AN192" s="4" t="s">
        <v>7</v>
      </c>
      <c r="AO192" s="4" t="s">
        <v>7</v>
      </c>
      <c r="AP192" s="4" t="s">
        <v>7</v>
      </c>
      <c r="AQ192" s="4" t="s">
        <v>7</v>
      </c>
      <c r="AR192" s="4" t="s">
        <v>7</v>
      </c>
      <c r="AS192" s="4" t="s">
        <v>7</v>
      </c>
      <c r="AT192" s="4" t="s">
        <v>7</v>
      </c>
      <c r="AU192" s="4" t="s">
        <v>7</v>
      </c>
      <c r="AV192" s="4" t="s">
        <v>7</v>
      </c>
      <c r="AW192" s="4" t="s">
        <v>7</v>
      </c>
      <c r="AX192" s="4" t="s">
        <v>7</v>
      </c>
      <c r="AY192" s="4" t="s">
        <v>7</v>
      </c>
      <c r="AZ192" s="4" t="s">
        <v>7</v>
      </c>
      <c r="BA192" s="4" t="s">
        <v>7</v>
      </c>
    </row>
    <row r="193" spans="1:53" x14ac:dyDescent="0.2">
      <c r="A193" s="4" t="s">
        <v>343</v>
      </c>
      <c r="B193" s="4" t="s">
        <v>19</v>
      </c>
      <c r="C193" s="4"/>
      <c r="D193" s="5">
        <v>2420150</v>
      </c>
      <c r="E193" s="5">
        <v>4678960</v>
      </c>
      <c r="F193" s="5">
        <v>4367030</v>
      </c>
      <c r="G193" s="5">
        <v>4075890</v>
      </c>
      <c r="H193" s="5">
        <v>3804170</v>
      </c>
      <c r="I193" s="5">
        <v>3550560</v>
      </c>
      <c r="J193" s="5">
        <v>3313850</v>
      </c>
      <c r="K193" s="5">
        <v>3092930</v>
      </c>
      <c r="L193" s="5">
        <v>2886730</v>
      </c>
      <c r="M193" s="5">
        <v>2694280</v>
      </c>
      <c r="N193" s="5">
        <v>2514670</v>
      </c>
      <c r="O193" s="5">
        <v>2347020</v>
      </c>
      <c r="P193" s="5">
        <v>2190550</v>
      </c>
      <c r="Q193" s="5">
        <v>2044520</v>
      </c>
      <c r="R193" s="5">
        <v>1734740</v>
      </c>
      <c r="S193" s="5">
        <v>1734740</v>
      </c>
      <c r="T193" s="5">
        <v>1734740</v>
      </c>
      <c r="U193" s="5">
        <v>1734740</v>
      </c>
      <c r="V193" s="5">
        <v>1734740</v>
      </c>
      <c r="W193" s="5">
        <v>1734740</v>
      </c>
      <c r="X193" s="5">
        <v>1734740</v>
      </c>
      <c r="Y193" s="5">
        <v>1734740</v>
      </c>
      <c r="Z193" s="5">
        <v>1734740</v>
      </c>
      <c r="AA193" s="5">
        <v>1734740</v>
      </c>
      <c r="AB193" s="5">
        <v>1734740</v>
      </c>
      <c r="AC193" s="5">
        <v>1734740</v>
      </c>
      <c r="AD193" s="5">
        <v>1734740</v>
      </c>
      <c r="AE193" s="5">
        <v>1734740</v>
      </c>
      <c r="AF193" s="5">
        <v>1734740</v>
      </c>
      <c r="AG193" s="5">
        <v>1734740</v>
      </c>
      <c r="AH193" s="4" t="s">
        <v>7</v>
      </c>
      <c r="AI193" s="4" t="s">
        <v>7</v>
      </c>
      <c r="AJ193" s="4" t="s">
        <v>7</v>
      </c>
      <c r="AK193" s="4" t="s">
        <v>7</v>
      </c>
      <c r="AL193" s="4" t="s">
        <v>7</v>
      </c>
      <c r="AM193" s="4" t="s">
        <v>7</v>
      </c>
      <c r="AN193" s="4" t="s">
        <v>7</v>
      </c>
      <c r="AO193" s="4" t="s">
        <v>7</v>
      </c>
      <c r="AP193" s="4" t="s">
        <v>7</v>
      </c>
      <c r="AQ193" s="4" t="s">
        <v>7</v>
      </c>
      <c r="AR193" s="4" t="s">
        <v>7</v>
      </c>
      <c r="AS193" s="4" t="s">
        <v>7</v>
      </c>
      <c r="AT193" s="4" t="s">
        <v>7</v>
      </c>
      <c r="AU193" s="4" t="s">
        <v>7</v>
      </c>
      <c r="AV193" s="4" t="s">
        <v>7</v>
      </c>
      <c r="AW193" s="4" t="s">
        <v>7</v>
      </c>
      <c r="AX193" s="4" t="s">
        <v>7</v>
      </c>
      <c r="AY193" s="4" t="s">
        <v>7</v>
      </c>
      <c r="AZ193" s="4" t="s">
        <v>7</v>
      </c>
      <c r="BA193" s="4" t="s">
        <v>7</v>
      </c>
    </row>
    <row r="194" spans="1:53" x14ac:dyDescent="0.2">
      <c r="A194" s="4"/>
      <c r="B194" s="4"/>
      <c r="C194" s="4"/>
      <c r="D194" s="5">
        <v>71737200</v>
      </c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H271"/>
  <sheetViews>
    <sheetView topLeftCell="A172" workbookViewId="0">
      <selection activeCell="B216" sqref="B216"/>
    </sheetView>
  </sheetViews>
  <sheetFormatPr defaultRowHeight="12.75" x14ac:dyDescent="0.2"/>
  <cols>
    <col min="1" max="1" width="75.5703125" bestFit="1" customWidth="1"/>
    <col min="2" max="2" width="18.7109375" bestFit="1" customWidth="1"/>
    <col min="3" max="3" width="150.85546875" bestFit="1" customWidth="1"/>
    <col min="4" max="4" width="25.28515625" bestFit="1" customWidth="1"/>
    <col min="5" max="5" width="20.42578125" bestFit="1" customWidth="1"/>
    <col min="6" max="6" width="22.140625" bestFit="1" customWidth="1"/>
  </cols>
  <sheetData>
    <row r="1" spans="1:8" ht="18" x14ac:dyDescent="0.2">
      <c r="A1" s="7" t="s">
        <v>6</v>
      </c>
      <c r="B1" s="7"/>
      <c r="C1" s="7"/>
      <c r="D1" s="7"/>
      <c r="E1" s="4"/>
      <c r="F1" s="4"/>
      <c r="G1" s="4"/>
      <c r="H1" s="4"/>
    </row>
    <row r="2" spans="1:8" x14ac:dyDescent="0.2">
      <c r="A2" s="4" t="s">
        <v>7</v>
      </c>
      <c r="B2" s="4"/>
      <c r="C2" s="4"/>
      <c r="D2" s="4"/>
      <c r="E2" s="4"/>
      <c r="F2" s="4"/>
      <c r="G2" s="4"/>
      <c r="H2" s="4"/>
    </row>
    <row r="3" spans="1:8" x14ac:dyDescent="0.2">
      <c r="A3" s="8" t="s">
        <v>8</v>
      </c>
      <c r="B3" s="8" t="s">
        <v>9</v>
      </c>
      <c r="C3" s="8" t="s">
        <v>10</v>
      </c>
      <c r="D3" s="4"/>
      <c r="E3" s="4"/>
      <c r="F3" s="4"/>
      <c r="G3" s="4"/>
      <c r="H3" s="4"/>
    </row>
    <row r="4" spans="1:8" x14ac:dyDescent="0.2">
      <c r="A4" s="4" t="s">
        <v>11</v>
      </c>
      <c r="B4" s="4"/>
      <c r="C4" s="4"/>
      <c r="D4" s="4"/>
      <c r="E4" s="4"/>
      <c r="F4" s="4"/>
      <c r="G4" s="4"/>
      <c r="H4" s="4"/>
    </row>
    <row r="5" spans="1:8" x14ac:dyDescent="0.2">
      <c r="A5" s="4"/>
      <c r="B5" s="4"/>
      <c r="C5" s="4"/>
      <c r="D5" s="4"/>
      <c r="E5" s="4"/>
      <c r="F5" s="4"/>
      <c r="G5" s="4"/>
      <c r="H5" s="4"/>
    </row>
    <row r="6" spans="1:8" x14ac:dyDescent="0.2">
      <c r="A6" s="8" t="s">
        <v>12</v>
      </c>
      <c r="B6" s="4"/>
      <c r="C6" s="4"/>
      <c r="D6" s="4"/>
      <c r="E6" s="4"/>
      <c r="F6" s="4"/>
      <c r="G6" s="4"/>
      <c r="H6" s="4"/>
    </row>
    <row r="7" spans="1:8" x14ac:dyDescent="0.2">
      <c r="A7" s="4"/>
      <c r="B7" s="4"/>
      <c r="C7" s="4"/>
      <c r="D7" s="4"/>
      <c r="E7" s="4"/>
      <c r="F7" s="4"/>
      <c r="G7" s="4"/>
      <c r="H7" s="4"/>
    </row>
    <row r="8" spans="1:8" x14ac:dyDescent="0.2">
      <c r="A8" s="4" t="s">
        <v>0</v>
      </c>
      <c r="B8" s="4"/>
      <c r="C8" s="4" t="s">
        <v>162</v>
      </c>
      <c r="D8" s="4"/>
      <c r="E8" s="4"/>
      <c r="F8" s="4"/>
      <c r="G8" s="4"/>
      <c r="H8" s="4"/>
    </row>
    <row r="9" spans="1:8" x14ac:dyDescent="0.2">
      <c r="A9" s="4" t="s">
        <v>163</v>
      </c>
      <c r="B9" s="4"/>
      <c r="C9" s="4"/>
      <c r="D9" s="4"/>
      <c r="E9" s="4"/>
      <c r="F9" s="4"/>
      <c r="G9" s="4"/>
      <c r="H9" s="4"/>
    </row>
    <row r="10" spans="1:8" x14ac:dyDescent="0.2">
      <c r="A10" s="4" t="s">
        <v>164</v>
      </c>
      <c r="B10" s="4"/>
      <c r="C10" s="4" t="s">
        <v>165</v>
      </c>
      <c r="D10" s="4"/>
      <c r="E10" s="4"/>
      <c r="F10" s="4"/>
      <c r="G10" s="4"/>
      <c r="H10" s="4"/>
    </row>
    <row r="11" spans="1:8" x14ac:dyDescent="0.2">
      <c r="A11" s="4" t="s">
        <v>166</v>
      </c>
      <c r="B11" s="4"/>
      <c r="C11" s="4" t="s">
        <v>167</v>
      </c>
      <c r="D11" s="4"/>
      <c r="E11" s="4"/>
      <c r="F11" s="4"/>
      <c r="G11" s="4"/>
      <c r="H11" s="4"/>
    </row>
    <row r="12" spans="1:8" x14ac:dyDescent="0.2">
      <c r="A12" s="4" t="s">
        <v>168</v>
      </c>
      <c r="B12" s="4"/>
      <c r="C12" s="4"/>
      <c r="D12" s="4"/>
      <c r="E12" s="4"/>
      <c r="F12" s="4"/>
      <c r="G12" s="4"/>
      <c r="H12" s="4"/>
    </row>
    <row r="13" spans="1:8" x14ac:dyDescent="0.2">
      <c r="A13" s="4" t="s">
        <v>169</v>
      </c>
      <c r="B13" s="4"/>
      <c r="C13" s="4" t="s">
        <v>170</v>
      </c>
      <c r="D13" s="4"/>
      <c r="E13" s="4"/>
      <c r="F13" s="4"/>
      <c r="G13" s="4"/>
      <c r="H13" s="4"/>
    </row>
    <row r="14" spans="1:8" x14ac:dyDescent="0.2">
      <c r="A14" s="4" t="s">
        <v>171</v>
      </c>
      <c r="B14" s="4"/>
      <c r="C14" s="4"/>
      <c r="D14" s="4"/>
      <c r="E14" s="4"/>
      <c r="F14" s="4"/>
      <c r="G14" s="4"/>
      <c r="H14" s="4"/>
    </row>
    <row r="15" spans="1:8" x14ac:dyDescent="0.2">
      <c r="A15" s="4" t="s">
        <v>172</v>
      </c>
      <c r="B15" s="4"/>
      <c r="C15" s="4" t="s">
        <v>173</v>
      </c>
      <c r="D15" s="4"/>
      <c r="E15" s="4"/>
      <c r="F15" s="4"/>
      <c r="G15" s="4"/>
      <c r="H15" s="4"/>
    </row>
    <row r="16" spans="1:8" x14ac:dyDescent="0.2">
      <c r="A16" s="4" t="s">
        <v>174</v>
      </c>
      <c r="B16" s="4"/>
      <c r="C16" s="4" t="s">
        <v>175</v>
      </c>
      <c r="D16" s="4"/>
      <c r="E16" s="4"/>
      <c r="F16" s="4"/>
      <c r="G16" s="4"/>
      <c r="H16" s="4"/>
    </row>
    <row r="17" spans="1:8" x14ac:dyDescent="0.2">
      <c r="A17" s="4" t="s">
        <v>176</v>
      </c>
      <c r="B17" s="4"/>
      <c r="C17" s="4" t="s">
        <v>177</v>
      </c>
      <c r="D17" s="4"/>
      <c r="E17" s="4"/>
      <c r="F17" s="4"/>
      <c r="G17" s="4"/>
      <c r="H17" s="4"/>
    </row>
    <row r="18" spans="1:8" x14ac:dyDescent="0.2">
      <c r="A18" s="4" t="s">
        <v>178</v>
      </c>
      <c r="B18" s="4"/>
      <c r="C18" s="4" t="s">
        <v>179</v>
      </c>
      <c r="D18" s="4"/>
      <c r="E18" s="4"/>
      <c r="F18" s="4"/>
      <c r="G18" s="4"/>
      <c r="H18" s="4"/>
    </row>
    <row r="19" spans="1:8" x14ac:dyDescent="0.2">
      <c r="A19" s="4" t="s">
        <v>180</v>
      </c>
      <c r="B19" s="4"/>
      <c r="C19" s="4"/>
      <c r="D19" s="4"/>
      <c r="E19" s="4"/>
      <c r="F19" s="4"/>
      <c r="G19" s="4"/>
      <c r="H19" s="4"/>
    </row>
    <row r="20" spans="1:8" x14ac:dyDescent="0.2">
      <c r="A20" s="4" t="s">
        <v>11</v>
      </c>
      <c r="B20" s="4"/>
      <c r="C20" s="4"/>
      <c r="D20" s="4"/>
      <c r="E20" s="4"/>
      <c r="F20" s="4"/>
      <c r="G20" s="4"/>
      <c r="H20" s="4"/>
    </row>
    <row r="21" spans="1:8" x14ac:dyDescent="0.2">
      <c r="A21" s="8" t="s">
        <v>13</v>
      </c>
      <c r="B21" s="4"/>
      <c r="C21" s="4"/>
      <c r="D21" s="4"/>
      <c r="E21" s="4"/>
      <c r="F21" s="4"/>
      <c r="G21" s="4"/>
      <c r="H21" s="4"/>
    </row>
    <row r="22" spans="1:8" x14ac:dyDescent="0.2">
      <c r="A22" s="4"/>
      <c r="B22" s="4"/>
      <c r="C22" s="4"/>
      <c r="D22" s="4"/>
      <c r="E22" s="4"/>
      <c r="F22" s="4"/>
      <c r="G22" s="4"/>
      <c r="H22" s="4"/>
    </row>
    <row r="23" spans="1:8" x14ac:dyDescent="0.2">
      <c r="A23" s="4" t="s">
        <v>181</v>
      </c>
      <c r="B23" s="4"/>
      <c r="C23" s="6">
        <v>45678</v>
      </c>
      <c r="D23" s="4"/>
      <c r="E23" s="4"/>
      <c r="F23" s="4"/>
      <c r="G23" s="4"/>
      <c r="H23" s="4"/>
    </row>
    <row r="24" spans="1:8" x14ac:dyDescent="0.2">
      <c r="A24" s="4" t="s">
        <v>182</v>
      </c>
      <c r="B24" s="4"/>
      <c r="C24" s="4" t="s">
        <v>183</v>
      </c>
      <c r="D24" s="4"/>
      <c r="E24" s="4"/>
      <c r="F24" s="4"/>
      <c r="G24" s="4"/>
      <c r="H24" s="4"/>
    </row>
    <row r="25" spans="1:8" x14ac:dyDescent="0.2">
      <c r="A25" s="4" t="s">
        <v>184</v>
      </c>
      <c r="B25" s="4"/>
      <c r="C25" s="4" t="s">
        <v>185</v>
      </c>
      <c r="D25" s="4"/>
      <c r="E25" s="4"/>
      <c r="F25" s="4"/>
      <c r="G25" s="4"/>
      <c r="H25" s="4"/>
    </row>
    <row r="26" spans="1:8" x14ac:dyDescent="0.2">
      <c r="A26" s="4" t="s">
        <v>186</v>
      </c>
      <c r="B26" s="4"/>
      <c r="C26" s="4" t="s">
        <v>187</v>
      </c>
      <c r="D26" s="4"/>
      <c r="E26" s="4"/>
      <c r="F26" s="4"/>
      <c r="G26" s="4"/>
      <c r="H26" s="4"/>
    </row>
    <row r="27" spans="1:8" x14ac:dyDescent="0.2">
      <c r="A27" s="4" t="s">
        <v>188</v>
      </c>
      <c r="B27" s="4" t="s">
        <v>189</v>
      </c>
      <c r="C27" s="4">
        <v>1</v>
      </c>
      <c r="D27" s="4"/>
      <c r="E27" s="4"/>
      <c r="F27" s="4"/>
      <c r="G27" s="4"/>
      <c r="H27" s="4"/>
    </row>
    <row r="28" spans="1:8" x14ac:dyDescent="0.2">
      <c r="A28" s="4" t="s">
        <v>190</v>
      </c>
      <c r="B28" s="4"/>
      <c r="C28" s="4" t="s">
        <v>191</v>
      </c>
      <c r="D28" s="4"/>
      <c r="E28" s="4"/>
      <c r="F28" s="4"/>
      <c r="G28" s="4"/>
      <c r="H28" s="4"/>
    </row>
    <row r="29" spans="1:8" x14ac:dyDescent="0.2">
      <c r="A29" s="4" t="s">
        <v>192</v>
      </c>
      <c r="B29" s="4"/>
      <c r="C29" s="4" t="s">
        <v>193</v>
      </c>
      <c r="D29" s="4"/>
      <c r="E29" s="4"/>
      <c r="F29" s="4"/>
      <c r="G29" s="4"/>
      <c r="H29" s="4"/>
    </row>
    <row r="30" spans="1:8" x14ac:dyDescent="0.2">
      <c r="A30" s="4" t="s">
        <v>194</v>
      </c>
      <c r="B30" s="4" t="s">
        <v>7</v>
      </c>
      <c r="C30" s="4" t="s">
        <v>195</v>
      </c>
      <c r="D30" s="4"/>
      <c r="E30" s="4"/>
      <c r="F30" s="4"/>
      <c r="G30" s="4"/>
      <c r="H30" s="4"/>
    </row>
    <row r="31" spans="1:8" x14ac:dyDescent="0.2">
      <c r="A31" s="4" t="s">
        <v>196</v>
      </c>
      <c r="B31" s="4"/>
      <c r="C31" s="4"/>
      <c r="D31" s="4"/>
      <c r="E31" s="4"/>
      <c r="F31" s="4"/>
      <c r="G31" s="4"/>
      <c r="H31" s="4"/>
    </row>
    <row r="32" spans="1:8" x14ac:dyDescent="0.2">
      <c r="A32" s="4" t="s">
        <v>197</v>
      </c>
      <c r="B32" s="4"/>
      <c r="C32" s="4" t="s">
        <v>198</v>
      </c>
      <c r="D32" s="4"/>
      <c r="E32" s="4"/>
      <c r="F32" s="4"/>
      <c r="G32" s="4"/>
      <c r="H32" s="4"/>
    </row>
    <row r="33" spans="1:8" x14ac:dyDescent="0.2">
      <c r="A33" s="4" t="s">
        <v>199</v>
      </c>
      <c r="B33" s="4"/>
      <c r="C33" s="4" t="s">
        <v>200</v>
      </c>
      <c r="D33" s="4"/>
      <c r="E33" s="4"/>
      <c r="F33" s="4"/>
      <c r="G33" s="4"/>
      <c r="H33" s="4"/>
    </row>
    <row r="34" spans="1:8" x14ac:dyDescent="0.2">
      <c r="A34" s="4" t="s">
        <v>201</v>
      </c>
      <c r="B34" s="4" t="s">
        <v>202</v>
      </c>
      <c r="C34" s="4">
        <v>1007</v>
      </c>
      <c r="D34" s="4"/>
      <c r="E34" s="4"/>
      <c r="F34" s="4"/>
      <c r="G34" s="4"/>
      <c r="H34" s="4"/>
    </row>
    <row r="35" spans="1:8" x14ac:dyDescent="0.2">
      <c r="A35" s="4" t="s">
        <v>203</v>
      </c>
      <c r="B35" s="4"/>
      <c r="C35" s="4" t="s">
        <v>204</v>
      </c>
      <c r="D35" s="4"/>
      <c r="E35" s="4"/>
      <c r="F35" s="4"/>
      <c r="G35" s="4"/>
      <c r="H35" s="4"/>
    </row>
    <row r="36" spans="1:8" x14ac:dyDescent="0.2">
      <c r="A36" s="4" t="s">
        <v>205</v>
      </c>
      <c r="B36" s="4"/>
      <c r="C36" s="4" t="s">
        <v>206</v>
      </c>
      <c r="D36" s="4"/>
      <c r="E36" s="4"/>
      <c r="F36" s="4"/>
      <c r="G36" s="4"/>
      <c r="H36" s="4"/>
    </row>
    <row r="37" spans="1:8" x14ac:dyDescent="0.2">
      <c r="A37" s="4" t="s">
        <v>207</v>
      </c>
      <c r="B37" s="4"/>
      <c r="C37" s="4" t="s">
        <v>208</v>
      </c>
      <c r="D37" s="4"/>
      <c r="E37" s="4"/>
      <c r="F37" s="4"/>
      <c r="G37" s="4"/>
      <c r="H37" s="4"/>
    </row>
    <row r="38" spans="1:8" x14ac:dyDescent="0.2">
      <c r="A38" s="4"/>
      <c r="B38" s="4"/>
      <c r="C38" s="4"/>
      <c r="D38" s="4"/>
      <c r="E38" s="4"/>
      <c r="F38" s="4"/>
      <c r="G38" s="4"/>
      <c r="H38" s="4"/>
    </row>
    <row r="39" spans="1:8" x14ac:dyDescent="0.2">
      <c r="A39" s="4" t="s">
        <v>11</v>
      </c>
      <c r="B39" s="4"/>
      <c r="C39" s="4"/>
      <c r="D39" s="4"/>
      <c r="E39" s="4"/>
      <c r="F39" s="4"/>
      <c r="G39" s="4"/>
      <c r="H39" s="4"/>
    </row>
    <row r="40" spans="1:8" x14ac:dyDescent="0.2">
      <c r="A40" s="4"/>
      <c r="B40" s="4"/>
      <c r="C40" s="4"/>
      <c r="D40" s="4"/>
      <c r="E40" s="4"/>
      <c r="F40" s="4"/>
      <c r="G40" s="4"/>
      <c r="H40" s="4"/>
    </row>
    <row r="41" spans="1:8" x14ac:dyDescent="0.2">
      <c r="A41" s="8" t="s">
        <v>14</v>
      </c>
      <c r="B41" s="4"/>
      <c r="C41" s="4"/>
      <c r="D41" s="4"/>
      <c r="E41" s="4"/>
      <c r="F41" s="4"/>
      <c r="G41" s="4"/>
      <c r="H41" s="4"/>
    </row>
    <row r="42" spans="1:8" x14ac:dyDescent="0.2">
      <c r="A42" s="4"/>
      <c r="B42" s="4"/>
      <c r="C42" s="4"/>
      <c r="D42" s="4"/>
      <c r="E42" s="4"/>
      <c r="F42" s="4"/>
      <c r="G42" s="4"/>
      <c r="H42" s="4"/>
    </row>
    <row r="43" spans="1:8" x14ac:dyDescent="0.2">
      <c r="A43" s="4" t="s">
        <v>209</v>
      </c>
      <c r="B43" s="4"/>
      <c r="C43" s="4" t="s">
        <v>210</v>
      </c>
      <c r="D43" s="4"/>
      <c r="E43" s="4"/>
      <c r="F43" s="4"/>
      <c r="G43" s="4"/>
      <c r="H43" s="4"/>
    </row>
    <row r="44" spans="1:8" x14ac:dyDescent="0.2">
      <c r="A44" s="4" t="s">
        <v>211</v>
      </c>
      <c r="B44" s="4" t="s">
        <v>212</v>
      </c>
      <c r="C44" s="4">
        <v>8000</v>
      </c>
      <c r="D44" s="4"/>
      <c r="E44" s="4"/>
      <c r="F44" s="4"/>
      <c r="G44" s="4"/>
      <c r="H44" s="4"/>
    </row>
    <row r="45" spans="1:8" x14ac:dyDescent="0.2">
      <c r="A45" s="4" t="s">
        <v>213</v>
      </c>
      <c r="B45" s="4" t="s">
        <v>214</v>
      </c>
      <c r="C45" s="4">
        <v>52</v>
      </c>
      <c r="D45" s="4"/>
      <c r="E45" s="4"/>
      <c r="F45" s="4"/>
      <c r="G45" s="4"/>
      <c r="H45" s="4"/>
    </row>
    <row r="46" spans="1:8" x14ac:dyDescent="0.2">
      <c r="A46" s="4" t="s">
        <v>215</v>
      </c>
      <c r="B46" s="4" t="s">
        <v>15</v>
      </c>
      <c r="C46" s="4">
        <v>30</v>
      </c>
      <c r="D46" s="4"/>
      <c r="E46" s="4"/>
      <c r="F46" s="4"/>
      <c r="G46" s="4"/>
      <c r="H46" s="4"/>
    </row>
    <row r="47" spans="1:8" x14ac:dyDescent="0.2">
      <c r="A47" s="4"/>
      <c r="B47" s="4"/>
      <c r="C47" s="4"/>
      <c r="D47" s="4"/>
      <c r="E47" s="4"/>
      <c r="F47" s="4"/>
      <c r="G47" s="4"/>
      <c r="H47" s="4"/>
    </row>
    <row r="48" spans="1:8" x14ac:dyDescent="0.2">
      <c r="A48" s="4"/>
      <c r="B48" s="4"/>
      <c r="C48" s="4"/>
      <c r="D48" s="4"/>
      <c r="E48" s="4"/>
      <c r="F48" s="4"/>
      <c r="G48" s="4"/>
      <c r="H48" s="4"/>
    </row>
    <row r="49" spans="1:8" x14ac:dyDescent="0.2">
      <c r="A49" s="4"/>
      <c r="B49" s="4"/>
      <c r="C49" s="4"/>
      <c r="D49" s="4"/>
      <c r="E49" s="4"/>
      <c r="F49" s="4"/>
      <c r="G49" s="4"/>
      <c r="H49" s="4"/>
    </row>
    <row r="50" spans="1:8" x14ac:dyDescent="0.2">
      <c r="A50" s="4"/>
      <c r="B50" s="4"/>
      <c r="C50" s="4"/>
      <c r="D50" s="4"/>
      <c r="E50" s="4"/>
      <c r="F50" s="4"/>
      <c r="G50" s="4"/>
      <c r="H50" s="4"/>
    </row>
    <row r="51" spans="1:8" x14ac:dyDescent="0.2">
      <c r="A51" s="4"/>
      <c r="B51" s="4"/>
      <c r="C51" s="4"/>
      <c r="D51" s="4"/>
      <c r="E51" s="4"/>
      <c r="F51" s="4"/>
      <c r="G51" s="4"/>
      <c r="H51" s="4"/>
    </row>
    <row r="52" spans="1:8" x14ac:dyDescent="0.2">
      <c r="A52" s="4"/>
      <c r="B52" s="4"/>
      <c r="C52" s="4"/>
      <c r="D52" s="4"/>
      <c r="E52" s="4"/>
      <c r="F52" s="4"/>
      <c r="G52" s="4"/>
      <c r="H52" s="4"/>
    </row>
    <row r="53" spans="1:8" x14ac:dyDescent="0.2">
      <c r="A53" s="4"/>
      <c r="B53" s="4"/>
      <c r="C53" s="4"/>
      <c r="D53" s="4"/>
      <c r="E53" s="4"/>
      <c r="F53" s="4"/>
      <c r="G53" s="4"/>
      <c r="H53" s="4"/>
    </row>
    <row r="54" spans="1:8" x14ac:dyDescent="0.2">
      <c r="A54" s="4"/>
      <c r="B54" s="4"/>
      <c r="C54" s="4"/>
      <c r="D54" s="4"/>
      <c r="E54" s="4"/>
      <c r="F54" s="4"/>
      <c r="G54" s="4"/>
      <c r="H54" s="4"/>
    </row>
    <row r="55" spans="1:8" x14ac:dyDescent="0.2">
      <c r="A55" s="4"/>
      <c r="B55" s="4"/>
      <c r="C55" s="4"/>
      <c r="D55" s="4"/>
      <c r="E55" s="4"/>
      <c r="F55" s="4"/>
      <c r="G55" s="4"/>
      <c r="H55" s="4"/>
    </row>
    <row r="56" spans="1:8" x14ac:dyDescent="0.2">
      <c r="A56" s="4"/>
      <c r="B56" s="4"/>
      <c r="C56" s="4"/>
      <c r="D56" s="4"/>
      <c r="E56" s="4"/>
      <c r="F56" s="4"/>
      <c r="G56" s="4"/>
      <c r="H56" s="4"/>
    </row>
    <row r="57" spans="1:8" x14ac:dyDescent="0.2">
      <c r="A57" s="4" t="s">
        <v>11</v>
      </c>
      <c r="B57" s="4"/>
      <c r="C57" s="4"/>
      <c r="D57" s="4"/>
      <c r="E57" s="4"/>
      <c r="F57" s="4"/>
      <c r="G57" s="4"/>
      <c r="H57" s="4"/>
    </row>
    <row r="58" spans="1:8" x14ac:dyDescent="0.2">
      <c r="A58" s="4"/>
      <c r="B58" s="4"/>
      <c r="C58" s="4"/>
      <c r="D58" s="4"/>
      <c r="E58" s="4"/>
      <c r="F58" s="4"/>
      <c r="G58" s="4"/>
      <c r="H58" s="4"/>
    </row>
    <row r="59" spans="1:8" x14ac:dyDescent="0.2">
      <c r="A59" s="8" t="s">
        <v>16</v>
      </c>
      <c r="B59" s="4"/>
      <c r="C59" s="4"/>
      <c r="D59" s="4"/>
      <c r="E59" s="4"/>
      <c r="F59" s="4"/>
      <c r="G59" s="4"/>
      <c r="H59" s="4"/>
    </row>
    <row r="60" spans="1:8" x14ac:dyDescent="0.2">
      <c r="A60" s="4"/>
      <c r="B60" s="4"/>
      <c r="C60" s="4"/>
      <c r="D60" s="4"/>
      <c r="E60" s="4"/>
      <c r="F60" s="4"/>
      <c r="G60" s="4"/>
      <c r="H60" s="4"/>
    </row>
    <row r="61" spans="1:8" x14ac:dyDescent="0.2">
      <c r="A61" s="4" t="s">
        <v>216</v>
      </c>
      <c r="B61" s="4"/>
      <c r="C61" s="6">
        <v>45658</v>
      </c>
      <c r="D61" s="4"/>
      <c r="E61" s="4"/>
      <c r="F61" s="4"/>
      <c r="G61" s="4"/>
      <c r="H61" s="4"/>
    </row>
    <row r="62" spans="1:8" x14ac:dyDescent="0.2">
      <c r="A62" s="4" t="s">
        <v>217</v>
      </c>
      <c r="B62" s="4" t="s">
        <v>218</v>
      </c>
      <c r="C62" s="4">
        <v>44</v>
      </c>
      <c r="D62" s="4"/>
      <c r="E62" s="4"/>
      <c r="F62" s="4"/>
      <c r="G62" s="4"/>
      <c r="H62" s="4"/>
    </row>
    <row r="63" spans="1:8" x14ac:dyDescent="0.2">
      <c r="A63" s="4" t="s">
        <v>219</v>
      </c>
      <c r="B63" s="4" t="s">
        <v>218</v>
      </c>
      <c r="C63" s="4">
        <v>26</v>
      </c>
      <c r="D63" s="4"/>
      <c r="E63" s="4"/>
      <c r="F63" s="4"/>
      <c r="G63" s="4"/>
      <c r="H63" s="4"/>
    </row>
    <row r="64" spans="1:8" x14ac:dyDescent="0.2">
      <c r="A64" s="4" t="s">
        <v>220</v>
      </c>
      <c r="B64" s="4" t="s">
        <v>218</v>
      </c>
      <c r="C64" s="4">
        <v>18</v>
      </c>
      <c r="D64" s="4"/>
      <c r="E64" s="4"/>
      <c r="F64" s="4"/>
      <c r="G64" s="4"/>
      <c r="H64" s="4"/>
    </row>
    <row r="65" spans="1:8" x14ac:dyDescent="0.2">
      <c r="A65" s="4" t="s">
        <v>221</v>
      </c>
      <c r="B65" s="4"/>
      <c r="C65" s="4" t="s">
        <v>222</v>
      </c>
      <c r="D65" s="4"/>
      <c r="E65" s="4"/>
      <c r="F65" s="4"/>
      <c r="G65" s="4"/>
      <c r="H65" s="4"/>
    </row>
    <row r="66" spans="1:8" x14ac:dyDescent="0.2">
      <c r="A66" s="4"/>
      <c r="B66" s="4"/>
      <c r="C66" s="4"/>
      <c r="D66" s="4"/>
      <c r="E66" s="4"/>
      <c r="F66" s="4"/>
      <c r="G66" s="4"/>
      <c r="H66" s="4"/>
    </row>
    <row r="67" spans="1:8" x14ac:dyDescent="0.2">
      <c r="A67" s="4"/>
      <c r="B67" s="4"/>
      <c r="C67" s="4"/>
      <c r="D67" s="4"/>
      <c r="E67" s="4"/>
      <c r="F67" s="4"/>
      <c r="G67" s="4"/>
      <c r="H67" s="4"/>
    </row>
    <row r="68" spans="1:8" x14ac:dyDescent="0.2">
      <c r="A68" s="4"/>
      <c r="B68" s="4"/>
      <c r="C68" s="4"/>
      <c r="D68" s="4"/>
      <c r="E68" s="4"/>
      <c r="F68" s="4"/>
      <c r="G68" s="4"/>
      <c r="H68" s="4"/>
    </row>
    <row r="69" spans="1:8" x14ac:dyDescent="0.2">
      <c r="A69" s="4"/>
      <c r="B69" s="4"/>
      <c r="C69" s="4"/>
      <c r="D69" s="4"/>
      <c r="E69" s="4"/>
      <c r="F69" s="4"/>
      <c r="G69" s="4"/>
      <c r="H69" s="4"/>
    </row>
    <row r="70" spans="1:8" x14ac:dyDescent="0.2">
      <c r="A70" s="4"/>
      <c r="B70" s="4"/>
      <c r="C70" s="4"/>
      <c r="D70" s="4"/>
      <c r="E70" s="4"/>
      <c r="F70" s="4"/>
      <c r="G70" s="4"/>
      <c r="H70" s="4"/>
    </row>
    <row r="71" spans="1:8" x14ac:dyDescent="0.2">
      <c r="A71" s="4"/>
      <c r="B71" s="4"/>
      <c r="C71" s="4"/>
      <c r="D71" s="4"/>
      <c r="E71" s="4"/>
      <c r="F71" s="4"/>
      <c r="G71" s="4"/>
      <c r="H71" s="4"/>
    </row>
    <row r="72" spans="1:8" x14ac:dyDescent="0.2">
      <c r="A72" s="4"/>
      <c r="B72" s="4"/>
      <c r="C72" s="4"/>
      <c r="D72" s="4"/>
      <c r="E72" s="4"/>
      <c r="F72" s="4"/>
      <c r="G72" s="4"/>
      <c r="H72" s="4"/>
    </row>
    <row r="73" spans="1:8" x14ac:dyDescent="0.2">
      <c r="A73" s="4"/>
      <c r="B73" s="4"/>
      <c r="C73" s="4"/>
      <c r="D73" s="4"/>
      <c r="E73" s="4"/>
      <c r="F73" s="4"/>
      <c r="G73" s="4"/>
      <c r="H73" s="4"/>
    </row>
    <row r="74" spans="1:8" x14ac:dyDescent="0.2">
      <c r="A74" s="4"/>
      <c r="B74" s="4"/>
      <c r="C74" s="4"/>
      <c r="D74" s="4"/>
      <c r="E74" s="4"/>
      <c r="F74" s="4"/>
      <c r="G74" s="4"/>
      <c r="H74" s="4"/>
    </row>
    <row r="75" spans="1:8" x14ac:dyDescent="0.2">
      <c r="A75" s="4" t="s">
        <v>11</v>
      </c>
      <c r="B75" s="4"/>
      <c r="C75" s="4"/>
      <c r="D75" s="4"/>
      <c r="E75" s="4"/>
      <c r="F75" s="4"/>
      <c r="G75" s="4"/>
      <c r="H75" s="4"/>
    </row>
    <row r="76" spans="1:8" x14ac:dyDescent="0.2">
      <c r="A76" s="4"/>
      <c r="B76" s="4"/>
      <c r="C76" s="4"/>
      <c r="D76" s="4"/>
      <c r="E76" s="4"/>
      <c r="F76" s="4"/>
      <c r="G76" s="4"/>
      <c r="H76" s="4"/>
    </row>
    <row r="77" spans="1:8" x14ac:dyDescent="0.2">
      <c r="A77" s="8" t="s">
        <v>17</v>
      </c>
      <c r="B77" s="4"/>
      <c r="C77" s="4"/>
      <c r="D77" s="4"/>
      <c r="E77" s="4"/>
      <c r="F77" s="4"/>
      <c r="G77" s="4"/>
      <c r="H77" s="4"/>
    </row>
    <row r="78" spans="1:8" x14ac:dyDescent="0.2">
      <c r="A78" s="4"/>
      <c r="B78" s="4"/>
      <c r="C78" s="4"/>
      <c r="D78" s="4"/>
      <c r="E78" s="4"/>
      <c r="F78" s="4"/>
      <c r="G78" s="4"/>
      <c r="H78" s="4"/>
    </row>
    <row r="79" spans="1:8" x14ac:dyDescent="0.2">
      <c r="A79" s="4" t="s">
        <v>223</v>
      </c>
      <c r="B79" s="4" t="s">
        <v>224</v>
      </c>
      <c r="C79" s="4">
        <v>5</v>
      </c>
      <c r="D79" s="4"/>
      <c r="E79" s="4"/>
      <c r="F79" s="4"/>
      <c r="G79" s="4"/>
      <c r="H79" s="4"/>
    </row>
    <row r="80" spans="1:8" x14ac:dyDescent="0.2">
      <c r="A80" s="4"/>
      <c r="B80" s="4"/>
      <c r="C80" s="4"/>
      <c r="D80" s="4"/>
      <c r="E80" s="4"/>
      <c r="F80" s="4"/>
      <c r="G80" s="4"/>
      <c r="H80" s="4"/>
    </row>
    <row r="81" spans="1:8" x14ac:dyDescent="0.2">
      <c r="A81" s="4"/>
      <c r="B81" s="4"/>
      <c r="C81" s="4"/>
      <c r="D81" s="4"/>
      <c r="E81" s="4"/>
      <c r="F81" s="4"/>
      <c r="G81" s="4"/>
      <c r="H81" s="4"/>
    </row>
    <row r="82" spans="1:8" x14ac:dyDescent="0.2">
      <c r="A82" s="4"/>
      <c r="B82" s="4"/>
      <c r="C82" s="4"/>
      <c r="D82" s="4"/>
      <c r="E82" s="4"/>
      <c r="F82" s="4"/>
      <c r="G82" s="4"/>
      <c r="H82" s="4"/>
    </row>
    <row r="83" spans="1:8" x14ac:dyDescent="0.2">
      <c r="A83" s="4"/>
      <c r="B83" s="4"/>
      <c r="C83" s="4"/>
      <c r="D83" s="4"/>
      <c r="E83" s="4"/>
      <c r="F83" s="4"/>
      <c r="G83" s="4"/>
      <c r="H83" s="4"/>
    </row>
    <row r="84" spans="1:8" x14ac:dyDescent="0.2">
      <c r="A84" s="4"/>
      <c r="B84" s="4"/>
      <c r="C84" s="4"/>
      <c r="D84" s="4"/>
      <c r="E84" s="4"/>
      <c r="F84" s="4"/>
      <c r="G84" s="4"/>
      <c r="H84" s="4"/>
    </row>
    <row r="85" spans="1:8" x14ac:dyDescent="0.2">
      <c r="A85" s="4"/>
      <c r="B85" s="4"/>
      <c r="C85" s="4"/>
      <c r="D85" s="4"/>
      <c r="E85" s="4"/>
      <c r="F85" s="4"/>
      <c r="G85" s="4"/>
      <c r="H85" s="4"/>
    </row>
    <row r="86" spans="1:8" x14ac:dyDescent="0.2">
      <c r="A86" s="4"/>
      <c r="B86" s="4"/>
      <c r="C86" s="4"/>
      <c r="D86" s="4"/>
      <c r="E86" s="4"/>
      <c r="F86" s="4"/>
      <c r="G86" s="4"/>
      <c r="H86" s="4"/>
    </row>
    <row r="87" spans="1:8" x14ac:dyDescent="0.2">
      <c r="A87" s="4"/>
      <c r="B87" s="4"/>
      <c r="C87" s="4"/>
      <c r="D87" s="4"/>
      <c r="E87" s="4"/>
      <c r="F87" s="4"/>
      <c r="G87" s="4"/>
      <c r="H87" s="4"/>
    </row>
    <row r="88" spans="1:8" x14ac:dyDescent="0.2">
      <c r="A88" s="4"/>
      <c r="B88" s="4"/>
      <c r="C88" s="4"/>
      <c r="D88" s="4"/>
      <c r="E88" s="4"/>
      <c r="F88" s="4"/>
      <c r="G88" s="4"/>
      <c r="H88" s="4"/>
    </row>
    <row r="89" spans="1:8" x14ac:dyDescent="0.2">
      <c r="A89" s="4"/>
      <c r="B89" s="4"/>
      <c r="C89" s="4"/>
      <c r="D89" s="4"/>
      <c r="E89" s="4"/>
      <c r="F89" s="4"/>
      <c r="G89" s="4"/>
      <c r="H89" s="4"/>
    </row>
    <row r="90" spans="1:8" x14ac:dyDescent="0.2">
      <c r="A90" s="4"/>
      <c r="B90" s="4"/>
      <c r="C90" s="4"/>
      <c r="D90" s="4"/>
      <c r="E90" s="4"/>
      <c r="F90" s="4"/>
      <c r="G90" s="4"/>
      <c r="H90" s="4"/>
    </row>
    <row r="91" spans="1:8" x14ac:dyDescent="0.2">
      <c r="A91" s="4" t="s">
        <v>11</v>
      </c>
      <c r="B91" s="4"/>
      <c r="C91" s="4"/>
      <c r="D91" s="4"/>
      <c r="E91" s="4"/>
      <c r="F91" s="4"/>
      <c r="G91" s="4"/>
      <c r="H91" s="4"/>
    </row>
    <row r="92" spans="1:8" x14ac:dyDescent="0.2">
      <c r="A92" s="4"/>
      <c r="B92" s="4"/>
      <c r="C92" s="4"/>
      <c r="D92" s="4"/>
      <c r="E92" s="4"/>
      <c r="F92" s="4"/>
      <c r="G92" s="4"/>
      <c r="H92" s="4"/>
    </row>
    <row r="93" spans="1:8" x14ac:dyDescent="0.2">
      <c r="A93" s="8" t="s">
        <v>18</v>
      </c>
      <c r="B93" s="4"/>
      <c r="C93" s="4"/>
      <c r="D93" s="4"/>
      <c r="E93" s="4"/>
      <c r="F93" s="4"/>
      <c r="G93" s="4"/>
      <c r="H93" s="4"/>
    </row>
    <row r="94" spans="1:8" x14ac:dyDescent="0.2">
      <c r="A94" s="4"/>
      <c r="B94" s="4"/>
      <c r="C94" s="4"/>
      <c r="D94" s="4"/>
      <c r="E94" s="4"/>
      <c r="F94" s="4"/>
      <c r="G94" s="4"/>
      <c r="H94" s="4"/>
    </row>
    <row r="95" spans="1:8" x14ac:dyDescent="0.2">
      <c r="A95" s="4" t="s">
        <v>225</v>
      </c>
      <c r="B95" s="4" t="s">
        <v>19</v>
      </c>
      <c r="C95" s="4">
        <v>0</v>
      </c>
      <c r="D95" s="4"/>
      <c r="E95" s="4"/>
      <c r="F95" s="4"/>
      <c r="G95" s="4"/>
      <c r="H95" s="4"/>
    </row>
    <row r="96" spans="1:8" x14ac:dyDescent="0.2">
      <c r="A96" s="4" t="s">
        <v>226</v>
      </c>
      <c r="B96" s="4" t="s">
        <v>19</v>
      </c>
      <c r="C96" s="4">
        <v>0</v>
      </c>
      <c r="D96" s="4"/>
      <c r="E96" s="4"/>
      <c r="F96" s="4"/>
      <c r="G96" s="4"/>
      <c r="H96" s="4"/>
    </row>
    <row r="97" spans="1:8" x14ac:dyDescent="0.2">
      <c r="A97" s="4" t="s">
        <v>227</v>
      </c>
      <c r="B97" s="4" t="s">
        <v>224</v>
      </c>
      <c r="C97" s="4">
        <v>25</v>
      </c>
      <c r="D97" s="4"/>
      <c r="E97" s="4"/>
      <c r="F97" s="4"/>
      <c r="G97" s="4"/>
      <c r="H97" s="4"/>
    </row>
    <row r="98" spans="1:8" x14ac:dyDescent="0.2">
      <c r="A98" s="4" t="s">
        <v>228</v>
      </c>
      <c r="B98" s="4" t="s">
        <v>224</v>
      </c>
      <c r="C98" s="4">
        <v>25</v>
      </c>
      <c r="D98" s="4"/>
      <c r="E98" s="4"/>
      <c r="F98" s="4"/>
      <c r="G98" s="4"/>
      <c r="H98" s="4"/>
    </row>
    <row r="99" spans="1:8" x14ac:dyDescent="0.2">
      <c r="A99" s="4" t="s">
        <v>229</v>
      </c>
      <c r="B99" s="4" t="s">
        <v>224</v>
      </c>
      <c r="C99" s="4">
        <v>50</v>
      </c>
      <c r="D99" s="4"/>
      <c r="E99" s="4"/>
      <c r="F99" s="4"/>
      <c r="G99" s="4"/>
      <c r="H99" s="4"/>
    </row>
    <row r="100" spans="1:8" x14ac:dyDescent="0.2">
      <c r="A100" s="4" t="s">
        <v>230</v>
      </c>
      <c r="B100" s="4" t="s">
        <v>224</v>
      </c>
      <c r="C100" s="4">
        <v>8</v>
      </c>
      <c r="D100" s="4"/>
      <c r="E100" s="4"/>
      <c r="F100" s="4"/>
      <c r="G100" s="4"/>
      <c r="H100" s="4"/>
    </row>
    <row r="101" spans="1:8" x14ac:dyDescent="0.2">
      <c r="A101" s="4"/>
      <c r="B101" s="4"/>
      <c r="C101" s="4"/>
      <c r="D101" s="4"/>
      <c r="E101" s="4"/>
      <c r="F101" s="4"/>
      <c r="G101" s="4"/>
      <c r="H101" s="4"/>
    </row>
    <row r="102" spans="1:8" x14ac:dyDescent="0.2">
      <c r="A102" s="4"/>
      <c r="B102" s="4"/>
      <c r="C102" s="4"/>
      <c r="D102" s="4"/>
      <c r="E102" s="4"/>
      <c r="F102" s="4"/>
      <c r="G102" s="4"/>
      <c r="H102" s="4"/>
    </row>
    <row r="103" spans="1:8" x14ac:dyDescent="0.2">
      <c r="A103" s="4"/>
      <c r="B103" s="4"/>
      <c r="C103" s="4"/>
      <c r="D103" s="4"/>
      <c r="E103" s="4"/>
      <c r="F103" s="4"/>
      <c r="G103" s="4"/>
      <c r="H103" s="4"/>
    </row>
    <row r="104" spans="1:8" x14ac:dyDescent="0.2">
      <c r="A104" s="4"/>
      <c r="B104" s="4"/>
      <c r="C104" s="4"/>
      <c r="D104" s="4"/>
      <c r="E104" s="4"/>
      <c r="F104" s="4"/>
      <c r="G104" s="4"/>
      <c r="H104" s="4"/>
    </row>
    <row r="105" spans="1:8" x14ac:dyDescent="0.2">
      <c r="A105" s="4"/>
      <c r="B105" s="4"/>
      <c r="C105" s="4"/>
      <c r="D105" s="4"/>
      <c r="E105" s="4"/>
      <c r="F105" s="4"/>
      <c r="G105" s="4"/>
      <c r="H105" s="4"/>
    </row>
    <row r="106" spans="1:8" x14ac:dyDescent="0.2">
      <c r="A106" s="4"/>
      <c r="B106" s="4"/>
      <c r="C106" s="4"/>
      <c r="D106" s="4"/>
      <c r="E106" s="4"/>
      <c r="F106" s="4"/>
      <c r="G106" s="4"/>
      <c r="H106" s="4"/>
    </row>
    <row r="107" spans="1:8" x14ac:dyDescent="0.2">
      <c r="A107" s="4"/>
      <c r="B107" s="4"/>
      <c r="C107" s="4"/>
      <c r="D107" s="4"/>
      <c r="E107" s="4"/>
      <c r="F107" s="4"/>
      <c r="G107" s="4"/>
      <c r="H107" s="4"/>
    </row>
    <row r="108" spans="1:8" x14ac:dyDescent="0.2">
      <c r="A108" s="4" t="s">
        <v>11</v>
      </c>
      <c r="B108" s="4"/>
      <c r="C108" s="4"/>
      <c r="D108" s="4"/>
      <c r="E108" s="4"/>
      <c r="F108" s="4"/>
      <c r="G108" s="4"/>
      <c r="H108" s="4"/>
    </row>
    <row r="109" spans="1:8" x14ac:dyDescent="0.2">
      <c r="A109" s="4"/>
      <c r="B109" s="4"/>
      <c r="C109" s="4"/>
      <c r="D109" s="4"/>
      <c r="E109" s="4"/>
      <c r="F109" s="4"/>
      <c r="G109" s="4"/>
      <c r="H109" s="4"/>
    </row>
    <row r="110" spans="1:8" x14ac:dyDescent="0.2">
      <c r="A110" s="8" t="s">
        <v>20</v>
      </c>
      <c r="B110" s="4"/>
      <c r="C110" s="4"/>
      <c r="D110" s="4"/>
      <c r="E110" s="4"/>
      <c r="F110" s="4"/>
      <c r="G110" s="4"/>
      <c r="H110" s="4"/>
    </row>
    <row r="111" spans="1:8" x14ac:dyDescent="0.2">
      <c r="A111" s="4"/>
      <c r="B111" s="4"/>
      <c r="C111" s="4"/>
      <c r="D111" s="4"/>
      <c r="E111" s="4"/>
      <c r="F111" s="4"/>
      <c r="G111" s="4"/>
      <c r="H111" s="4"/>
    </row>
    <row r="112" spans="1:8" x14ac:dyDescent="0.2">
      <c r="A112" s="4" t="s">
        <v>231</v>
      </c>
      <c r="B112" s="4" t="s">
        <v>224</v>
      </c>
      <c r="C112" s="4">
        <v>40</v>
      </c>
      <c r="D112" s="4"/>
      <c r="E112" s="4"/>
      <c r="F112" s="4"/>
      <c r="G112" s="4"/>
      <c r="H112" s="4"/>
    </row>
    <row r="113" spans="1:8" x14ac:dyDescent="0.2">
      <c r="A113" s="4" t="s">
        <v>232</v>
      </c>
      <c r="B113" s="4" t="s">
        <v>224</v>
      </c>
      <c r="C113" s="4">
        <v>4</v>
      </c>
      <c r="D113" s="4"/>
      <c r="E113" s="4"/>
      <c r="F113" s="4"/>
      <c r="G113" s="4"/>
      <c r="H113" s="4"/>
    </row>
    <row r="114" spans="1:8" x14ac:dyDescent="0.2">
      <c r="A114" s="4" t="s">
        <v>233</v>
      </c>
      <c r="B114" s="4" t="s">
        <v>15</v>
      </c>
      <c r="C114" s="4">
        <v>30</v>
      </c>
      <c r="D114" s="4"/>
      <c r="E114" s="4"/>
      <c r="F114" s="4"/>
      <c r="G114" s="4"/>
      <c r="H114" s="4"/>
    </row>
    <row r="115" spans="1:8" x14ac:dyDescent="0.2">
      <c r="A115" s="4" t="s">
        <v>234</v>
      </c>
      <c r="B115" s="4" t="s">
        <v>21</v>
      </c>
      <c r="C115" s="4">
        <v>0</v>
      </c>
      <c r="D115" s="4"/>
      <c r="E115" s="4"/>
      <c r="F115" s="4"/>
      <c r="G115" s="4"/>
      <c r="H115" s="4"/>
    </row>
    <row r="116" spans="1:8" x14ac:dyDescent="0.2">
      <c r="A116" s="4" t="s">
        <v>235</v>
      </c>
      <c r="B116" s="4"/>
      <c r="C116" s="4" t="s">
        <v>236</v>
      </c>
      <c r="D116" s="4"/>
      <c r="E116" s="4"/>
      <c r="F116" s="4"/>
      <c r="G116" s="4"/>
      <c r="H116" s="4"/>
    </row>
    <row r="117" spans="1:8" x14ac:dyDescent="0.2">
      <c r="A117" s="4"/>
      <c r="B117" s="4"/>
      <c r="C117" s="4"/>
      <c r="D117" s="4"/>
      <c r="E117" s="4"/>
      <c r="F117" s="4"/>
      <c r="G117" s="4"/>
      <c r="H117" s="4"/>
    </row>
    <row r="118" spans="1:8" x14ac:dyDescent="0.2">
      <c r="A118" s="4"/>
      <c r="B118" s="4"/>
      <c r="C118" s="4"/>
      <c r="D118" s="4"/>
      <c r="E118" s="4"/>
      <c r="F118" s="4"/>
      <c r="G118" s="4"/>
      <c r="H118" s="4"/>
    </row>
    <row r="119" spans="1:8" x14ac:dyDescent="0.2">
      <c r="A119" s="4"/>
      <c r="B119" s="4"/>
      <c r="C119" s="4"/>
      <c r="D119" s="4"/>
      <c r="E119" s="4"/>
      <c r="F119" s="4"/>
      <c r="G119" s="4"/>
      <c r="H119" s="4"/>
    </row>
    <row r="120" spans="1:8" x14ac:dyDescent="0.2">
      <c r="A120" s="4"/>
      <c r="B120" s="4"/>
      <c r="C120" s="4"/>
      <c r="D120" s="4"/>
      <c r="E120" s="4"/>
      <c r="F120" s="4"/>
      <c r="G120" s="4"/>
      <c r="H120" s="4"/>
    </row>
    <row r="121" spans="1:8" x14ac:dyDescent="0.2">
      <c r="A121" s="4"/>
      <c r="B121" s="4"/>
      <c r="C121" s="4"/>
      <c r="D121" s="4"/>
      <c r="E121" s="4"/>
      <c r="F121" s="4"/>
      <c r="G121" s="4"/>
      <c r="H121" s="4"/>
    </row>
    <row r="122" spans="1:8" x14ac:dyDescent="0.2">
      <c r="A122" s="4"/>
      <c r="B122" s="4"/>
      <c r="C122" s="4"/>
      <c r="D122" s="4"/>
      <c r="E122" s="4"/>
      <c r="F122" s="4"/>
      <c r="G122" s="4"/>
      <c r="H122" s="4"/>
    </row>
    <row r="123" spans="1:8" x14ac:dyDescent="0.2">
      <c r="A123" s="4"/>
      <c r="B123" s="4"/>
      <c r="C123" s="4"/>
      <c r="D123" s="4"/>
      <c r="E123" s="4"/>
      <c r="F123" s="4"/>
      <c r="G123" s="4"/>
      <c r="H123" s="4"/>
    </row>
    <row r="124" spans="1:8" x14ac:dyDescent="0.2">
      <c r="A124" s="4"/>
      <c r="B124" s="4"/>
      <c r="C124" s="4"/>
      <c r="D124" s="4"/>
      <c r="E124" s="4"/>
      <c r="F124" s="4"/>
      <c r="G124" s="4"/>
      <c r="H124" s="4"/>
    </row>
    <row r="125" spans="1:8" x14ac:dyDescent="0.2">
      <c r="A125" s="4"/>
      <c r="B125" s="4"/>
      <c r="C125" s="4"/>
      <c r="D125" s="4"/>
      <c r="E125" s="4"/>
      <c r="F125" s="4"/>
      <c r="G125" s="4"/>
      <c r="H125" s="4"/>
    </row>
    <row r="126" spans="1:8" x14ac:dyDescent="0.2">
      <c r="A126" s="4"/>
      <c r="B126" s="4"/>
      <c r="C126" s="4"/>
      <c r="D126" s="4"/>
      <c r="E126" s="4"/>
      <c r="F126" s="4"/>
      <c r="G126" s="4"/>
      <c r="H126" s="4"/>
    </row>
    <row r="127" spans="1:8" x14ac:dyDescent="0.2">
      <c r="A127" s="4"/>
      <c r="B127" s="4"/>
      <c r="C127" s="4"/>
      <c r="D127" s="4"/>
      <c r="E127" s="4"/>
      <c r="F127" s="4"/>
      <c r="G127" s="4"/>
      <c r="H127" s="4"/>
    </row>
    <row r="128" spans="1:8" x14ac:dyDescent="0.2">
      <c r="A128" s="4" t="s">
        <v>11</v>
      </c>
      <c r="B128" s="4"/>
      <c r="C128" s="4"/>
      <c r="D128" s="4"/>
      <c r="E128" s="4"/>
      <c r="F128" s="4"/>
      <c r="G128" s="4"/>
      <c r="H128" s="4"/>
    </row>
    <row r="129" spans="1:8" x14ac:dyDescent="0.2">
      <c r="A129" s="4"/>
      <c r="B129" s="4"/>
      <c r="C129" s="4"/>
      <c r="D129" s="4"/>
      <c r="E129" s="4"/>
      <c r="F129" s="4"/>
      <c r="G129" s="4"/>
      <c r="H129" s="4"/>
    </row>
    <row r="130" spans="1:8" x14ac:dyDescent="0.2">
      <c r="A130" s="8" t="s">
        <v>22</v>
      </c>
      <c r="B130" s="4"/>
      <c r="C130" s="4"/>
      <c r="D130" s="4"/>
      <c r="E130" s="4"/>
      <c r="F130" s="4"/>
      <c r="G130" s="4"/>
      <c r="H130" s="4"/>
    </row>
    <row r="131" spans="1:8" x14ac:dyDescent="0.2">
      <c r="A131" s="4"/>
      <c r="B131" s="4"/>
      <c r="C131" s="4"/>
      <c r="D131" s="4"/>
      <c r="E131" s="4"/>
      <c r="F131" s="4"/>
      <c r="G131" s="4"/>
      <c r="H131" s="4"/>
    </row>
    <row r="132" spans="1:8" x14ac:dyDescent="0.2">
      <c r="A132" s="4" t="s">
        <v>237</v>
      </c>
      <c r="B132" s="4" t="s">
        <v>224</v>
      </c>
      <c r="C132" s="4">
        <v>5</v>
      </c>
      <c r="D132" s="4"/>
      <c r="E132" s="4"/>
      <c r="F132" s="4"/>
      <c r="G132" s="4"/>
      <c r="H132" s="4"/>
    </row>
    <row r="133" spans="1:8" x14ac:dyDescent="0.2">
      <c r="A133" s="4" t="s">
        <v>238</v>
      </c>
      <c r="B133" s="4" t="s">
        <v>224</v>
      </c>
      <c r="C133" s="4">
        <v>5</v>
      </c>
      <c r="D133" s="4"/>
      <c r="E133" s="4"/>
      <c r="F133" s="4"/>
      <c r="G133" s="4"/>
      <c r="H133" s="4"/>
    </row>
    <row r="134" spans="1:8" x14ac:dyDescent="0.2">
      <c r="A134" s="4" t="s">
        <v>239</v>
      </c>
      <c r="B134" s="4" t="s">
        <v>224</v>
      </c>
      <c r="C134" s="4">
        <v>3.5</v>
      </c>
      <c r="D134" s="4"/>
      <c r="E134" s="4"/>
      <c r="F134" s="4"/>
      <c r="G134" s="4"/>
      <c r="H134" s="4"/>
    </row>
    <row r="135" spans="1:8" x14ac:dyDescent="0.2">
      <c r="A135" s="4" t="s">
        <v>240</v>
      </c>
      <c r="B135" s="4" t="s">
        <v>224</v>
      </c>
      <c r="C135" s="4">
        <v>3</v>
      </c>
      <c r="D135" s="4"/>
      <c r="E135" s="4"/>
      <c r="F135" s="4"/>
      <c r="G135" s="4"/>
      <c r="H135" s="4"/>
    </row>
    <row r="136" spans="1:8" x14ac:dyDescent="0.2">
      <c r="A136" s="4" t="s">
        <v>241</v>
      </c>
      <c r="B136" s="4" t="s">
        <v>224</v>
      </c>
      <c r="C136" s="4">
        <v>3</v>
      </c>
      <c r="D136" s="4"/>
      <c r="E136" s="4"/>
      <c r="F136" s="4"/>
      <c r="G136" s="4"/>
      <c r="H136" s="4"/>
    </row>
    <row r="137" spans="1:8" x14ac:dyDescent="0.2">
      <c r="A137" s="4"/>
      <c r="B137" s="4"/>
      <c r="C137" s="4"/>
      <c r="D137" s="4"/>
      <c r="E137" s="4"/>
      <c r="F137" s="4"/>
      <c r="G137" s="4"/>
      <c r="H137" s="4"/>
    </row>
    <row r="138" spans="1:8" x14ac:dyDescent="0.2">
      <c r="A138" s="4"/>
      <c r="B138" s="4"/>
      <c r="C138" s="4"/>
      <c r="D138" s="4"/>
      <c r="E138" s="4"/>
      <c r="F138" s="4"/>
      <c r="G138" s="4"/>
      <c r="H138" s="4"/>
    </row>
    <row r="139" spans="1:8" x14ac:dyDescent="0.2">
      <c r="A139" s="4"/>
      <c r="B139" s="4"/>
      <c r="C139" s="4"/>
      <c r="D139" s="4"/>
      <c r="E139" s="4"/>
      <c r="F139" s="4"/>
      <c r="G139" s="4"/>
      <c r="H139" s="4"/>
    </row>
    <row r="140" spans="1:8" x14ac:dyDescent="0.2">
      <c r="A140" s="4"/>
      <c r="B140" s="4"/>
      <c r="C140" s="4"/>
      <c r="D140" s="4"/>
      <c r="E140" s="4"/>
      <c r="F140" s="4"/>
      <c r="G140" s="4"/>
      <c r="H140" s="4"/>
    </row>
    <row r="141" spans="1:8" x14ac:dyDescent="0.2">
      <c r="A141" s="4"/>
      <c r="B141" s="4"/>
      <c r="C141" s="4"/>
      <c r="D141" s="4"/>
      <c r="E141" s="4"/>
      <c r="F141" s="4"/>
      <c r="G141" s="4"/>
      <c r="H141" s="4"/>
    </row>
    <row r="142" spans="1:8" x14ac:dyDescent="0.2">
      <c r="A142" s="4"/>
      <c r="B142" s="4"/>
      <c r="C142" s="4"/>
      <c r="D142" s="4"/>
      <c r="E142" s="4"/>
      <c r="F142" s="4"/>
      <c r="G142" s="4"/>
      <c r="H142" s="4"/>
    </row>
    <row r="143" spans="1:8" x14ac:dyDescent="0.2">
      <c r="A143" s="4"/>
      <c r="B143" s="4"/>
      <c r="C143" s="4"/>
      <c r="D143" s="4"/>
      <c r="E143" s="4"/>
      <c r="F143" s="4"/>
      <c r="G143" s="4"/>
      <c r="H143" s="4"/>
    </row>
    <row r="144" spans="1:8" x14ac:dyDescent="0.2">
      <c r="A144" s="4"/>
      <c r="B144" s="4"/>
      <c r="C144" s="4"/>
      <c r="D144" s="4"/>
      <c r="E144" s="4"/>
      <c r="F144" s="4"/>
      <c r="G144" s="4"/>
      <c r="H144" s="4"/>
    </row>
    <row r="145" spans="1:8" x14ac:dyDescent="0.2">
      <c r="A145" s="4"/>
      <c r="B145" s="4"/>
      <c r="C145" s="4"/>
      <c r="D145" s="4"/>
      <c r="E145" s="4"/>
      <c r="F145" s="4"/>
      <c r="G145" s="4"/>
      <c r="H145" s="4"/>
    </row>
    <row r="146" spans="1:8" x14ac:dyDescent="0.2">
      <c r="A146" s="4"/>
      <c r="B146" s="4"/>
      <c r="C146" s="4"/>
      <c r="D146" s="4"/>
      <c r="E146" s="4"/>
      <c r="F146" s="4"/>
      <c r="G146" s="4"/>
      <c r="H146" s="4"/>
    </row>
    <row r="147" spans="1:8" x14ac:dyDescent="0.2">
      <c r="A147" s="4"/>
      <c r="B147" s="4"/>
      <c r="C147" s="4"/>
      <c r="D147" s="4"/>
      <c r="E147" s="4"/>
      <c r="F147" s="4"/>
      <c r="G147" s="4"/>
      <c r="H147" s="4"/>
    </row>
    <row r="148" spans="1:8" x14ac:dyDescent="0.2">
      <c r="A148" s="4" t="s">
        <v>11</v>
      </c>
      <c r="B148" s="4"/>
      <c r="C148" s="4"/>
      <c r="D148" s="4"/>
      <c r="E148" s="4"/>
      <c r="F148" s="4"/>
      <c r="G148" s="4"/>
      <c r="H148" s="4"/>
    </row>
    <row r="149" spans="1:8" x14ac:dyDescent="0.2">
      <c r="A149" s="4"/>
      <c r="B149" s="4"/>
      <c r="C149" s="4"/>
      <c r="D149" s="4"/>
      <c r="E149" s="4"/>
      <c r="F149" s="4"/>
      <c r="G149" s="4"/>
      <c r="H149" s="4"/>
    </row>
    <row r="150" spans="1:8" x14ac:dyDescent="0.2">
      <c r="A150" s="8" t="s">
        <v>23</v>
      </c>
      <c r="B150" s="4"/>
      <c r="C150" s="4"/>
      <c r="D150" s="4"/>
      <c r="E150" s="4"/>
      <c r="F150" s="4"/>
      <c r="G150" s="4"/>
      <c r="H150" s="4"/>
    </row>
    <row r="151" spans="1:8" x14ac:dyDescent="0.2">
      <c r="A151" s="4"/>
      <c r="B151" s="4"/>
      <c r="C151" s="4"/>
      <c r="D151" s="4"/>
      <c r="E151" s="4"/>
      <c r="F151" s="4"/>
      <c r="G151" s="4"/>
      <c r="H151" s="4"/>
    </row>
    <row r="152" spans="1:8" x14ac:dyDescent="0.2">
      <c r="A152" s="4" t="s">
        <v>242</v>
      </c>
      <c r="B152" s="4" t="s">
        <v>243</v>
      </c>
      <c r="C152" s="5">
        <v>72604500</v>
      </c>
      <c r="D152" s="4"/>
      <c r="E152" s="4"/>
      <c r="F152" s="4"/>
      <c r="G152" s="4"/>
      <c r="H152" s="4"/>
    </row>
    <row r="153" spans="1:8" x14ac:dyDescent="0.2">
      <c r="A153" s="4" t="s">
        <v>244</v>
      </c>
      <c r="B153" s="4" t="s">
        <v>19</v>
      </c>
      <c r="C153" s="5">
        <v>118629000</v>
      </c>
      <c r="D153" s="4"/>
      <c r="E153" s="4"/>
      <c r="F153" s="4"/>
      <c r="G153" s="4"/>
      <c r="H153" s="4"/>
    </row>
    <row r="154" spans="1:8" x14ac:dyDescent="0.2">
      <c r="A154" s="4" t="s">
        <v>245</v>
      </c>
      <c r="B154" s="4" t="s">
        <v>19</v>
      </c>
      <c r="C154" s="5">
        <v>2381490</v>
      </c>
      <c r="D154" s="4"/>
      <c r="E154" s="4"/>
      <c r="F154" s="4"/>
      <c r="G154" s="4"/>
      <c r="H154" s="4"/>
    </row>
    <row r="155" spans="1:8" x14ac:dyDescent="0.2">
      <c r="A155" s="4" t="s">
        <v>246</v>
      </c>
      <c r="B155" s="4" t="s">
        <v>19</v>
      </c>
      <c r="C155" s="5">
        <v>1770000</v>
      </c>
      <c r="D155" s="4"/>
      <c r="E155" s="4"/>
      <c r="F155" s="4"/>
      <c r="G155" s="4"/>
      <c r="H155" s="4"/>
    </row>
    <row r="156" spans="1:8" x14ac:dyDescent="0.2">
      <c r="A156" s="4" t="s">
        <v>247</v>
      </c>
      <c r="B156" s="4" t="s">
        <v>19</v>
      </c>
      <c r="C156" s="5">
        <v>3930530</v>
      </c>
      <c r="D156" s="4"/>
      <c r="E156" s="4"/>
      <c r="F156" s="4"/>
      <c r="G156" s="4"/>
      <c r="H156" s="4"/>
    </row>
    <row r="157" spans="1:8" x14ac:dyDescent="0.2">
      <c r="A157" s="4" t="s">
        <v>248</v>
      </c>
      <c r="B157" s="4" t="s">
        <v>19</v>
      </c>
      <c r="C157" s="5">
        <v>135437000</v>
      </c>
      <c r="D157" s="4"/>
      <c r="E157" s="4"/>
      <c r="F157" s="4"/>
      <c r="G157" s="4"/>
      <c r="H157" s="4"/>
    </row>
    <row r="158" spans="1:8" x14ac:dyDescent="0.2">
      <c r="A158" s="4"/>
      <c r="B158" s="4"/>
      <c r="C158" s="4"/>
      <c r="D158" s="4"/>
      <c r="E158" s="4"/>
      <c r="F158" s="4"/>
      <c r="G158" s="4"/>
      <c r="H158" s="4"/>
    </row>
    <row r="159" spans="1:8" x14ac:dyDescent="0.2">
      <c r="A159" s="4" t="s">
        <v>249</v>
      </c>
      <c r="B159" s="4" t="s">
        <v>19</v>
      </c>
      <c r="C159" s="4">
        <v>760000</v>
      </c>
      <c r="D159" s="4"/>
      <c r="E159" s="4"/>
      <c r="F159" s="4"/>
      <c r="G159" s="4"/>
      <c r="H159" s="4"/>
    </row>
    <row r="160" spans="1:8" x14ac:dyDescent="0.2">
      <c r="A160" s="4" t="s">
        <v>250</v>
      </c>
      <c r="B160" s="4" t="s">
        <v>19</v>
      </c>
      <c r="C160" s="5">
        <v>1010000</v>
      </c>
      <c r="D160" s="4"/>
      <c r="E160" s="4"/>
      <c r="F160" s="4"/>
      <c r="G160" s="4"/>
      <c r="H160" s="4"/>
    </row>
    <row r="161" spans="1:8" x14ac:dyDescent="0.2">
      <c r="A161" s="4" t="s">
        <v>251</v>
      </c>
      <c r="B161" s="4" t="s">
        <v>19</v>
      </c>
      <c r="C161" s="4">
        <v>190000</v>
      </c>
      <c r="D161" s="4"/>
      <c r="E161" s="4"/>
      <c r="F161" s="4"/>
      <c r="G161" s="4"/>
      <c r="H161" s="4"/>
    </row>
    <row r="162" spans="1:8" x14ac:dyDescent="0.2">
      <c r="A162" s="4" t="s">
        <v>252</v>
      </c>
      <c r="B162" s="4" t="s">
        <v>19</v>
      </c>
      <c r="C162" s="4">
        <v>885000</v>
      </c>
      <c r="D162" s="4"/>
      <c r="E162" s="4"/>
      <c r="F162" s="4"/>
      <c r="G162" s="4"/>
      <c r="H162" s="4"/>
    </row>
    <row r="163" spans="1:8" x14ac:dyDescent="0.2">
      <c r="A163" s="4" t="s">
        <v>253</v>
      </c>
      <c r="B163" s="4" t="s">
        <v>19</v>
      </c>
      <c r="C163" s="5">
        <v>125405000</v>
      </c>
      <c r="D163" s="4"/>
      <c r="E163" s="4"/>
      <c r="F163" s="4"/>
      <c r="G163" s="4"/>
      <c r="H163" s="4"/>
    </row>
    <row r="164" spans="1:8" x14ac:dyDescent="0.2">
      <c r="A164" s="4" t="s">
        <v>254</v>
      </c>
      <c r="B164" s="4"/>
      <c r="C164" s="5">
        <v>10032400</v>
      </c>
      <c r="D164" s="4"/>
      <c r="E164" s="4"/>
      <c r="F164" s="4"/>
      <c r="G164" s="4"/>
      <c r="H164" s="4"/>
    </row>
    <row r="165" spans="1:8" x14ac:dyDescent="0.2">
      <c r="A165" s="4"/>
      <c r="B165" s="4"/>
      <c r="C165" s="4"/>
      <c r="D165" s="4"/>
      <c r="E165" s="4"/>
      <c r="F165" s="4"/>
      <c r="G165" s="4"/>
      <c r="H165" s="4"/>
    </row>
    <row r="166" spans="1:8" x14ac:dyDescent="0.2">
      <c r="A166" s="4"/>
      <c r="B166" s="4"/>
      <c r="C166" s="4"/>
      <c r="D166" s="4"/>
      <c r="E166" s="4"/>
      <c r="F166" s="4"/>
      <c r="G166" s="4"/>
      <c r="H166" s="4"/>
    </row>
    <row r="167" spans="1:8" x14ac:dyDescent="0.2">
      <c r="A167" s="4"/>
      <c r="B167" s="4"/>
      <c r="C167" s="4"/>
      <c r="D167" s="4"/>
      <c r="E167" s="4"/>
      <c r="F167" s="4"/>
      <c r="G167" s="4"/>
      <c r="H167" s="4"/>
    </row>
    <row r="168" spans="1:8" x14ac:dyDescent="0.2">
      <c r="A168" s="4" t="s">
        <v>11</v>
      </c>
      <c r="B168" s="4"/>
      <c r="C168" s="4"/>
      <c r="D168" s="4"/>
      <c r="E168" s="4"/>
      <c r="F168" s="4"/>
      <c r="G168" s="4"/>
      <c r="H168" s="4"/>
    </row>
    <row r="169" spans="1:8" x14ac:dyDescent="0.2">
      <c r="A169" s="4"/>
      <c r="B169" s="4"/>
      <c r="C169" s="4"/>
      <c r="D169" s="4"/>
      <c r="E169" s="4"/>
      <c r="F169" s="4"/>
      <c r="G169" s="4"/>
      <c r="H169" s="4"/>
    </row>
    <row r="170" spans="1:8" x14ac:dyDescent="0.2">
      <c r="A170" s="8" t="s">
        <v>24</v>
      </c>
      <c r="B170" s="4"/>
      <c r="C170" s="4" t="s">
        <v>255</v>
      </c>
      <c r="D170" s="4" t="s">
        <v>25</v>
      </c>
      <c r="E170" s="4" t="s">
        <v>26</v>
      </c>
      <c r="F170" s="4" t="s">
        <v>27</v>
      </c>
      <c r="G170" s="4" t="s">
        <v>28</v>
      </c>
      <c r="H170" s="4" t="s">
        <v>29</v>
      </c>
    </row>
    <row r="171" spans="1:8" x14ac:dyDescent="0.2">
      <c r="A171" s="4"/>
      <c r="B171" s="4"/>
      <c r="C171" s="4"/>
      <c r="D171" s="4"/>
      <c r="E171" s="4"/>
      <c r="F171" s="4"/>
      <c r="G171" s="4"/>
      <c r="H171" s="4"/>
    </row>
    <row r="172" spans="1:8" x14ac:dyDescent="0.2">
      <c r="A172" s="4" t="s">
        <v>256</v>
      </c>
      <c r="B172" s="4" t="s">
        <v>243</v>
      </c>
      <c r="C172" s="5">
        <v>36152400</v>
      </c>
      <c r="D172" s="4"/>
      <c r="E172" s="5">
        <v>36152400</v>
      </c>
      <c r="F172" s="4"/>
      <c r="G172" s="4"/>
      <c r="H172" s="4"/>
    </row>
    <row r="173" spans="1:8" x14ac:dyDescent="0.2">
      <c r="A173" s="4" t="s">
        <v>257</v>
      </c>
      <c r="B173" s="4" t="s">
        <v>243</v>
      </c>
      <c r="C173" s="4">
        <v>164222</v>
      </c>
      <c r="D173" s="4"/>
      <c r="E173" s="4"/>
      <c r="F173" s="4">
        <v>4538</v>
      </c>
      <c r="G173" s="4">
        <v>164222</v>
      </c>
      <c r="H173" s="4"/>
    </row>
    <row r="174" spans="1:8" x14ac:dyDescent="0.2">
      <c r="A174" s="4" t="s">
        <v>258</v>
      </c>
      <c r="B174" s="4" t="s">
        <v>243</v>
      </c>
      <c r="C174" s="5">
        <v>5214370</v>
      </c>
      <c r="D174" s="4"/>
      <c r="E174" s="5">
        <v>4204630</v>
      </c>
      <c r="F174" s="4">
        <v>28218</v>
      </c>
      <c r="G174" s="5">
        <v>1009740</v>
      </c>
      <c r="H174" s="4"/>
    </row>
    <row r="175" spans="1:8" x14ac:dyDescent="0.2">
      <c r="A175" s="4" t="s">
        <v>259</v>
      </c>
      <c r="B175" s="4" t="s">
        <v>243</v>
      </c>
      <c r="C175" s="4">
        <v>346441</v>
      </c>
      <c r="D175" s="4"/>
      <c r="E175" s="4">
        <v>225318</v>
      </c>
      <c r="F175" s="4">
        <v>4214</v>
      </c>
      <c r="G175" s="4">
        <v>121123</v>
      </c>
      <c r="H175" s="4"/>
    </row>
    <row r="176" spans="1:8" x14ac:dyDescent="0.2">
      <c r="A176" s="4" t="s">
        <v>260</v>
      </c>
      <c r="B176" s="4" t="s">
        <v>243</v>
      </c>
      <c r="C176" s="4">
        <v>57864.5</v>
      </c>
      <c r="D176" s="4"/>
      <c r="E176" s="4">
        <v>51796.3</v>
      </c>
      <c r="F176" s="4">
        <v>183</v>
      </c>
      <c r="G176" s="4">
        <v>6068.2</v>
      </c>
      <c r="H176" s="4"/>
    </row>
    <row r="177" spans="1:8" x14ac:dyDescent="0.2">
      <c r="A177" s="4" t="s">
        <v>261</v>
      </c>
      <c r="B177" s="4" t="s">
        <v>243</v>
      </c>
      <c r="C177" s="5">
        <v>1145590</v>
      </c>
      <c r="D177" s="4"/>
      <c r="E177" s="4">
        <v>987463</v>
      </c>
      <c r="F177" s="4">
        <v>4393</v>
      </c>
      <c r="G177" s="4">
        <v>158128</v>
      </c>
      <c r="H177" s="4"/>
    </row>
    <row r="178" spans="1:8" x14ac:dyDescent="0.2">
      <c r="A178" s="4" t="s">
        <v>262</v>
      </c>
      <c r="B178" s="4" t="s">
        <v>243</v>
      </c>
      <c r="C178" s="4">
        <v>829238</v>
      </c>
      <c r="D178" s="4"/>
      <c r="E178" s="4">
        <v>701571</v>
      </c>
      <c r="F178" s="4">
        <v>3713</v>
      </c>
      <c r="G178" s="4">
        <v>127666</v>
      </c>
      <c r="H178" s="4"/>
    </row>
    <row r="179" spans="1:8" x14ac:dyDescent="0.2">
      <c r="A179" s="4" t="s">
        <v>263</v>
      </c>
      <c r="B179" s="4" t="s">
        <v>243</v>
      </c>
      <c r="C179" s="4">
        <v>193346</v>
      </c>
      <c r="D179" s="4"/>
      <c r="E179" s="4">
        <v>122514</v>
      </c>
      <c r="F179" s="4">
        <v>2641</v>
      </c>
      <c r="G179" s="4">
        <v>70832.7</v>
      </c>
      <c r="H179" s="4"/>
    </row>
    <row r="180" spans="1:8" x14ac:dyDescent="0.2">
      <c r="A180" s="4" t="s">
        <v>264</v>
      </c>
      <c r="B180" s="4" t="s">
        <v>243</v>
      </c>
      <c r="C180" s="4">
        <v>54172.6</v>
      </c>
      <c r="D180" s="4"/>
      <c r="E180" s="4">
        <v>20367.8</v>
      </c>
      <c r="F180" s="4">
        <v>1284</v>
      </c>
      <c r="G180" s="4">
        <v>33804.800000000003</v>
      </c>
      <c r="H180" s="4"/>
    </row>
    <row r="181" spans="1:8" x14ac:dyDescent="0.2">
      <c r="A181" s="4" t="s">
        <v>265</v>
      </c>
      <c r="B181" s="4" t="s">
        <v>243</v>
      </c>
      <c r="C181" s="5">
        <v>7024900</v>
      </c>
      <c r="D181" s="5">
        <v>1871000</v>
      </c>
      <c r="E181" s="5">
        <v>2972700</v>
      </c>
      <c r="F181" s="4"/>
      <c r="G181" s="4"/>
      <c r="H181" s="5">
        <v>2181200</v>
      </c>
    </row>
    <row r="182" spans="1:8" x14ac:dyDescent="0.2">
      <c r="A182" s="4" t="s">
        <v>266</v>
      </c>
      <c r="B182" s="4" t="s">
        <v>243</v>
      </c>
      <c r="C182" s="4">
        <v>0</v>
      </c>
      <c r="D182" s="4"/>
      <c r="E182" s="4"/>
      <c r="F182" s="4"/>
      <c r="G182" s="4"/>
      <c r="H182" s="4"/>
    </row>
    <row r="183" spans="1:8" x14ac:dyDescent="0.2">
      <c r="A183" s="4" t="s">
        <v>267</v>
      </c>
      <c r="B183" s="4" t="s">
        <v>243</v>
      </c>
      <c r="C183" s="5">
        <v>1479350</v>
      </c>
      <c r="D183" s="4">
        <v>0</v>
      </c>
      <c r="E183" s="5">
        <v>1363160</v>
      </c>
      <c r="F183" s="4"/>
      <c r="G183" s="4">
        <v>50747.6</v>
      </c>
      <c r="H183" s="4">
        <v>65436</v>
      </c>
    </row>
    <row r="184" spans="1:8" x14ac:dyDescent="0.2">
      <c r="A184" s="4" t="s">
        <v>268</v>
      </c>
      <c r="B184" s="4" t="s">
        <v>243</v>
      </c>
      <c r="C184" s="5">
        <v>1390610</v>
      </c>
      <c r="D184" s="4">
        <v>123486</v>
      </c>
      <c r="E184" s="4">
        <v>936038</v>
      </c>
      <c r="F184" s="4"/>
      <c r="G184" s="4">
        <v>144614</v>
      </c>
      <c r="H184" s="4">
        <v>186471</v>
      </c>
    </row>
    <row r="185" spans="1:8" x14ac:dyDescent="0.2">
      <c r="A185" s="4" t="s">
        <v>269</v>
      </c>
      <c r="B185" s="4" t="s">
        <v>243</v>
      </c>
      <c r="C185" s="4">
        <v>0</v>
      </c>
      <c r="D185" s="4">
        <v>0</v>
      </c>
      <c r="E185" s="4">
        <v>0</v>
      </c>
      <c r="F185" s="4"/>
      <c r="G185" s="4">
        <v>0</v>
      </c>
      <c r="H185" s="4">
        <v>0</v>
      </c>
    </row>
    <row r="186" spans="1:8" x14ac:dyDescent="0.2">
      <c r="A186" s="4" t="s">
        <v>270</v>
      </c>
      <c r="B186" s="4" t="s">
        <v>243</v>
      </c>
      <c r="C186" s="5">
        <v>9729450</v>
      </c>
      <c r="D186" s="4">
        <v>359008</v>
      </c>
      <c r="E186" s="5">
        <v>8592830</v>
      </c>
      <c r="F186" s="4"/>
      <c r="G186" s="4">
        <v>339651</v>
      </c>
      <c r="H186" s="4">
        <v>437959</v>
      </c>
    </row>
    <row r="187" spans="1:8" x14ac:dyDescent="0.2">
      <c r="A187" s="4" t="s">
        <v>271</v>
      </c>
      <c r="B187" s="4" t="s">
        <v>243</v>
      </c>
      <c r="C187" s="4">
        <v>0</v>
      </c>
      <c r="D187" s="4"/>
      <c r="E187" s="4"/>
      <c r="F187" s="4"/>
      <c r="G187" s="4"/>
      <c r="H187" s="4"/>
    </row>
    <row r="188" spans="1:8" x14ac:dyDescent="0.2">
      <c r="A188" s="4"/>
      <c r="B188" s="4"/>
      <c r="C188" s="4"/>
      <c r="D188" s="4"/>
      <c r="E188" s="4"/>
      <c r="F188" s="4"/>
      <c r="G188" s="4"/>
      <c r="H188" s="4"/>
    </row>
    <row r="189" spans="1:8" x14ac:dyDescent="0.2">
      <c r="A189" s="4" t="s">
        <v>272</v>
      </c>
      <c r="B189" s="4" t="s">
        <v>243</v>
      </c>
      <c r="C189" s="5">
        <v>63782000</v>
      </c>
      <c r="D189" s="4"/>
      <c r="E189" s="4"/>
      <c r="F189" s="4"/>
      <c r="G189" s="4"/>
      <c r="H189" s="4"/>
    </row>
    <row r="190" spans="1:8" x14ac:dyDescent="0.2">
      <c r="A190" s="4" t="s">
        <v>273</v>
      </c>
      <c r="B190" s="4" t="s">
        <v>243</v>
      </c>
      <c r="C190" s="5">
        <v>72604500</v>
      </c>
      <c r="D190" s="4"/>
      <c r="E190" s="4"/>
      <c r="F190" s="4"/>
      <c r="G190" s="4"/>
      <c r="H190" s="4"/>
    </row>
    <row r="191" spans="1:8" x14ac:dyDescent="0.2">
      <c r="A191" s="4"/>
      <c r="B191" s="4"/>
      <c r="C191" s="4"/>
      <c r="D191" s="4"/>
      <c r="E191" s="4"/>
      <c r="F191" s="4"/>
      <c r="G191" s="4"/>
      <c r="H191" s="4"/>
    </row>
    <row r="192" spans="1:8" x14ac:dyDescent="0.2">
      <c r="A192" s="4" t="s">
        <v>11</v>
      </c>
      <c r="B192" s="4"/>
      <c r="C192" s="4"/>
      <c r="D192" s="4"/>
      <c r="E192" s="4"/>
      <c r="F192" s="4"/>
      <c r="G192" s="4"/>
      <c r="H192" s="4"/>
    </row>
    <row r="193" spans="1:8" x14ac:dyDescent="0.2">
      <c r="A193" s="8" t="s">
        <v>30</v>
      </c>
      <c r="B193" s="4"/>
      <c r="C193" s="4" t="s">
        <v>243</v>
      </c>
      <c r="D193" s="4" t="s">
        <v>31</v>
      </c>
      <c r="E193" s="4"/>
      <c r="F193" s="4"/>
      <c r="G193" s="4"/>
      <c r="H193" s="4"/>
    </row>
    <row r="194" spans="1:8" x14ac:dyDescent="0.2">
      <c r="A194" s="4"/>
      <c r="B194" s="4"/>
      <c r="C194" s="4"/>
      <c r="D194" s="4"/>
      <c r="E194" s="4"/>
      <c r="F194" s="4"/>
      <c r="G194" s="4"/>
      <c r="H194" s="4"/>
    </row>
    <row r="195" spans="1:8" x14ac:dyDescent="0.2">
      <c r="A195" s="4" t="s">
        <v>274</v>
      </c>
      <c r="B195" s="4"/>
      <c r="C195" s="4">
        <v>440100</v>
      </c>
      <c r="D195" s="4">
        <v>3631</v>
      </c>
      <c r="E195" s="4"/>
      <c r="F195" s="4"/>
      <c r="G195" s="4"/>
      <c r="H195" s="4"/>
    </row>
    <row r="196" spans="1:8" x14ac:dyDescent="0.2">
      <c r="A196" s="4" t="s">
        <v>275</v>
      </c>
      <c r="B196" s="4"/>
      <c r="C196" s="4">
        <v>941200</v>
      </c>
      <c r="D196" s="4">
        <v>8413</v>
      </c>
      <c r="E196" s="4"/>
      <c r="F196" s="4"/>
      <c r="G196" s="4"/>
      <c r="H196" s="4"/>
    </row>
    <row r="197" spans="1:8" x14ac:dyDescent="0.2">
      <c r="A197" s="4" t="s">
        <v>276</v>
      </c>
      <c r="B197" s="4"/>
      <c r="C197" s="4">
        <v>369200</v>
      </c>
      <c r="D197" s="4"/>
      <c r="E197" s="4"/>
      <c r="F197" s="4"/>
      <c r="G197" s="4"/>
      <c r="H197" s="4"/>
    </row>
    <row r="198" spans="1:8" x14ac:dyDescent="0.2">
      <c r="A198" s="4" t="s">
        <v>277</v>
      </c>
      <c r="B198" s="4"/>
      <c r="C198" s="4">
        <v>120500</v>
      </c>
      <c r="D198" s="4">
        <v>1150</v>
      </c>
      <c r="E198" s="4"/>
      <c r="F198" s="4"/>
      <c r="G198" s="4"/>
      <c r="H198" s="4"/>
    </row>
    <row r="199" spans="1:8" x14ac:dyDescent="0.2">
      <c r="A199" s="4" t="s">
        <v>278</v>
      </c>
      <c r="B199" s="4"/>
      <c r="C199" s="5">
        <v>1871000</v>
      </c>
      <c r="D199" s="4"/>
      <c r="E199" s="4"/>
      <c r="F199" s="4"/>
      <c r="G199" s="4"/>
      <c r="H199" s="4"/>
    </row>
    <row r="200" spans="1:8" x14ac:dyDescent="0.2">
      <c r="A200" s="4" t="s">
        <v>11</v>
      </c>
      <c r="B200" s="4"/>
      <c r="C200" s="4"/>
      <c r="D200" s="4"/>
      <c r="E200" s="4"/>
      <c r="F200" s="4"/>
      <c r="G200" s="4"/>
      <c r="H200" s="4"/>
    </row>
    <row r="201" spans="1:8" x14ac:dyDescent="0.2">
      <c r="A201" s="4"/>
      <c r="B201" s="4"/>
      <c r="C201" s="4"/>
      <c r="D201" s="4"/>
      <c r="E201" s="4"/>
      <c r="F201" s="4"/>
      <c r="G201" s="4"/>
      <c r="H201" s="4"/>
    </row>
    <row r="202" spans="1:8" x14ac:dyDescent="0.2">
      <c r="A202" s="8" t="s">
        <v>32</v>
      </c>
      <c r="B202" s="4"/>
      <c r="C202" s="4"/>
      <c r="D202" s="4"/>
      <c r="E202" s="4"/>
      <c r="F202" s="4"/>
      <c r="G202" s="4"/>
      <c r="H202" s="4"/>
    </row>
    <row r="203" spans="1:8" x14ac:dyDescent="0.2">
      <c r="A203" s="4"/>
      <c r="B203" s="4"/>
      <c r="C203" s="4"/>
      <c r="D203" s="4"/>
      <c r="E203" s="4"/>
      <c r="F203" s="4"/>
      <c r="G203" s="4"/>
      <c r="H203" s="4"/>
    </row>
    <row r="204" spans="1:8" x14ac:dyDescent="0.2">
      <c r="A204" s="4" t="s">
        <v>279</v>
      </c>
      <c r="B204" s="4" t="s">
        <v>280</v>
      </c>
      <c r="C204" s="4">
        <v>14828.7</v>
      </c>
      <c r="D204" s="4"/>
      <c r="E204" s="4"/>
      <c r="F204" s="4"/>
      <c r="G204" s="4"/>
      <c r="H204" s="4"/>
    </row>
    <row r="205" spans="1:8" x14ac:dyDescent="0.2">
      <c r="A205" s="4" t="s">
        <v>244</v>
      </c>
      <c r="B205" s="4" t="s">
        <v>33</v>
      </c>
      <c r="C205" s="5">
        <v>118629000</v>
      </c>
      <c r="D205" s="4"/>
      <c r="E205" s="4"/>
      <c r="F205" s="4"/>
      <c r="G205" s="4"/>
      <c r="H205" s="4"/>
    </row>
    <row r="206" spans="1:8" x14ac:dyDescent="0.2">
      <c r="A206" s="4"/>
      <c r="B206" s="4"/>
      <c r="C206" s="4"/>
      <c r="D206" s="4"/>
      <c r="E206" s="4"/>
      <c r="F206" s="4"/>
      <c r="G206" s="4"/>
      <c r="H206" s="4"/>
    </row>
    <row r="207" spans="1:8" x14ac:dyDescent="0.2">
      <c r="A207" s="4" t="s">
        <v>281</v>
      </c>
      <c r="B207" s="4" t="s">
        <v>280</v>
      </c>
      <c r="C207" s="4">
        <v>297.68599999999998</v>
      </c>
      <c r="D207" s="4"/>
      <c r="E207" s="4"/>
      <c r="F207" s="4"/>
      <c r="G207" s="4"/>
      <c r="H207" s="4"/>
    </row>
    <row r="208" spans="1:8" x14ac:dyDescent="0.2">
      <c r="A208" s="4" t="s">
        <v>245</v>
      </c>
      <c r="B208" s="4" t="s">
        <v>33</v>
      </c>
      <c r="C208" s="5">
        <v>2381490</v>
      </c>
      <c r="D208" s="4"/>
      <c r="E208" s="4"/>
      <c r="F208" s="4"/>
      <c r="G208" s="4"/>
      <c r="H208" s="4"/>
    </row>
    <row r="209" spans="1:8" x14ac:dyDescent="0.2">
      <c r="A209" s="4"/>
      <c r="B209" s="4"/>
      <c r="C209" s="4"/>
      <c r="D209" s="4"/>
      <c r="E209" s="4"/>
      <c r="F209" s="4"/>
      <c r="G209" s="4"/>
      <c r="H209" s="4"/>
    </row>
    <row r="210" spans="1:8" x14ac:dyDescent="0.2">
      <c r="A210" s="4"/>
      <c r="B210" s="4"/>
      <c r="C210" s="4"/>
      <c r="D210" s="4"/>
      <c r="E210" s="4"/>
      <c r="F210" s="4"/>
      <c r="G210" s="4"/>
      <c r="H210" s="4"/>
    </row>
    <row r="211" spans="1:8" x14ac:dyDescent="0.2">
      <c r="A211" s="4" t="s">
        <v>282</v>
      </c>
      <c r="B211" s="4"/>
      <c r="C211" s="4">
        <v>115</v>
      </c>
      <c r="D211" s="4"/>
      <c r="E211" s="4"/>
      <c r="F211" s="4"/>
      <c r="G211" s="4"/>
      <c r="H211" s="4"/>
    </row>
    <row r="212" spans="1:8" x14ac:dyDescent="0.2">
      <c r="A212" s="4" t="s">
        <v>283</v>
      </c>
      <c r="B212" s="4" t="s">
        <v>284</v>
      </c>
      <c r="C212" s="4">
        <v>2083.8000000000002</v>
      </c>
      <c r="D212" s="4"/>
      <c r="E212" s="4"/>
      <c r="F212" s="4"/>
      <c r="G212" s="4"/>
      <c r="H212" s="4"/>
    </row>
    <row r="213" spans="1:8" x14ac:dyDescent="0.2">
      <c r="A213" s="4" t="s">
        <v>285</v>
      </c>
      <c r="B213" s="4" t="s">
        <v>286</v>
      </c>
      <c r="C213" s="4">
        <v>0.14285700000000001</v>
      </c>
      <c r="D213" s="4"/>
      <c r="E213" s="4"/>
      <c r="F213" s="4"/>
      <c r="G213" s="4"/>
      <c r="H213" s="4"/>
    </row>
    <row r="214" spans="1:8" x14ac:dyDescent="0.2">
      <c r="A214" s="4" t="s">
        <v>287</v>
      </c>
      <c r="B214" s="4"/>
      <c r="C214" s="4" t="s">
        <v>288</v>
      </c>
      <c r="D214" s="4"/>
      <c r="E214" s="4"/>
      <c r="F214" s="4"/>
      <c r="G214" s="4"/>
      <c r="H214" s="4"/>
    </row>
    <row r="215" spans="1:8" x14ac:dyDescent="0.2">
      <c r="A215" s="4" t="s">
        <v>289</v>
      </c>
      <c r="B215" s="4" t="s">
        <v>290</v>
      </c>
      <c r="C215" s="5">
        <v>16670400</v>
      </c>
      <c r="D215" s="4"/>
      <c r="E215" s="4"/>
      <c r="F215" s="4"/>
      <c r="G215" s="4"/>
      <c r="H215" s="4"/>
    </row>
    <row r="216" spans="1:8" x14ac:dyDescent="0.2">
      <c r="A216" s="4" t="s">
        <v>291</v>
      </c>
      <c r="B216" s="4" t="s">
        <v>292</v>
      </c>
      <c r="C216" s="5">
        <v>2381490</v>
      </c>
      <c r="D216" s="4"/>
      <c r="E216" s="4"/>
      <c r="F216" s="4"/>
      <c r="G216" s="4"/>
      <c r="H216" s="4"/>
    </row>
    <row r="217" spans="1:8" x14ac:dyDescent="0.2">
      <c r="A217" s="4" t="s">
        <v>293</v>
      </c>
      <c r="B217" s="4" t="s">
        <v>292</v>
      </c>
      <c r="C217" s="4">
        <v>-2.5124700000000002E-3</v>
      </c>
      <c r="D217" s="4"/>
      <c r="E217" s="4"/>
      <c r="F217" s="4"/>
      <c r="G217" s="4"/>
      <c r="H217" s="4"/>
    </row>
    <row r="218" spans="1:8" x14ac:dyDescent="0.2">
      <c r="A218" s="4"/>
      <c r="B218" s="4"/>
      <c r="C218" s="4"/>
      <c r="D218" s="4"/>
      <c r="E218" s="4"/>
      <c r="F218" s="4"/>
      <c r="G218" s="4"/>
      <c r="H218" s="4"/>
    </row>
    <row r="219" spans="1:8" x14ac:dyDescent="0.2">
      <c r="A219" s="4"/>
      <c r="B219" s="4"/>
      <c r="C219" s="4"/>
      <c r="D219" s="4"/>
      <c r="E219" s="4"/>
      <c r="F219" s="4"/>
      <c r="G219" s="4"/>
      <c r="H219" s="4"/>
    </row>
    <row r="220" spans="1:8" x14ac:dyDescent="0.2">
      <c r="A220" s="4" t="s">
        <v>11</v>
      </c>
      <c r="B220" s="4"/>
      <c r="C220" s="4"/>
      <c r="D220" s="4"/>
      <c r="E220" s="4"/>
      <c r="F220" s="4"/>
      <c r="G220" s="4"/>
      <c r="H220" s="4"/>
    </row>
    <row r="221" spans="1:8" x14ac:dyDescent="0.2">
      <c r="A221" s="4"/>
      <c r="B221" s="4"/>
      <c r="C221" s="4"/>
      <c r="D221" s="4"/>
      <c r="E221" s="4"/>
      <c r="F221" s="4"/>
      <c r="G221" s="4"/>
      <c r="H221" s="4"/>
    </row>
    <row r="222" spans="1:8" x14ac:dyDescent="0.2">
      <c r="A222" s="8" t="s">
        <v>94</v>
      </c>
      <c r="B222" s="4"/>
      <c r="C222" s="4"/>
      <c r="D222" s="4"/>
      <c r="E222" s="4"/>
      <c r="F222" s="4"/>
      <c r="G222" s="4"/>
      <c r="H222" s="4"/>
    </row>
    <row r="223" spans="1:8" x14ac:dyDescent="0.2">
      <c r="A223" s="4"/>
      <c r="B223" s="4"/>
      <c r="C223" s="4"/>
      <c r="D223" s="4"/>
      <c r="E223" s="4"/>
      <c r="F223" s="4"/>
      <c r="G223" s="4"/>
      <c r="H223" s="4"/>
    </row>
    <row r="224" spans="1:8" x14ac:dyDescent="0.2">
      <c r="A224" s="4" t="s">
        <v>294</v>
      </c>
      <c r="B224" s="4"/>
      <c r="C224" s="4" t="s">
        <v>7</v>
      </c>
      <c r="D224" s="4"/>
      <c r="E224" s="4"/>
      <c r="F224" s="4"/>
      <c r="G224" s="4"/>
      <c r="H224" s="4"/>
    </row>
    <row r="225" spans="1:8" x14ac:dyDescent="0.2">
      <c r="A225" s="4" t="s">
        <v>295</v>
      </c>
      <c r="B225" s="4"/>
      <c r="C225" s="4">
        <v>3</v>
      </c>
      <c r="D225" s="4"/>
      <c r="E225" s="4"/>
      <c r="F225" s="4"/>
      <c r="G225" s="4"/>
      <c r="H225" s="4"/>
    </row>
    <row r="226" spans="1:8" x14ac:dyDescent="0.2">
      <c r="A226" s="4" t="s">
        <v>296</v>
      </c>
      <c r="B226" s="4" t="s">
        <v>297</v>
      </c>
      <c r="C226" s="4">
        <v>20</v>
      </c>
      <c r="D226" s="4"/>
      <c r="E226" s="4"/>
      <c r="F226" s="4"/>
      <c r="G226" s="4"/>
      <c r="H226" s="4"/>
    </row>
    <row r="227" spans="1:8" x14ac:dyDescent="0.2">
      <c r="A227" s="4" t="s">
        <v>298</v>
      </c>
      <c r="B227" s="4" t="s">
        <v>19</v>
      </c>
      <c r="C227" s="4">
        <v>480000</v>
      </c>
      <c r="D227" s="4"/>
      <c r="E227" s="4"/>
      <c r="F227" s="4"/>
      <c r="G227" s="4"/>
      <c r="H227" s="4"/>
    </row>
    <row r="228" spans="1:8" x14ac:dyDescent="0.2">
      <c r="A228" s="4"/>
      <c r="B228" s="4"/>
      <c r="C228" s="4"/>
      <c r="D228" s="4"/>
      <c r="E228" s="4"/>
      <c r="F228" s="4"/>
      <c r="G228" s="4"/>
      <c r="H228" s="4"/>
    </row>
    <row r="229" spans="1:8" x14ac:dyDescent="0.2">
      <c r="A229" s="4" t="s">
        <v>299</v>
      </c>
      <c r="B229" s="4"/>
      <c r="C229" s="4"/>
      <c r="D229" s="4"/>
      <c r="E229" s="4"/>
      <c r="F229" s="4"/>
      <c r="G229" s="4"/>
      <c r="H229" s="4"/>
    </row>
    <row r="230" spans="1:8" x14ac:dyDescent="0.2">
      <c r="A230" s="4" t="s">
        <v>300</v>
      </c>
      <c r="B230" s="4"/>
      <c r="C230" s="5">
        <v>1010000</v>
      </c>
      <c r="D230" s="4"/>
      <c r="E230" s="4"/>
      <c r="F230" s="4"/>
      <c r="G230" s="4"/>
      <c r="H230" s="4"/>
    </row>
    <row r="231" spans="1:8" x14ac:dyDescent="0.2">
      <c r="A231" s="4" t="s">
        <v>301</v>
      </c>
      <c r="B231" s="4" t="s">
        <v>19</v>
      </c>
      <c r="C231" s="5">
        <v>1010000</v>
      </c>
      <c r="D231" s="4"/>
      <c r="E231" s="4"/>
      <c r="F231" s="4"/>
      <c r="G231" s="4"/>
      <c r="H231" s="4"/>
    </row>
    <row r="232" spans="1:8" x14ac:dyDescent="0.2">
      <c r="A232" s="4"/>
      <c r="B232" s="4"/>
      <c r="C232" s="4"/>
      <c r="D232" s="4"/>
      <c r="E232" s="4"/>
      <c r="F232" s="4"/>
      <c r="G232" s="4"/>
      <c r="H232" s="4"/>
    </row>
    <row r="233" spans="1:8" x14ac:dyDescent="0.2">
      <c r="A233" s="4" t="s">
        <v>302</v>
      </c>
      <c r="B233" s="4"/>
      <c r="C233" s="4"/>
      <c r="D233" s="4"/>
      <c r="E233" s="4"/>
      <c r="F233" s="4"/>
      <c r="G233" s="4"/>
      <c r="H233" s="4"/>
    </row>
    <row r="234" spans="1:8" x14ac:dyDescent="0.2">
      <c r="A234" s="4" t="s">
        <v>303</v>
      </c>
      <c r="B234" s="4"/>
      <c r="C234" s="4">
        <v>1</v>
      </c>
      <c r="D234" s="4"/>
      <c r="E234" s="4"/>
      <c r="F234" s="4"/>
      <c r="G234" s="4"/>
      <c r="H234" s="4"/>
    </row>
    <row r="235" spans="1:8" x14ac:dyDescent="0.2">
      <c r="A235" s="4" t="s">
        <v>296</v>
      </c>
      <c r="B235" s="4" t="s">
        <v>304</v>
      </c>
      <c r="C235" s="4">
        <v>35</v>
      </c>
      <c r="D235" s="4"/>
      <c r="E235" s="4"/>
      <c r="F235" s="4"/>
      <c r="G235" s="4"/>
      <c r="H235" s="4"/>
    </row>
    <row r="236" spans="1:8" x14ac:dyDescent="0.2">
      <c r="A236" s="4" t="s">
        <v>305</v>
      </c>
      <c r="B236" s="4" t="s">
        <v>19</v>
      </c>
      <c r="C236" s="4">
        <v>280000</v>
      </c>
      <c r="D236" s="4"/>
      <c r="E236" s="4"/>
      <c r="F236" s="4"/>
      <c r="G236" s="4"/>
      <c r="H236" s="4"/>
    </row>
    <row r="237" spans="1:8" x14ac:dyDescent="0.2">
      <c r="A237" s="4"/>
      <c r="B237" s="4"/>
      <c r="C237" s="4"/>
      <c r="D237" s="4"/>
      <c r="E237" s="4"/>
      <c r="F237" s="4"/>
      <c r="G237" s="4"/>
      <c r="H237" s="4"/>
    </row>
    <row r="238" spans="1:8" x14ac:dyDescent="0.2">
      <c r="A238" s="4"/>
      <c r="B238" s="4"/>
      <c r="C238" s="4"/>
      <c r="D238" s="4"/>
      <c r="E238" s="4"/>
      <c r="F238" s="4"/>
      <c r="G238" s="4"/>
      <c r="H238" s="4"/>
    </row>
    <row r="239" spans="1:8" x14ac:dyDescent="0.2">
      <c r="A239" s="4"/>
      <c r="B239" s="4"/>
      <c r="C239" s="4"/>
      <c r="D239" s="4"/>
      <c r="E239" s="4"/>
      <c r="F239" s="4"/>
      <c r="G239" s="4"/>
      <c r="H239" s="4"/>
    </row>
    <row r="240" spans="1:8" x14ac:dyDescent="0.2">
      <c r="A240" s="4"/>
      <c r="B240" s="4"/>
      <c r="C240" s="4"/>
      <c r="D240" s="4"/>
      <c r="E240" s="4"/>
      <c r="F240" s="4"/>
      <c r="G240" s="4"/>
      <c r="H240" s="4"/>
    </row>
    <row r="241" spans="1:8" x14ac:dyDescent="0.2">
      <c r="A241" s="4"/>
      <c r="B241" s="4"/>
      <c r="C241" s="4"/>
      <c r="D241" s="4"/>
      <c r="E241" s="4"/>
      <c r="F241" s="4"/>
      <c r="G241" s="4"/>
      <c r="H241" s="4"/>
    </row>
    <row r="242" spans="1:8" x14ac:dyDescent="0.2">
      <c r="A242" s="4"/>
      <c r="B242" s="4"/>
      <c r="C242" s="4"/>
      <c r="D242" s="4"/>
      <c r="E242" s="4"/>
      <c r="F242" s="4"/>
      <c r="G242" s="4"/>
      <c r="H242" s="4"/>
    </row>
    <row r="243" spans="1:8" x14ac:dyDescent="0.2">
      <c r="A243" s="4"/>
      <c r="B243" s="4"/>
      <c r="C243" s="4"/>
      <c r="D243" s="4"/>
      <c r="E243" s="4"/>
      <c r="F243" s="4"/>
      <c r="G243" s="4"/>
      <c r="H243" s="4"/>
    </row>
    <row r="244" spans="1:8" x14ac:dyDescent="0.2">
      <c r="A244" s="4"/>
      <c r="B244" s="4"/>
      <c r="C244" s="4"/>
      <c r="D244" s="4"/>
      <c r="E244" s="4"/>
      <c r="F244" s="4"/>
      <c r="G244" s="4"/>
      <c r="H244" s="4"/>
    </row>
    <row r="245" spans="1:8" x14ac:dyDescent="0.2">
      <c r="A245" s="4"/>
      <c r="B245" s="4"/>
      <c r="C245" s="4"/>
      <c r="D245" s="4"/>
      <c r="E245" s="4"/>
      <c r="F245" s="4"/>
      <c r="G245" s="4"/>
      <c r="H245" s="4"/>
    </row>
    <row r="246" spans="1:8" x14ac:dyDescent="0.2">
      <c r="A246" s="4"/>
      <c r="B246" s="4"/>
      <c r="C246" s="4"/>
      <c r="D246" s="4"/>
      <c r="E246" s="4"/>
      <c r="F246" s="4"/>
      <c r="G246" s="4"/>
      <c r="H246" s="4"/>
    </row>
    <row r="247" spans="1:8" x14ac:dyDescent="0.2">
      <c r="A247" s="4"/>
      <c r="B247" s="4"/>
      <c r="C247" s="4"/>
      <c r="D247" s="4"/>
      <c r="E247" s="4"/>
      <c r="F247" s="4"/>
      <c r="G247" s="4"/>
      <c r="H247" s="4"/>
    </row>
    <row r="248" spans="1:8" x14ac:dyDescent="0.2">
      <c r="A248" s="4" t="s">
        <v>11</v>
      </c>
      <c r="B248" s="4"/>
      <c r="C248" s="4"/>
      <c r="D248" s="4"/>
      <c r="E248" s="4"/>
      <c r="F248" s="4"/>
      <c r="G248" s="4"/>
      <c r="H248" s="4"/>
    </row>
    <row r="249" spans="1:8" x14ac:dyDescent="0.2">
      <c r="A249" s="4"/>
      <c r="B249" s="4"/>
      <c r="C249" s="4"/>
      <c r="D249" s="4"/>
      <c r="E249" s="4"/>
      <c r="F249" s="4"/>
      <c r="G249" s="4"/>
      <c r="H249" s="4"/>
    </row>
    <row r="250" spans="1:8" x14ac:dyDescent="0.2">
      <c r="A250" s="8" t="s">
        <v>34</v>
      </c>
      <c r="B250" s="4"/>
      <c r="C250" s="4"/>
      <c r="D250" s="4"/>
      <c r="E250" s="4"/>
      <c r="F250" s="4"/>
      <c r="G250" s="4"/>
      <c r="H250" s="4"/>
    </row>
    <row r="251" spans="1:8" x14ac:dyDescent="0.2">
      <c r="A251" s="4"/>
      <c r="B251" s="4"/>
      <c r="C251" s="4"/>
      <c r="D251" s="4"/>
      <c r="E251" s="4"/>
      <c r="F251" s="4"/>
      <c r="G251" s="4"/>
      <c r="H251" s="4"/>
    </row>
    <row r="252" spans="1:8" x14ac:dyDescent="0.2">
      <c r="A252" s="4"/>
      <c r="B252" s="4"/>
      <c r="C252" s="4"/>
      <c r="D252" s="4"/>
      <c r="E252" s="4"/>
      <c r="F252" s="4"/>
      <c r="G252" s="4"/>
      <c r="H252" s="4"/>
    </row>
    <row r="253" spans="1:8" x14ac:dyDescent="0.2">
      <c r="A253" s="4" t="s">
        <v>306</v>
      </c>
      <c r="B253" s="4"/>
      <c r="C253" s="4"/>
      <c r="D253" s="4"/>
      <c r="E253" s="4"/>
      <c r="F253" s="4"/>
      <c r="G253" s="4"/>
      <c r="H253" s="4"/>
    </row>
    <row r="254" spans="1:8" x14ac:dyDescent="0.2">
      <c r="A254" s="4" t="s">
        <v>119</v>
      </c>
      <c r="B254" s="4" t="s">
        <v>307</v>
      </c>
      <c r="C254" s="4">
        <v>7498.14</v>
      </c>
      <c r="D254" s="4"/>
      <c r="E254" s="4"/>
      <c r="F254" s="4"/>
      <c r="G254" s="4"/>
      <c r="H254" s="4"/>
    </row>
    <row r="255" spans="1:8" x14ac:dyDescent="0.2">
      <c r="A255" s="4" t="s">
        <v>296</v>
      </c>
      <c r="B255" s="4" t="s">
        <v>308</v>
      </c>
      <c r="C255" s="4">
        <v>6.5000000000000002E-2</v>
      </c>
      <c r="D255" s="4"/>
      <c r="E255" s="4"/>
      <c r="F255" s="4"/>
      <c r="G255" s="4"/>
      <c r="H255" s="4"/>
    </row>
    <row r="256" spans="1:8" x14ac:dyDescent="0.2">
      <c r="A256" s="4" t="s">
        <v>309</v>
      </c>
      <c r="B256" s="4" t="s">
        <v>19</v>
      </c>
      <c r="C256" s="5">
        <v>3899030</v>
      </c>
      <c r="D256" s="4"/>
      <c r="E256" s="4"/>
      <c r="F256" s="4"/>
      <c r="G256" s="4"/>
      <c r="H256" s="4"/>
    </row>
    <row r="257" spans="1:8" x14ac:dyDescent="0.2">
      <c r="A257" s="4" t="s">
        <v>310</v>
      </c>
      <c r="B257" s="4"/>
      <c r="C257" s="4"/>
      <c r="D257" s="4"/>
      <c r="E257" s="4"/>
      <c r="F257" s="4"/>
      <c r="G257" s="4"/>
      <c r="H257" s="4"/>
    </row>
    <row r="258" spans="1:8" x14ac:dyDescent="0.2">
      <c r="A258" s="4" t="s">
        <v>119</v>
      </c>
      <c r="B258" s="4"/>
      <c r="C258" s="4"/>
      <c r="D258" s="4"/>
      <c r="E258" s="4"/>
      <c r="F258" s="4"/>
      <c r="G258" s="4"/>
      <c r="H258" s="4"/>
    </row>
    <row r="259" spans="1:8" x14ac:dyDescent="0.2">
      <c r="A259" s="4" t="s">
        <v>296</v>
      </c>
      <c r="B259" s="4" t="s">
        <v>311</v>
      </c>
      <c r="C259" s="4">
        <v>0</v>
      </c>
      <c r="D259" s="4"/>
      <c r="E259" s="4"/>
      <c r="F259" s="4"/>
      <c r="G259" s="4"/>
      <c r="H259" s="4"/>
    </row>
    <row r="260" spans="1:8" x14ac:dyDescent="0.2">
      <c r="A260" s="4" t="s">
        <v>312</v>
      </c>
      <c r="B260" s="4" t="s">
        <v>19</v>
      </c>
      <c r="C260" s="4">
        <v>0</v>
      </c>
      <c r="D260" s="4"/>
      <c r="E260" s="4"/>
      <c r="F260" s="4"/>
      <c r="G260" s="4"/>
      <c r="H260" s="4"/>
    </row>
    <row r="261" spans="1:8" x14ac:dyDescent="0.2">
      <c r="A261" s="4" t="s">
        <v>313</v>
      </c>
      <c r="B261" s="4"/>
      <c r="C261" s="4"/>
      <c r="D261" s="4"/>
      <c r="E261" s="4"/>
      <c r="F261" s="4"/>
      <c r="G261" s="4"/>
      <c r="H261" s="4"/>
    </row>
    <row r="262" spans="1:8" x14ac:dyDescent="0.2">
      <c r="A262" s="4" t="s">
        <v>119</v>
      </c>
      <c r="B262" s="4"/>
      <c r="C262" s="4"/>
      <c r="D262" s="4"/>
      <c r="E262" s="4"/>
      <c r="F262" s="4"/>
      <c r="G262" s="4"/>
      <c r="H262" s="4"/>
    </row>
    <row r="263" spans="1:8" x14ac:dyDescent="0.2">
      <c r="A263" s="4" t="s">
        <v>296</v>
      </c>
      <c r="B263" s="4" t="s">
        <v>314</v>
      </c>
      <c r="C263" s="4">
        <v>14.38</v>
      </c>
      <c r="D263" s="4"/>
      <c r="E263" s="4"/>
      <c r="F263" s="4"/>
      <c r="G263" s="4"/>
      <c r="H263" s="4"/>
    </row>
    <row r="264" spans="1:8" x14ac:dyDescent="0.2">
      <c r="A264" s="4" t="s">
        <v>315</v>
      </c>
      <c r="B264" s="4" t="s">
        <v>19</v>
      </c>
      <c r="C264" s="4">
        <v>0</v>
      </c>
      <c r="D264" s="4"/>
      <c r="E264" s="4"/>
      <c r="F264" s="4"/>
      <c r="G264" s="4"/>
      <c r="H264" s="4"/>
    </row>
    <row r="265" spans="1:8" x14ac:dyDescent="0.2">
      <c r="A265" s="4" t="s">
        <v>316</v>
      </c>
      <c r="B265" s="4"/>
      <c r="C265" s="4"/>
      <c r="D265" s="4"/>
      <c r="E265" s="4"/>
      <c r="F265" s="4"/>
      <c r="G265" s="4"/>
      <c r="H265" s="4"/>
    </row>
    <row r="266" spans="1:8" x14ac:dyDescent="0.2">
      <c r="A266" s="4" t="s">
        <v>119</v>
      </c>
      <c r="B266" s="4"/>
      <c r="C266" s="4"/>
      <c r="D266" s="4"/>
      <c r="E266" s="4"/>
      <c r="F266" s="4"/>
      <c r="G266" s="4"/>
      <c r="H266" s="4"/>
    </row>
    <row r="267" spans="1:8" x14ac:dyDescent="0.2">
      <c r="A267" s="4" t="s">
        <v>296</v>
      </c>
      <c r="B267" s="4" t="s">
        <v>317</v>
      </c>
      <c r="C267" s="4">
        <v>0</v>
      </c>
      <c r="D267" s="4"/>
      <c r="E267" s="4"/>
      <c r="F267" s="4"/>
      <c r="G267" s="4"/>
      <c r="H267" s="4"/>
    </row>
    <row r="268" spans="1:8" x14ac:dyDescent="0.2">
      <c r="A268" s="4" t="s">
        <v>318</v>
      </c>
      <c r="B268" s="4" t="s">
        <v>19</v>
      </c>
      <c r="C268" s="4">
        <v>0</v>
      </c>
      <c r="D268" s="4"/>
      <c r="E268" s="4"/>
      <c r="F268" s="4"/>
      <c r="G268" s="4"/>
      <c r="H268" s="4"/>
    </row>
    <row r="269" spans="1:8" x14ac:dyDescent="0.2">
      <c r="A269" s="4" t="s">
        <v>35</v>
      </c>
      <c r="B269" s="4" t="s">
        <v>19</v>
      </c>
      <c r="C269" s="5">
        <v>3899030</v>
      </c>
      <c r="D269" s="4"/>
      <c r="E269" s="4"/>
      <c r="F269" s="4"/>
      <c r="G269" s="4"/>
      <c r="H269" s="4"/>
    </row>
    <row r="270" spans="1:8" x14ac:dyDescent="0.2">
      <c r="A270" s="4"/>
      <c r="B270" s="4"/>
      <c r="C270" s="4"/>
      <c r="D270" s="4"/>
      <c r="E270" s="4"/>
      <c r="F270" s="4"/>
      <c r="G270" s="4"/>
      <c r="H270" s="4"/>
    </row>
    <row r="271" spans="1:8" x14ac:dyDescent="0.2">
      <c r="A271" s="4" t="s">
        <v>373</v>
      </c>
      <c r="B271" s="4" t="s">
        <v>374</v>
      </c>
      <c r="C271" s="4">
        <v>31496.400000000001</v>
      </c>
      <c r="D271" s="4"/>
      <c r="E271" s="4"/>
      <c r="F271" s="4"/>
      <c r="G271" s="4"/>
      <c r="H271" s="4"/>
    </row>
  </sheetData>
  <phoneticPr fontId="0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G23"/>
  <sheetViews>
    <sheetView workbookViewId="0"/>
  </sheetViews>
  <sheetFormatPr defaultRowHeight="12.75" x14ac:dyDescent="0.2"/>
  <cols>
    <col min="1" max="1" width="35.140625" bestFit="1" customWidth="1"/>
    <col min="2" max="2" width="19" bestFit="1" customWidth="1"/>
    <col min="3" max="3" width="18.140625" bestFit="1" customWidth="1"/>
    <col min="4" max="4" width="17.42578125" bestFit="1" customWidth="1"/>
    <col min="5" max="5" width="16.5703125" bestFit="1" customWidth="1"/>
    <col min="6" max="6" width="19.42578125" bestFit="1" customWidth="1"/>
    <col min="7" max="7" width="17.140625" bestFit="1" customWidth="1"/>
  </cols>
  <sheetData>
    <row r="1" spans="1:7" ht="18" x14ac:dyDescent="0.2">
      <c r="A1" s="7" t="s">
        <v>1</v>
      </c>
      <c r="B1" s="4"/>
      <c r="C1" s="4"/>
      <c r="D1" s="4"/>
      <c r="E1" s="4"/>
      <c r="F1" s="4"/>
      <c r="G1" s="4"/>
    </row>
    <row r="2" spans="1:7" x14ac:dyDescent="0.2">
      <c r="A2" s="4"/>
      <c r="B2" s="4"/>
      <c r="C2" s="4"/>
      <c r="D2" s="4"/>
      <c r="E2" s="4"/>
      <c r="F2" s="4"/>
      <c r="G2" s="4"/>
    </row>
    <row r="3" spans="1:7" x14ac:dyDescent="0.2">
      <c r="A3" s="8" t="s">
        <v>2</v>
      </c>
      <c r="B3" s="8" t="s">
        <v>3</v>
      </c>
      <c r="C3" s="8" t="s">
        <v>4</v>
      </c>
      <c r="D3" s="8" t="s">
        <v>139</v>
      </c>
      <c r="E3" s="8" t="s">
        <v>140</v>
      </c>
      <c r="F3" s="8" t="s">
        <v>138</v>
      </c>
      <c r="G3" s="8" t="s">
        <v>137</v>
      </c>
    </row>
    <row r="4" spans="1:7" x14ac:dyDescent="0.2">
      <c r="A4" s="4"/>
      <c r="B4" s="4"/>
      <c r="C4" s="4"/>
      <c r="D4" s="4" t="s">
        <v>5</v>
      </c>
      <c r="E4" s="8" t="s">
        <v>5</v>
      </c>
      <c r="F4" s="4" t="s">
        <v>141</v>
      </c>
      <c r="G4" s="4" t="s">
        <v>141</v>
      </c>
    </row>
    <row r="5" spans="1:7" x14ac:dyDescent="0.2">
      <c r="A5" s="4"/>
      <c r="B5" s="4"/>
      <c r="C5" s="4"/>
      <c r="D5" s="4"/>
      <c r="E5" s="4"/>
      <c r="F5" s="4"/>
      <c r="G5" s="4"/>
    </row>
    <row r="6" spans="1:7" x14ac:dyDescent="0.2">
      <c r="A6" s="4"/>
      <c r="B6" s="4"/>
      <c r="C6" s="4"/>
      <c r="D6" s="4"/>
      <c r="E6" s="4"/>
      <c r="F6" s="4"/>
      <c r="G6" s="4"/>
    </row>
    <row r="7" spans="1:7" x14ac:dyDescent="0.2">
      <c r="A7" s="4"/>
      <c r="B7" s="4"/>
      <c r="C7" s="4"/>
      <c r="D7" s="4"/>
      <c r="E7" s="4"/>
      <c r="F7" s="4"/>
      <c r="G7" s="4"/>
    </row>
    <row r="8" spans="1:7" x14ac:dyDescent="0.2">
      <c r="A8" s="4"/>
      <c r="B8" s="4"/>
      <c r="C8" s="4"/>
      <c r="D8" s="4"/>
      <c r="E8" s="4"/>
      <c r="F8" s="4"/>
      <c r="G8" s="4"/>
    </row>
    <row r="9" spans="1:7" x14ac:dyDescent="0.2">
      <c r="A9" s="4"/>
      <c r="B9" s="4"/>
      <c r="C9" s="4"/>
      <c r="D9" s="4"/>
      <c r="E9" s="4"/>
      <c r="F9" s="4"/>
      <c r="G9" s="4"/>
    </row>
    <row r="10" spans="1:7" x14ac:dyDescent="0.2">
      <c r="A10" s="4"/>
      <c r="B10" s="4"/>
      <c r="C10" s="4"/>
      <c r="D10" s="4"/>
      <c r="E10" s="4"/>
      <c r="F10" s="4"/>
      <c r="G10" s="4"/>
    </row>
    <row r="11" spans="1:7" x14ac:dyDescent="0.2">
      <c r="A11" s="4" t="s">
        <v>142</v>
      </c>
      <c r="B11" s="4" t="s">
        <v>143</v>
      </c>
      <c r="C11" s="4" t="s">
        <v>144</v>
      </c>
      <c r="D11" s="4">
        <v>208400</v>
      </c>
      <c r="E11" s="4">
        <v>39000</v>
      </c>
      <c r="F11" s="4">
        <v>5900</v>
      </c>
      <c r="G11" s="4">
        <v>20459</v>
      </c>
    </row>
    <row r="12" spans="1:7" x14ac:dyDescent="0.2">
      <c r="A12" s="4" t="s">
        <v>142</v>
      </c>
      <c r="B12" s="4" t="s">
        <v>145</v>
      </c>
      <c r="C12" s="4" t="s">
        <v>146</v>
      </c>
      <c r="D12" s="4">
        <v>271800</v>
      </c>
      <c r="E12" s="4">
        <v>57200</v>
      </c>
      <c r="F12" s="4">
        <v>3900</v>
      </c>
      <c r="G12" s="4">
        <v>22935</v>
      </c>
    </row>
    <row r="13" spans="1:7" x14ac:dyDescent="0.2">
      <c r="A13" s="4" t="s">
        <v>142</v>
      </c>
      <c r="B13" s="4" t="s">
        <v>147</v>
      </c>
      <c r="C13" s="4" t="s">
        <v>146</v>
      </c>
      <c r="D13" s="4">
        <v>175300</v>
      </c>
      <c r="E13" s="4">
        <v>25100</v>
      </c>
      <c r="F13" s="4">
        <v>1200</v>
      </c>
      <c r="G13" s="4">
        <v>10866</v>
      </c>
    </row>
    <row r="14" spans="1:7" x14ac:dyDescent="0.2">
      <c r="A14" s="4" t="s">
        <v>142</v>
      </c>
      <c r="B14" s="4" t="s">
        <v>148</v>
      </c>
      <c r="C14" s="4" t="s">
        <v>149</v>
      </c>
      <c r="D14" s="4">
        <v>0</v>
      </c>
      <c r="E14" s="4">
        <v>0</v>
      </c>
      <c r="F14" s="4">
        <v>0</v>
      </c>
      <c r="G14" s="4">
        <v>0</v>
      </c>
    </row>
    <row r="15" spans="1:7" x14ac:dyDescent="0.2">
      <c r="A15" s="4" t="s">
        <v>142</v>
      </c>
      <c r="B15" s="4" t="s">
        <v>150</v>
      </c>
      <c r="C15" s="4" t="s">
        <v>149</v>
      </c>
      <c r="D15" s="4">
        <v>0</v>
      </c>
      <c r="E15" s="4">
        <v>0</v>
      </c>
      <c r="F15" s="4">
        <v>0</v>
      </c>
      <c r="G15" s="4">
        <v>0</v>
      </c>
    </row>
    <row r="16" spans="1:7" x14ac:dyDescent="0.2">
      <c r="A16" s="4" t="s">
        <v>142</v>
      </c>
      <c r="B16" s="4" t="s">
        <v>151</v>
      </c>
      <c r="C16" s="4" t="s">
        <v>146</v>
      </c>
      <c r="D16" s="4">
        <v>187400</v>
      </c>
      <c r="E16" s="4">
        <v>33500</v>
      </c>
      <c r="F16" s="4">
        <v>1900</v>
      </c>
      <c r="G16" s="4">
        <v>14638</v>
      </c>
    </row>
    <row r="17" spans="1:7" x14ac:dyDescent="0.2">
      <c r="A17" s="4" t="s">
        <v>142</v>
      </c>
      <c r="B17" s="4" t="s">
        <v>152</v>
      </c>
      <c r="C17" s="4" t="s">
        <v>146</v>
      </c>
      <c r="D17" s="4">
        <v>330600</v>
      </c>
      <c r="E17" s="4">
        <v>138500</v>
      </c>
      <c r="F17" s="4">
        <v>24900</v>
      </c>
      <c r="G17" s="4">
        <v>57520</v>
      </c>
    </row>
    <row r="18" spans="1:7" x14ac:dyDescent="0.2">
      <c r="A18" s="4" t="s">
        <v>142</v>
      </c>
      <c r="B18" s="4" t="s">
        <v>153</v>
      </c>
      <c r="C18" s="4" t="s">
        <v>154</v>
      </c>
      <c r="D18" s="5">
        <v>7847400</v>
      </c>
      <c r="E18" s="5">
        <v>7174500</v>
      </c>
      <c r="F18" s="4">
        <v>92300</v>
      </c>
      <c r="G18" s="4">
        <v>176204</v>
      </c>
    </row>
    <row r="19" spans="1:7" x14ac:dyDescent="0.2">
      <c r="A19" s="4" t="s">
        <v>142</v>
      </c>
      <c r="B19" s="4" t="s">
        <v>155</v>
      </c>
      <c r="C19" s="4" t="s">
        <v>154</v>
      </c>
      <c r="D19" s="5">
        <v>20391900</v>
      </c>
      <c r="E19" s="5">
        <v>19829300</v>
      </c>
      <c r="F19" s="4">
        <v>260800</v>
      </c>
      <c r="G19" s="4">
        <v>336344</v>
      </c>
    </row>
    <row r="20" spans="1:7" x14ac:dyDescent="0.2">
      <c r="A20" s="4" t="s">
        <v>142</v>
      </c>
      <c r="B20" s="4" t="s">
        <v>156</v>
      </c>
      <c r="C20" s="4" t="s">
        <v>144</v>
      </c>
      <c r="D20" s="4">
        <v>585600</v>
      </c>
      <c r="E20" s="4">
        <v>107800</v>
      </c>
      <c r="F20" s="4">
        <v>7900</v>
      </c>
      <c r="G20" s="4">
        <v>42507</v>
      </c>
    </row>
    <row r="21" spans="1:7" x14ac:dyDescent="0.2">
      <c r="A21" s="4" t="s">
        <v>142</v>
      </c>
      <c r="B21" s="4" t="s">
        <v>157</v>
      </c>
      <c r="C21" s="4" t="s">
        <v>158</v>
      </c>
      <c r="D21" s="5">
        <v>4207300</v>
      </c>
      <c r="E21" s="4">
        <v>497700</v>
      </c>
      <c r="F21" s="4">
        <v>65900</v>
      </c>
      <c r="G21" s="4">
        <v>496452</v>
      </c>
    </row>
    <row r="22" spans="1:7" x14ac:dyDescent="0.2">
      <c r="A22" s="4" t="s">
        <v>142</v>
      </c>
      <c r="B22" s="4" t="s">
        <v>159</v>
      </c>
      <c r="C22" s="4" t="s">
        <v>160</v>
      </c>
      <c r="D22" s="4">
        <v>299800</v>
      </c>
      <c r="E22" s="4">
        <v>90600</v>
      </c>
      <c r="F22" s="4">
        <v>21700</v>
      </c>
      <c r="G22" s="4">
        <v>39581</v>
      </c>
    </row>
    <row r="23" spans="1:7" x14ac:dyDescent="0.2">
      <c r="A23" s="4" t="s">
        <v>142</v>
      </c>
      <c r="B23" s="4" t="s">
        <v>161</v>
      </c>
      <c r="C23" s="4" t="s">
        <v>154</v>
      </c>
      <c r="D23" s="5">
        <v>4405900</v>
      </c>
      <c r="E23" s="5">
        <v>4087500</v>
      </c>
      <c r="F23" s="4">
        <v>64900</v>
      </c>
      <c r="G23" s="4">
        <v>101511</v>
      </c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W8"/>
  <sheetViews>
    <sheetView workbookViewId="0">
      <selection activeCell="A3" sqref="A3:IV3"/>
    </sheetView>
  </sheetViews>
  <sheetFormatPr defaultRowHeight="12.75" x14ac:dyDescent="0.2"/>
  <cols>
    <col min="1" max="1" width="41.140625" style="10" bestFit="1" customWidth="1"/>
    <col min="2" max="2" width="6.7109375" style="10" bestFit="1" customWidth="1"/>
    <col min="3" max="3" width="18.140625" style="10" bestFit="1" customWidth="1"/>
    <col min="4" max="4" width="17.140625" style="10" bestFit="1" customWidth="1"/>
    <col min="5" max="5" width="13" style="13" bestFit="1" customWidth="1"/>
    <col min="6" max="6" width="6.140625" style="10" bestFit="1" customWidth="1"/>
    <col min="7" max="7" width="11" style="10" bestFit="1" customWidth="1"/>
    <col min="8" max="8" width="14.42578125" style="13" bestFit="1" customWidth="1"/>
    <col min="9" max="9" width="20.28515625" style="13" bestFit="1" customWidth="1"/>
    <col min="10" max="10" width="15.140625" style="10" bestFit="1" customWidth="1"/>
    <col min="11" max="11" width="24.5703125" style="13" bestFit="1" customWidth="1"/>
    <col min="12" max="12" width="19.42578125" style="10" bestFit="1" customWidth="1"/>
    <col min="13" max="13" width="17" style="13" bestFit="1" customWidth="1"/>
    <col min="14" max="14" width="15.140625" style="10" bestFit="1" customWidth="1"/>
    <col min="15" max="15" width="21.42578125" style="13" bestFit="1" customWidth="1"/>
    <col min="16" max="16" width="19.42578125" style="10" bestFit="1" customWidth="1"/>
    <col min="17" max="17" width="15.140625" style="10" bestFit="1" customWidth="1"/>
    <col min="18" max="18" width="8.42578125" style="10" bestFit="1" customWidth="1"/>
    <col min="19" max="19" width="17" style="10" bestFit="1" customWidth="1"/>
    <col min="20" max="20" width="19" style="13" bestFit="1" customWidth="1"/>
    <col min="21" max="21" width="19.42578125" style="10" bestFit="1" customWidth="1"/>
    <col min="22" max="22" width="18.28515625" style="13" bestFit="1" customWidth="1"/>
    <col min="23" max="23" width="19.42578125" style="10" bestFit="1" customWidth="1"/>
    <col min="24" max="16384" width="9.140625" style="10"/>
  </cols>
  <sheetData>
    <row r="1" spans="1:23" ht="18" x14ac:dyDescent="0.25">
      <c r="A1" s="11" t="s">
        <v>375</v>
      </c>
    </row>
    <row r="3" spans="1:23" s="16" customFormat="1" x14ac:dyDescent="0.2">
      <c r="A3" s="15" t="s">
        <v>115</v>
      </c>
      <c r="B3" s="15" t="s">
        <v>116</v>
      </c>
      <c r="C3" s="15" t="s">
        <v>117</v>
      </c>
      <c r="D3" s="15" t="s">
        <v>118</v>
      </c>
      <c r="E3" s="15" t="s">
        <v>119</v>
      </c>
      <c r="F3" s="15" t="s">
        <v>120</v>
      </c>
      <c r="G3" s="15" t="s">
        <v>121</v>
      </c>
      <c r="H3" s="15" t="s">
        <v>122</v>
      </c>
      <c r="I3" s="15" t="s">
        <v>123</v>
      </c>
      <c r="J3" s="15" t="s">
        <v>124</v>
      </c>
      <c r="K3" s="15" t="s">
        <v>125</v>
      </c>
      <c r="L3" s="15" t="s">
        <v>126</v>
      </c>
      <c r="M3" s="15" t="s">
        <v>127</v>
      </c>
      <c r="N3" s="15" t="s">
        <v>124</v>
      </c>
      <c r="O3" s="15" t="s">
        <v>128</v>
      </c>
      <c r="P3" s="15" t="s">
        <v>126</v>
      </c>
      <c r="Q3" s="15" t="s">
        <v>129</v>
      </c>
      <c r="R3" s="15" t="s">
        <v>132</v>
      </c>
      <c r="S3" s="15" t="s">
        <v>133</v>
      </c>
      <c r="T3" s="15" t="s">
        <v>134</v>
      </c>
      <c r="U3" s="15" t="s">
        <v>126</v>
      </c>
      <c r="V3" s="15" t="s">
        <v>135</v>
      </c>
      <c r="W3" s="15" t="s">
        <v>126</v>
      </c>
    </row>
    <row r="5" spans="1:23" x14ac:dyDescent="0.2">
      <c r="A5" s="10" t="s">
        <v>306</v>
      </c>
      <c r="C5" s="10" t="s">
        <v>154</v>
      </c>
      <c r="D5" s="10" t="s">
        <v>153</v>
      </c>
      <c r="E5" s="13">
        <v>671.13</v>
      </c>
      <c r="F5" s="10" t="s">
        <v>307</v>
      </c>
      <c r="G5" s="10" t="s">
        <v>360</v>
      </c>
      <c r="H5" s="13">
        <v>43.623449999999998</v>
      </c>
      <c r="I5" s="13" t="s">
        <v>7</v>
      </c>
      <c r="K5" s="13" t="s">
        <v>7</v>
      </c>
      <c r="M5" s="13" t="s">
        <v>7</v>
      </c>
      <c r="O5" s="13" t="s">
        <v>361</v>
      </c>
      <c r="R5" s="10">
        <v>1</v>
      </c>
      <c r="S5" s="10">
        <v>2</v>
      </c>
    </row>
    <row r="6" spans="1:23" x14ac:dyDescent="0.2">
      <c r="A6" s="10" t="s">
        <v>306</v>
      </c>
      <c r="C6" s="10" t="s">
        <v>154</v>
      </c>
      <c r="D6" s="10" t="s">
        <v>155</v>
      </c>
      <c r="E6" s="13">
        <v>2982.8</v>
      </c>
      <c r="F6" s="10" t="s">
        <v>307</v>
      </c>
      <c r="G6" s="10" t="s">
        <v>360</v>
      </c>
      <c r="H6" s="13">
        <v>193.88200000000001</v>
      </c>
      <c r="I6" s="13" t="s">
        <v>7</v>
      </c>
      <c r="K6" s="13" t="s">
        <v>7</v>
      </c>
      <c r="M6" s="13" t="s">
        <v>7</v>
      </c>
      <c r="O6" s="13" t="s">
        <v>361</v>
      </c>
      <c r="R6" s="10">
        <v>1</v>
      </c>
      <c r="S6" s="10">
        <v>2</v>
      </c>
    </row>
    <row r="7" spans="1:23" x14ac:dyDescent="0.2">
      <c r="A7" s="10" t="s">
        <v>306</v>
      </c>
      <c r="C7" s="10" t="s">
        <v>154</v>
      </c>
      <c r="D7" s="10" t="s">
        <v>161</v>
      </c>
      <c r="E7" s="13">
        <v>3728.5</v>
      </c>
      <c r="F7" s="10" t="s">
        <v>307</v>
      </c>
      <c r="G7" s="10" t="s">
        <v>360</v>
      </c>
      <c r="H7" s="13">
        <v>242.35249999999999</v>
      </c>
      <c r="I7" s="13" t="s">
        <v>7</v>
      </c>
      <c r="K7" s="13" t="s">
        <v>7</v>
      </c>
      <c r="M7" s="13" t="s">
        <v>7</v>
      </c>
      <c r="O7" s="13" t="s">
        <v>361</v>
      </c>
      <c r="R7" s="10">
        <v>1</v>
      </c>
      <c r="S7" s="10">
        <v>2</v>
      </c>
    </row>
    <row r="8" spans="1:23" x14ac:dyDescent="0.2">
      <c r="A8" s="10" t="s">
        <v>362</v>
      </c>
      <c r="B8" s="10" t="s">
        <v>363</v>
      </c>
      <c r="C8" s="10" t="s">
        <v>146</v>
      </c>
      <c r="D8" s="10" t="s">
        <v>152</v>
      </c>
      <c r="E8" s="13">
        <v>17576124.211157002</v>
      </c>
      <c r="F8" s="10" t="s">
        <v>364</v>
      </c>
      <c r="G8" s="10" t="s">
        <v>365</v>
      </c>
      <c r="H8" s="13">
        <v>3.937052</v>
      </c>
      <c r="I8" s="13">
        <v>14.695430999999999</v>
      </c>
      <c r="J8" s="10" t="s">
        <v>366</v>
      </c>
      <c r="K8" s="13">
        <v>77</v>
      </c>
      <c r="L8" s="10" t="s">
        <v>367</v>
      </c>
      <c r="M8" s="13">
        <v>0</v>
      </c>
      <c r="N8" s="10" t="s">
        <v>366</v>
      </c>
      <c r="O8" s="13">
        <v>0</v>
      </c>
      <c r="P8" s="10" t="s">
        <v>367</v>
      </c>
      <c r="Q8" s="10" t="s">
        <v>368</v>
      </c>
      <c r="R8" s="10">
        <v>1</v>
      </c>
      <c r="S8" s="10">
        <v>2</v>
      </c>
      <c r="T8" s="13">
        <v>68</v>
      </c>
      <c r="U8" s="10" t="s">
        <v>367</v>
      </c>
      <c r="V8" s="13">
        <v>77</v>
      </c>
      <c r="W8" s="10" t="s">
        <v>367</v>
      </c>
    </row>
  </sheetData>
  <phoneticPr fontId="0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Q6"/>
  <sheetViews>
    <sheetView workbookViewId="0"/>
  </sheetViews>
  <sheetFormatPr defaultRowHeight="12.75" x14ac:dyDescent="0.2"/>
  <cols>
    <col min="1" max="1" width="27" style="10" bestFit="1" customWidth="1"/>
    <col min="2" max="2" width="6.7109375" style="10" bestFit="1" customWidth="1"/>
    <col min="3" max="3" width="9.7109375" style="13" bestFit="1" customWidth="1"/>
    <col min="4" max="4" width="6.140625" style="10" bestFit="1" customWidth="1"/>
    <col min="5" max="5" width="11" style="10" bestFit="1" customWidth="1"/>
    <col min="6" max="6" width="14.42578125" style="13" bestFit="1" customWidth="1"/>
    <col min="7" max="7" width="10.5703125" style="10" bestFit="1" customWidth="1"/>
    <col min="8" max="16384" width="9.140625" style="10"/>
  </cols>
  <sheetData>
    <row r="1" spans="1:17" ht="18" x14ac:dyDescent="0.25">
      <c r="A1" s="11" t="s">
        <v>376</v>
      </c>
      <c r="F1" s="22"/>
      <c r="G1" s="22"/>
      <c r="H1" s="22"/>
      <c r="I1" s="22"/>
      <c r="J1" s="22"/>
    </row>
    <row r="3" spans="1:17" x14ac:dyDescent="0.2">
      <c r="A3" s="12" t="s">
        <v>115</v>
      </c>
      <c r="B3" s="12" t="s">
        <v>116</v>
      </c>
      <c r="C3" s="14" t="s">
        <v>119</v>
      </c>
      <c r="D3" s="12" t="s">
        <v>120</v>
      </c>
      <c r="E3" s="12" t="s">
        <v>121</v>
      </c>
      <c r="F3" s="14" t="s">
        <v>122</v>
      </c>
      <c r="G3" s="12" t="s">
        <v>136</v>
      </c>
      <c r="H3" s="17"/>
      <c r="I3" s="17"/>
      <c r="J3" s="17"/>
      <c r="K3" s="17"/>
      <c r="L3" s="17"/>
      <c r="M3" s="17"/>
      <c r="N3" s="17"/>
      <c r="O3" s="17"/>
      <c r="P3" s="17"/>
      <c r="Q3" s="17"/>
    </row>
    <row r="5" spans="1:17" x14ac:dyDescent="0.2">
      <c r="A5" s="10" t="s">
        <v>306</v>
      </c>
      <c r="C5" s="13">
        <v>7498.14</v>
      </c>
      <c r="D5" s="10" t="s">
        <v>307</v>
      </c>
      <c r="E5" s="10" t="s">
        <v>307</v>
      </c>
      <c r="F5" s="13">
        <v>487.37909999999999</v>
      </c>
      <c r="G5" s="10" t="s">
        <v>369</v>
      </c>
    </row>
    <row r="6" spans="1:17" x14ac:dyDescent="0.2">
      <c r="A6" s="10" t="s">
        <v>362</v>
      </c>
      <c r="B6" s="10" t="s">
        <v>363</v>
      </c>
      <c r="C6" s="13">
        <v>17576120</v>
      </c>
      <c r="D6" s="10" t="s">
        <v>364</v>
      </c>
      <c r="E6" s="10" t="s">
        <v>365</v>
      </c>
      <c r="F6" s="13">
        <v>3.9370509999999999</v>
      </c>
      <c r="G6" s="10" t="s">
        <v>369</v>
      </c>
    </row>
  </sheetData>
  <mergeCells count="1">
    <mergeCell ref="F1:J1"/>
  </mergeCells>
  <phoneticPr fontId="0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Q7"/>
  <sheetViews>
    <sheetView tabSelected="1" workbookViewId="0">
      <selection activeCell="H5" sqref="H5:H6"/>
    </sheetView>
  </sheetViews>
  <sheetFormatPr defaultRowHeight="12.75" x14ac:dyDescent="0.2"/>
  <cols>
    <col min="1" max="1" width="37.7109375" style="10" bestFit="1" customWidth="1"/>
    <col min="2" max="2" width="18.42578125" style="10" bestFit="1" customWidth="1"/>
    <col min="3" max="3" width="13.5703125" style="13" bestFit="1" customWidth="1"/>
    <col min="4" max="4" width="6" style="10" bestFit="1" customWidth="1"/>
    <col min="5" max="5" width="10.42578125" style="10" bestFit="1" customWidth="1"/>
    <col min="6" max="6" width="13.5703125" style="13" bestFit="1" customWidth="1"/>
    <col min="7" max="7" width="13.28515625" style="10" customWidth="1"/>
    <col min="8" max="8" width="17" style="10" customWidth="1"/>
    <col min="9" max="9" width="15" style="10" customWidth="1"/>
    <col min="10" max="10" width="11.28515625" style="10" customWidth="1"/>
    <col min="11" max="11" width="17" style="10" bestFit="1" customWidth="1"/>
    <col min="12" max="12" width="13.7109375" style="10" bestFit="1" customWidth="1"/>
    <col min="13" max="13" width="12.42578125" style="10" bestFit="1" customWidth="1"/>
    <col min="14" max="14" width="11.140625" style="10" bestFit="1" customWidth="1"/>
    <col min="15" max="15" width="15" style="10" bestFit="1" customWidth="1"/>
    <col min="16" max="16" width="13.7109375" style="10" bestFit="1" customWidth="1"/>
    <col min="17" max="17" width="18" style="10" customWidth="1"/>
    <col min="18" max="16384" width="9.140625" style="10"/>
  </cols>
  <sheetData>
    <row r="1" spans="1:17" ht="18" x14ac:dyDescent="0.25">
      <c r="A1" s="11" t="s">
        <v>377</v>
      </c>
    </row>
    <row r="3" spans="1:17" s="16" customFormat="1" x14ac:dyDescent="0.2">
      <c r="A3" s="19" t="s">
        <v>115</v>
      </c>
      <c r="B3" s="19" t="s">
        <v>130</v>
      </c>
      <c r="C3" s="19" t="s">
        <v>131</v>
      </c>
      <c r="D3" s="19" t="s">
        <v>120</v>
      </c>
      <c r="E3" s="19" t="s">
        <v>121</v>
      </c>
      <c r="F3" s="19" t="s">
        <v>122</v>
      </c>
      <c r="H3" s="23" t="s">
        <v>385</v>
      </c>
    </row>
    <row r="5" spans="1:17" x14ac:dyDescent="0.2">
      <c r="A5" s="10">
        <v>110</v>
      </c>
      <c r="B5" s="10" t="s">
        <v>370</v>
      </c>
      <c r="C5" s="13">
        <v>1587.619048</v>
      </c>
      <c r="D5" s="10" t="s">
        <v>288</v>
      </c>
      <c r="E5" s="10" t="s">
        <v>284</v>
      </c>
      <c r="F5" s="13">
        <v>42.479922999999999</v>
      </c>
      <c r="G5" s="24" t="s">
        <v>386</v>
      </c>
      <c r="H5" s="10">
        <f>F5/C5</f>
        <v>2.6757000083561609E-2</v>
      </c>
    </row>
    <row r="6" spans="1:17" x14ac:dyDescent="0.2">
      <c r="A6" s="10" t="s">
        <v>371</v>
      </c>
      <c r="B6" s="10" t="s">
        <v>372</v>
      </c>
      <c r="C6" s="13">
        <v>50122.666666999998</v>
      </c>
      <c r="D6" s="10" t="s">
        <v>288</v>
      </c>
      <c r="E6" s="10" t="s">
        <v>284</v>
      </c>
      <c r="F6" s="13">
        <v>14786.186667</v>
      </c>
      <c r="H6" s="10">
        <f>F6/C6</f>
        <v>0.29500000000468851</v>
      </c>
    </row>
    <row r="7" spans="1:17" x14ac:dyDescent="0.2">
      <c r="A7" s="17"/>
      <c r="B7" s="17"/>
      <c r="C7" s="18"/>
      <c r="D7" s="17"/>
      <c r="E7" s="17"/>
      <c r="F7" s="18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</row>
  </sheetData>
  <phoneticPr fontId="0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7"/>
  <sheetViews>
    <sheetView workbookViewId="0">
      <selection activeCell="A3" sqref="A3:IV3"/>
    </sheetView>
  </sheetViews>
  <sheetFormatPr defaultRowHeight="12.75" x14ac:dyDescent="0.2"/>
  <cols>
    <col min="1" max="1" width="30.7109375" style="10" bestFit="1" customWidth="1"/>
    <col min="2" max="2" width="18.42578125" style="10" bestFit="1" customWidth="1"/>
    <col min="3" max="3" width="13.5703125" style="13" bestFit="1" customWidth="1"/>
    <col min="4" max="4" width="6" style="10" bestFit="1" customWidth="1"/>
    <col min="5" max="5" width="10.42578125" style="10" bestFit="1" customWidth="1"/>
    <col min="6" max="6" width="13.5703125" style="13" bestFit="1" customWidth="1"/>
    <col min="7" max="7" width="13.28515625" style="10" customWidth="1"/>
    <col min="8" max="8" width="17" style="10" customWidth="1"/>
    <col min="9" max="9" width="15" style="10" customWidth="1"/>
    <col min="10" max="10" width="11.28515625" style="10" customWidth="1"/>
    <col min="11" max="11" width="17" style="10" bestFit="1" customWidth="1"/>
    <col min="12" max="12" width="13.7109375" style="10" bestFit="1" customWidth="1"/>
    <col min="13" max="13" width="12.42578125" style="10" bestFit="1" customWidth="1"/>
    <col min="14" max="14" width="11.140625" style="10" bestFit="1" customWidth="1"/>
    <col min="15" max="15" width="15" style="10" bestFit="1" customWidth="1"/>
    <col min="16" max="16" width="13.7109375" style="10" bestFit="1" customWidth="1"/>
    <col min="17" max="17" width="18" style="10" customWidth="1"/>
    <col min="18" max="16384" width="9.140625" style="10"/>
  </cols>
  <sheetData>
    <row r="1" spans="1:17" ht="18" x14ac:dyDescent="0.25">
      <c r="A1" s="11" t="s">
        <v>378</v>
      </c>
    </row>
    <row r="3" spans="1:17" s="16" customFormat="1" x14ac:dyDescent="0.2">
      <c r="A3" s="19" t="s">
        <v>115</v>
      </c>
      <c r="B3" s="19" t="s">
        <v>130</v>
      </c>
      <c r="C3" s="19" t="s">
        <v>131</v>
      </c>
      <c r="D3" s="19" t="s">
        <v>120</v>
      </c>
      <c r="E3" s="19" t="s">
        <v>121</v>
      </c>
      <c r="F3" s="19" t="s">
        <v>122</v>
      </c>
    </row>
    <row r="5" spans="1:17" x14ac:dyDescent="0.2">
      <c r="A5" s="10">
        <v>115</v>
      </c>
      <c r="B5" s="10" t="s">
        <v>370</v>
      </c>
      <c r="C5" s="13">
        <v>2083.8015869999999</v>
      </c>
      <c r="D5" s="10" t="s">
        <v>288</v>
      </c>
      <c r="E5" s="10" t="s">
        <v>284</v>
      </c>
      <c r="F5" s="13">
        <v>297.68564300000003</v>
      </c>
    </row>
    <row r="7" spans="1:17" x14ac:dyDescent="0.2">
      <c r="A7" s="17"/>
      <c r="B7" s="17"/>
      <c r="C7" s="18"/>
      <c r="D7" s="17"/>
      <c r="E7" s="17"/>
      <c r="F7" s="18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Run Summary</vt:lpstr>
      <vt:lpstr>Executive Summary</vt:lpstr>
      <vt:lpstr>Cash Flow</vt:lpstr>
      <vt:lpstr>Project Summary</vt:lpstr>
      <vt:lpstr>Equipment</vt:lpstr>
      <vt:lpstr>Utility Summary</vt:lpstr>
      <vt:lpstr>Utility Resource Summary</vt:lpstr>
      <vt:lpstr>RawMaterial Summary</vt:lpstr>
      <vt:lpstr>Product Summary</vt:lpstr>
    </vt:vector>
  </TitlesOfParts>
  <Company>ICARUS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Hyein</dc:creator>
  <cp:lastModifiedBy>Hyein</cp:lastModifiedBy>
  <dcterms:created xsi:type="dcterms:W3CDTF">1997-10-09T16:30:12Z</dcterms:created>
  <dcterms:modified xsi:type="dcterms:W3CDTF">2025-02-13T05:26:57Z</dcterms:modified>
</cp:coreProperties>
</file>