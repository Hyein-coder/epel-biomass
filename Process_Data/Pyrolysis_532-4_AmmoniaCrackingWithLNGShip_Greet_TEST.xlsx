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A97AADA8-04C4-4B6F-A290-E410500CC34E}" xr6:coauthVersionLast="36" xr6:coauthVersionMax="36" xr10:uidLastSave="{00000000-0000-0000-0000-000000000000}"/>
  <bookViews>
    <workbookView xWindow="0" yWindow="0" windowWidth="28800" windowHeight="12180" activeTab="1" xr2:uid="{29375032-57F5-4D11-827C-BABAAE89127A}"/>
  </bookViews>
  <sheets>
    <sheet name="Base" sheetId="1" r:id="rId1"/>
    <sheet name="Sheet2" sheetId="2" r:id="rId2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8" i="2" l="1"/>
  <c r="I3" i="2"/>
  <c r="C4" i="2"/>
  <c r="I5" i="2" s="1"/>
  <c r="C3" i="2"/>
  <c r="G3" i="2" s="1"/>
  <c r="Q4" i="2"/>
  <c r="V4" i="2" s="1"/>
  <c r="R4" i="2"/>
  <c r="R3" i="2"/>
  <c r="Q3" i="2"/>
  <c r="V3" i="2" s="1"/>
  <c r="X3" i="2" s="1"/>
  <c r="R8" i="2"/>
  <c r="AC4" i="2" l="1"/>
  <c r="G4" i="2"/>
  <c r="I4" i="2" s="1"/>
  <c r="AB4" i="2"/>
  <c r="AB3" i="2"/>
  <c r="AC3" i="2"/>
  <c r="X4" i="2"/>
  <c r="AA4" i="2" s="1"/>
  <c r="Z4" i="2"/>
  <c r="AA3" i="2"/>
  <c r="Z3" i="2"/>
</calcChain>
</file>

<file path=xl/sharedStrings.xml><?xml version="1.0" encoding="utf-8"?>
<sst xmlns="http://schemas.openxmlformats.org/spreadsheetml/2006/main" count="1066" uniqueCount="103">
  <si>
    <t>Emissions</t>
  </si>
  <si>
    <t>Well to Use</t>
  </si>
  <si>
    <t>CO2 Total</t>
  </si>
  <si>
    <t>g</t>
  </si>
  <si>
    <t>CO2</t>
  </si>
  <si>
    <t>CO2_Biogenic</t>
  </si>
  <si>
    <t>kg</t>
  </si>
  <si>
    <t>CO2_LandUseChange</t>
  </si>
  <si>
    <t>VOC</t>
  </si>
  <si>
    <t>mg</t>
  </si>
  <si>
    <t>CO</t>
  </si>
  <si>
    <t>NOx</t>
  </si>
  <si>
    <t>PM10</t>
  </si>
  <si>
    <t>PM2.5</t>
  </si>
  <si>
    <t>SOx</t>
  </si>
  <si>
    <t>CH4</t>
  </si>
  <si>
    <t>N2O</t>
  </si>
  <si>
    <t>NO2</t>
  </si>
  <si>
    <t>BC</t>
  </si>
  <si>
    <t>POC</t>
  </si>
  <si>
    <t>Groups</t>
  </si>
  <si>
    <t>GHG-100</t>
  </si>
  <si>
    <t>GHG-20</t>
  </si>
  <si>
    <t>Flow properties</t>
  </si>
  <si>
    <t>Biogenic carbon mass ratio</t>
  </si>
  <si>
    <t>%</t>
  </si>
  <si>
    <t>Resources</t>
  </si>
  <si>
    <t>Btu</t>
  </si>
  <si>
    <t>Water Total</t>
  </si>
  <si>
    <t>Water_Process</t>
  </si>
  <si>
    <t>m^3</t>
  </si>
  <si>
    <t>Water</t>
  </si>
  <si>
    <t>Water_Reservoir Evaporation</t>
  </si>
  <si>
    <t>cm^3</t>
  </si>
  <si>
    <t>Water_Cooling</t>
  </si>
  <si>
    <t>Water_Mining</t>
  </si>
  <si>
    <t>Crude Oil</t>
  </si>
  <si>
    <t>Natural Gas</t>
  </si>
  <si>
    <t>Coal Average</t>
  </si>
  <si>
    <t>Forest Residue</t>
  </si>
  <si>
    <t>Pet Coke</t>
  </si>
  <si>
    <t>Renewable, Other</t>
  </si>
  <si>
    <t>Hydroelectric Power</t>
  </si>
  <si>
    <t>Nuclear Energy</t>
  </si>
  <si>
    <t>GeoThermal Power</t>
  </si>
  <si>
    <t>Solar</t>
  </si>
  <si>
    <t>Wind Power</t>
  </si>
  <si>
    <t>Trona</t>
  </si>
  <si>
    <t>ug</t>
  </si>
  <si>
    <t>Zirconium Ore</t>
  </si>
  <si>
    <t>Bitumen</t>
  </si>
  <si>
    <t>Shale Oil (Bakken)</t>
  </si>
  <si>
    <t>Shale Oil (Eagle Ford)</t>
  </si>
  <si>
    <t>Other Power (Without Hydro)</t>
  </si>
  <si>
    <t>...</t>
  </si>
  <si>
    <t>Non Fossil Fuel</t>
  </si>
  <si>
    <t>Renewable</t>
  </si>
  <si>
    <t>Biomass</t>
  </si>
  <si>
    <t>Fossil Fuel</t>
  </si>
  <si>
    <t>Natural Gas Fuel</t>
  </si>
  <si>
    <t>Coal Fuel</t>
  </si>
  <si>
    <t>Petroleum Fuel</t>
  </si>
  <si>
    <t>Nuclear</t>
  </si>
  <si>
    <t>Urban Emissions</t>
  </si>
  <si>
    <t>Base</t>
    <phoneticPr fontId="1" type="noConversion"/>
  </si>
  <si>
    <t>MJ</t>
    <phoneticPr fontId="1" type="noConversion"/>
  </si>
  <si>
    <t>SAF</t>
    <phoneticPr fontId="1" type="noConversion"/>
  </si>
  <si>
    <t>OnSite</t>
  </si>
  <si>
    <t>Gaseous Hydrogen</t>
  </si>
  <si>
    <t>Electricity</t>
  </si>
  <si>
    <t>Sulfuric Acid</t>
  </si>
  <si>
    <t>Sand</t>
  </si>
  <si>
    <t>Gaseous Hydrogen</t>
    <phoneticPr fontId="1" type="noConversion"/>
  </si>
  <si>
    <t>ng</t>
  </si>
  <si>
    <t>Conventional Diesel</t>
  </si>
  <si>
    <t>Emissions</t>
    <phoneticPr fontId="1" type="noConversion"/>
  </si>
  <si>
    <t>Forest Residue</t>
    <phoneticPr fontId="1" type="noConversion"/>
  </si>
  <si>
    <t>Diesel For Non Road Applications</t>
  </si>
  <si>
    <t>SPK Transportation</t>
    <phoneticPr fontId="1" type="noConversion"/>
  </si>
  <si>
    <t>Residue-to-Jet</t>
    <phoneticPr fontId="1" type="noConversion"/>
  </si>
  <si>
    <t>Compressed G.H2 from NA NG for Process Fuels</t>
    <phoneticPr fontId="1" type="noConversion"/>
  </si>
  <si>
    <t>Forest Residue Transportation to Integrated Pyrolysis Plant</t>
    <phoneticPr fontId="1" type="noConversion"/>
  </si>
  <si>
    <t>Forest Residue Collection</t>
    <phoneticPr fontId="1" type="noConversion"/>
  </si>
  <si>
    <t>Btu</t>
    <phoneticPr fontId="1" type="noConversion"/>
  </si>
  <si>
    <t>Sustainable Aviation Fuel (SAF)</t>
  </si>
  <si>
    <t>Process</t>
    <phoneticPr fontId="1" type="noConversion"/>
  </si>
  <si>
    <t>Main Resource Amount</t>
    <phoneticPr fontId="1" type="noConversion"/>
  </si>
  <si>
    <t>lb</t>
    <phoneticPr fontId="1" type="noConversion"/>
  </si>
  <si>
    <t>1MJ</t>
    <phoneticPr fontId="1" type="noConversion"/>
  </si>
  <si>
    <t>CO2</t>
    <phoneticPr fontId="1" type="noConversion"/>
  </si>
  <si>
    <t>VOC</t>
    <phoneticPr fontId="1" type="noConversion"/>
  </si>
  <si>
    <t>1lb</t>
    <phoneticPr fontId="1" type="noConversion"/>
  </si>
  <si>
    <t>MJ/lb</t>
    <phoneticPr fontId="1" type="noConversion"/>
  </si>
  <si>
    <t>Base Conversion</t>
    <phoneticPr fontId="1" type="noConversion"/>
  </si>
  <si>
    <t>Base Amount</t>
    <phoneticPr fontId="1" type="noConversion"/>
  </si>
  <si>
    <t>MJ-&gt;Base</t>
    <phoneticPr fontId="1" type="noConversion"/>
  </si>
  <si>
    <t>lb-&gt;Base</t>
    <phoneticPr fontId="1" type="noConversion"/>
  </si>
  <si>
    <t>Btu/ton</t>
    <phoneticPr fontId="1" type="noConversion"/>
  </si>
  <si>
    <t>Energy density [MJ/lb]</t>
    <phoneticPr fontId="1" type="noConversion"/>
  </si>
  <si>
    <t>Btu/lb</t>
    <phoneticPr fontId="1" type="noConversion"/>
  </si>
  <si>
    <t>Main per 1MJ SAF</t>
    <phoneticPr fontId="1" type="noConversion"/>
  </si>
  <si>
    <t>: Main &gt;&gt; Resources pane에 있는 값의 약 2배</t>
    <phoneticPr fontId="1" type="noConversion"/>
  </si>
  <si>
    <t>(GREET result에서는 Co-product에 의한 allocation이 적용된 것으로 보임)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</si>
</sst>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8964-A715-48B3-B1C7-A4EE5DA1DFC2}">
  <dimension ref="A1:W121"/>
  <sheetViews>
    <sheetView workbookViewId="0">
      <selection activeCell="F24" sqref="F24"/>
    </sheetView>
  </sheetViews>
  <sheetFormatPr defaultRowHeight="16.5" x14ac:dyDescent="0.3"/>
  <cols>
    <col min="1" max="1" width="28.625" bestFit="1" customWidth="1"/>
  </cols>
  <sheetData>
    <row r="1" spans="1:23" x14ac:dyDescent="0.3">
      <c r="A1" t="s">
        <v>85</v>
      </c>
      <c r="B1" t="s">
        <v>78</v>
      </c>
      <c r="F1" t="s">
        <v>85</v>
      </c>
      <c r="G1" t="s">
        <v>79</v>
      </c>
      <c r="K1" t="s">
        <v>85</v>
      </c>
      <c r="L1" t="s">
        <v>80</v>
      </c>
      <c r="P1" t="s">
        <v>85</v>
      </c>
      <c r="Q1" t="s">
        <v>81</v>
      </c>
      <c r="U1" t="s">
        <v>85</v>
      </c>
      <c r="V1" t="s">
        <v>82</v>
      </c>
    </row>
    <row r="2" spans="1:23" x14ac:dyDescent="0.3">
      <c r="A2" t="s">
        <v>64</v>
      </c>
      <c r="B2" t="s">
        <v>66</v>
      </c>
      <c r="C2" t="s">
        <v>65</v>
      </c>
      <c r="F2" t="s">
        <v>64</v>
      </c>
      <c r="G2" t="s">
        <v>66</v>
      </c>
      <c r="H2" t="s">
        <v>65</v>
      </c>
      <c r="K2" t="s">
        <v>64</v>
      </c>
      <c r="L2" t="s">
        <v>72</v>
      </c>
      <c r="M2" t="s">
        <v>65</v>
      </c>
      <c r="P2" t="s">
        <v>64</v>
      </c>
      <c r="Q2" t="s">
        <v>76</v>
      </c>
      <c r="R2" t="s">
        <v>65</v>
      </c>
      <c r="U2" t="s">
        <v>64</v>
      </c>
      <c r="V2" t="s">
        <v>76</v>
      </c>
      <c r="W2" t="s">
        <v>65</v>
      </c>
    </row>
    <row r="3" spans="1:23" x14ac:dyDescent="0.3">
      <c r="A3" t="s">
        <v>0</v>
      </c>
      <c r="F3" t="s">
        <v>0</v>
      </c>
      <c r="K3" t="s">
        <v>75</v>
      </c>
      <c r="P3" t="s">
        <v>75</v>
      </c>
      <c r="U3" t="s">
        <v>0</v>
      </c>
    </row>
    <row r="4" spans="1:23" x14ac:dyDescent="0.3">
      <c r="A4" t="s">
        <v>1</v>
      </c>
      <c r="F4" t="s">
        <v>1</v>
      </c>
      <c r="K4" t="s">
        <v>1</v>
      </c>
      <c r="P4" t="s">
        <v>1</v>
      </c>
      <c r="U4" t="s">
        <v>1</v>
      </c>
    </row>
    <row r="5" spans="1:23" x14ac:dyDescent="0.3">
      <c r="A5" t="s">
        <v>0</v>
      </c>
      <c r="F5" t="s">
        <v>0</v>
      </c>
      <c r="K5" t="s">
        <v>0</v>
      </c>
      <c r="P5" t="s">
        <v>0</v>
      </c>
      <c r="U5" t="s">
        <v>0</v>
      </c>
    </row>
    <row r="6" spans="1:23" x14ac:dyDescent="0.3">
      <c r="A6" t="s">
        <v>2</v>
      </c>
      <c r="B6">
        <v>95.935699999999997</v>
      </c>
      <c r="C6" t="s">
        <v>3</v>
      </c>
      <c r="F6" t="s">
        <v>2</v>
      </c>
      <c r="G6">
        <v>95.347999999999999</v>
      </c>
      <c r="H6" t="s">
        <v>3</v>
      </c>
      <c r="K6" t="s">
        <v>2</v>
      </c>
      <c r="L6">
        <v>71.412700000000001</v>
      </c>
      <c r="M6" t="s">
        <v>3</v>
      </c>
      <c r="P6" t="s">
        <v>2</v>
      </c>
      <c r="Q6">
        <v>2.5211000000000001</v>
      </c>
      <c r="R6" t="s">
        <v>3</v>
      </c>
      <c r="U6" t="s">
        <v>2</v>
      </c>
      <c r="V6">
        <v>0.65580000000000005</v>
      </c>
      <c r="W6" t="s">
        <v>3</v>
      </c>
    </row>
    <row r="7" spans="1:23" x14ac:dyDescent="0.3">
      <c r="A7" t="s">
        <v>4</v>
      </c>
      <c r="B7">
        <v>96.235200000000006</v>
      </c>
      <c r="C7" t="s">
        <v>3</v>
      </c>
      <c r="F7" t="s">
        <v>4</v>
      </c>
      <c r="G7">
        <v>95.644400000000005</v>
      </c>
      <c r="H7" t="s">
        <v>3</v>
      </c>
      <c r="K7" t="s">
        <v>4</v>
      </c>
      <c r="L7">
        <v>71.427599999999998</v>
      </c>
      <c r="M7" t="s">
        <v>3</v>
      </c>
      <c r="P7" t="s">
        <v>4</v>
      </c>
      <c r="Q7">
        <v>2.5215999999999998</v>
      </c>
      <c r="R7" t="s">
        <v>3</v>
      </c>
      <c r="U7" t="s">
        <v>4</v>
      </c>
      <c r="V7">
        <v>0.65600000000000003</v>
      </c>
      <c r="W7" t="s">
        <v>3</v>
      </c>
    </row>
    <row r="8" spans="1:23" x14ac:dyDescent="0.3">
      <c r="A8" t="s">
        <v>5</v>
      </c>
      <c r="B8" s="1">
        <v>-2.9952000000000001E-4</v>
      </c>
      <c r="C8" t="s">
        <v>6</v>
      </c>
      <c r="F8" t="s">
        <v>5</v>
      </c>
      <c r="G8" s="1">
        <v>-2.9635000000000002E-4</v>
      </c>
      <c r="H8" t="s">
        <v>6</v>
      </c>
      <c r="K8" t="s">
        <v>5</v>
      </c>
      <c r="L8" s="1">
        <v>-1.4864E-5</v>
      </c>
      <c r="M8" t="s">
        <v>6</v>
      </c>
      <c r="P8" t="s">
        <v>5</v>
      </c>
      <c r="Q8" s="1">
        <v>-4.8200999999999996E-7</v>
      </c>
      <c r="R8" t="s">
        <v>6</v>
      </c>
      <c r="U8" t="s">
        <v>5</v>
      </c>
      <c r="V8" s="1">
        <v>-1.2550999999999999E-7</v>
      </c>
      <c r="W8" t="s">
        <v>6</v>
      </c>
    </row>
    <row r="9" spans="1:23" x14ac:dyDescent="0.3">
      <c r="A9" t="s">
        <v>7</v>
      </c>
      <c r="B9">
        <v>0</v>
      </c>
      <c r="C9" t="s">
        <v>6</v>
      </c>
      <c r="F9" t="s">
        <v>7</v>
      </c>
      <c r="G9">
        <v>0</v>
      </c>
      <c r="H9" t="s">
        <v>6</v>
      </c>
      <c r="K9" t="s">
        <v>8</v>
      </c>
      <c r="L9">
        <v>13.121</v>
      </c>
      <c r="M9" t="s">
        <v>9</v>
      </c>
      <c r="P9" t="s">
        <v>8</v>
      </c>
      <c r="Q9">
        <v>0.63070000000000004</v>
      </c>
      <c r="R9" t="s">
        <v>9</v>
      </c>
      <c r="U9" t="s">
        <v>8</v>
      </c>
      <c r="V9">
        <v>0.33700000000000002</v>
      </c>
      <c r="W9" t="s">
        <v>9</v>
      </c>
    </row>
    <row r="10" spans="1:23" x14ac:dyDescent="0.3">
      <c r="A10" t="s">
        <v>8</v>
      </c>
      <c r="B10">
        <v>14.828799999999999</v>
      </c>
      <c r="C10" t="s">
        <v>9</v>
      </c>
      <c r="F10" t="s">
        <v>8</v>
      </c>
      <c r="G10">
        <v>13.6915</v>
      </c>
      <c r="H10" t="s">
        <v>9</v>
      </c>
      <c r="K10" t="s">
        <v>10</v>
      </c>
      <c r="L10">
        <v>34.2027</v>
      </c>
      <c r="M10" t="s">
        <v>9</v>
      </c>
      <c r="P10" t="s">
        <v>10</v>
      </c>
      <c r="Q10">
        <v>5.6708999999999996</v>
      </c>
      <c r="R10" t="s">
        <v>9</v>
      </c>
      <c r="U10" t="s">
        <v>10</v>
      </c>
      <c r="V10">
        <v>1.5262</v>
      </c>
      <c r="W10" t="s">
        <v>9</v>
      </c>
    </row>
    <row r="11" spans="1:23" x14ac:dyDescent="0.3">
      <c r="A11" t="s">
        <v>10</v>
      </c>
      <c r="B11">
        <v>46.430599999999998</v>
      </c>
      <c r="C11" t="s">
        <v>9</v>
      </c>
      <c r="F11" t="s">
        <v>10</v>
      </c>
      <c r="G11">
        <v>45.709099999999999</v>
      </c>
      <c r="H11" t="s">
        <v>9</v>
      </c>
      <c r="K11" t="s">
        <v>11</v>
      </c>
      <c r="L11">
        <v>41.171799999999998</v>
      </c>
      <c r="M11" t="s">
        <v>9</v>
      </c>
      <c r="P11" t="s">
        <v>11</v>
      </c>
      <c r="Q11">
        <v>6.0876000000000001</v>
      </c>
      <c r="R11" t="s">
        <v>9</v>
      </c>
      <c r="U11" t="s">
        <v>11</v>
      </c>
      <c r="V11">
        <v>3.2650999999999999</v>
      </c>
      <c r="W11" t="s">
        <v>9</v>
      </c>
    </row>
    <row r="12" spans="1:23" x14ac:dyDescent="0.3">
      <c r="A12" t="s">
        <v>11</v>
      </c>
      <c r="B12">
        <v>62.158799999999999</v>
      </c>
      <c r="C12" t="s">
        <v>9</v>
      </c>
      <c r="F12" t="s">
        <v>11</v>
      </c>
      <c r="G12">
        <v>60.312399999999997</v>
      </c>
      <c r="H12" t="s">
        <v>9</v>
      </c>
      <c r="K12" t="s">
        <v>12</v>
      </c>
      <c r="L12">
        <v>2.0575999999999999</v>
      </c>
      <c r="M12" t="s">
        <v>9</v>
      </c>
      <c r="P12" t="s">
        <v>12</v>
      </c>
      <c r="Q12">
        <v>0.3886</v>
      </c>
      <c r="R12" t="s">
        <v>9</v>
      </c>
      <c r="U12" t="s">
        <v>12</v>
      </c>
      <c r="V12">
        <v>0.23100000000000001</v>
      </c>
      <c r="W12" t="s">
        <v>9</v>
      </c>
    </row>
    <row r="13" spans="1:23" x14ac:dyDescent="0.3">
      <c r="A13" t="s">
        <v>12</v>
      </c>
      <c r="B13">
        <v>5.1852999999999998</v>
      </c>
      <c r="C13" t="s">
        <v>9</v>
      </c>
      <c r="F13" t="s">
        <v>12</v>
      </c>
      <c r="G13">
        <v>5.0980999999999996</v>
      </c>
      <c r="H13" t="s">
        <v>9</v>
      </c>
      <c r="K13" t="s">
        <v>13</v>
      </c>
      <c r="L13">
        <v>1.9341999999999999</v>
      </c>
      <c r="M13" t="s">
        <v>9</v>
      </c>
      <c r="P13" t="s">
        <v>13</v>
      </c>
      <c r="Q13">
        <v>0.26779999999999998</v>
      </c>
      <c r="R13" t="s">
        <v>9</v>
      </c>
      <c r="U13" t="s">
        <v>13</v>
      </c>
      <c r="V13">
        <v>0.22289999999999999</v>
      </c>
      <c r="W13" t="s">
        <v>9</v>
      </c>
    </row>
    <row r="14" spans="1:23" x14ac:dyDescent="0.3">
      <c r="A14" t="s">
        <v>13</v>
      </c>
      <c r="B14">
        <v>3.5796999999999999</v>
      </c>
      <c r="C14" t="s">
        <v>9</v>
      </c>
      <c r="F14" t="s">
        <v>13</v>
      </c>
      <c r="G14">
        <v>3.5133999999999999</v>
      </c>
      <c r="H14" t="s">
        <v>9</v>
      </c>
      <c r="K14" t="s">
        <v>14</v>
      </c>
      <c r="L14">
        <v>12.6873</v>
      </c>
      <c r="M14" t="s">
        <v>9</v>
      </c>
      <c r="P14" t="s">
        <v>14</v>
      </c>
      <c r="Q14">
        <v>0.14699999999999999</v>
      </c>
      <c r="R14" t="s">
        <v>9</v>
      </c>
      <c r="U14" t="s">
        <v>14</v>
      </c>
      <c r="V14">
        <v>37.791200000000003</v>
      </c>
      <c r="W14" t="s">
        <v>48</v>
      </c>
    </row>
    <row r="15" spans="1:23" x14ac:dyDescent="0.3">
      <c r="A15" t="s">
        <v>14</v>
      </c>
      <c r="B15">
        <v>26.684100000000001</v>
      </c>
      <c r="C15" t="s">
        <v>9</v>
      </c>
      <c r="F15" t="s">
        <v>14</v>
      </c>
      <c r="G15">
        <v>26.479500000000002</v>
      </c>
      <c r="H15" t="s">
        <v>9</v>
      </c>
      <c r="K15" t="s">
        <v>15</v>
      </c>
      <c r="L15">
        <v>0.2268</v>
      </c>
      <c r="M15" t="s">
        <v>3</v>
      </c>
      <c r="P15" t="s">
        <v>15</v>
      </c>
      <c r="Q15">
        <v>3.0785999999999998</v>
      </c>
      <c r="R15" t="s">
        <v>9</v>
      </c>
      <c r="U15" t="s">
        <v>15</v>
      </c>
      <c r="V15">
        <v>0.80610000000000004</v>
      </c>
      <c r="W15" t="s">
        <v>9</v>
      </c>
    </row>
    <row r="16" spans="1:23" x14ac:dyDescent="0.3">
      <c r="A16" t="s">
        <v>15</v>
      </c>
      <c r="B16">
        <v>0.22459999999999999</v>
      </c>
      <c r="C16" t="s">
        <v>3</v>
      </c>
      <c r="F16" t="s">
        <v>15</v>
      </c>
      <c r="G16">
        <v>0.22359999999999999</v>
      </c>
      <c r="H16" t="s">
        <v>3</v>
      </c>
      <c r="K16" t="s">
        <v>16</v>
      </c>
      <c r="L16">
        <v>1.6442000000000001</v>
      </c>
      <c r="M16" t="s">
        <v>9</v>
      </c>
      <c r="P16" t="s">
        <v>16</v>
      </c>
      <c r="Q16">
        <v>23.723800000000001</v>
      </c>
      <c r="R16" t="s">
        <v>48</v>
      </c>
      <c r="U16" t="s">
        <v>16</v>
      </c>
      <c r="V16">
        <v>16.333500000000001</v>
      </c>
      <c r="W16" t="s">
        <v>48</v>
      </c>
    </row>
    <row r="17" spans="1:23" x14ac:dyDescent="0.3">
      <c r="A17" t="s">
        <v>16</v>
      </c>
      <c r="B17">
        <v>1.7605</v>
      </c>
      <c r="C17" t="s">
        <v>9</v>
      </c>
      <c r="F17" t="s">
        <v>16</v>
      </c>
      <c r="G17">
        <v>1.7491000000000001</v>
      </c>
      <c r="H17" t="s">
        <v>9</v>
      </c>
      <c r="K17" t="s">
        <v>18</v>
      </c>
      <c r="L17">
        <v>0.1739</v>
      </c>
      <c r="M17" t="s">
        <v>9</v>
      </c>
      <c r="P17" t="s">
        <v>18</v>
      </c>
      <c r="Q17">
        <v>0.17119999999999999</v>
      </c>
      <c r="R17" t="s">
        <v>9</v>
      </c>
      <c r="U17" t="s">
        <v>18</v>
      </c>
      <c r="V17">
        <v>0.16700000000000001</v>
      </c>
      <c r="W17" t="s">
        <v>9</v>
      </c>
    </row>
    <row r="18" spans="1:23" x14ac:dyDescent="0.3">
      <c r="A18" t="s">
        <v>17</v>
      </c>
      <c r="B18">
        <v>1.9670000000000001</v>
      </c>
      <c r="C18" t="s">
        <v>3</v>
      </c>
      <c r="F18" t="s">
        <v>17</v>
      </c>
      <c r="G18">
        <v>1.9669000000000001</v>
      </c>
      <c r="H18" t="s">
        <v>3</v>
      </c>
      <c r="K18" t="s">
        <v>19</v>
      </c>
      <c r="L18">
        <v>0.42109999999999997</v>
      </c>
      <c r="M18" t="s">
        <v>9</v>
      </c>
      <c r="P18" t="s">
        <v>19</v>
      </c>
      <c r="Q18">
        <v>54.929499999999997</v>
      </c>
      <c r="R18" t="s">
        <v>48</v>
      </c>
      <c r="U18" t="s">
        <v>19</v>
      </c>
      <c r="V18">
        <v>47.444099999999999</v>
      </c>
      <c r="W18" t="s">
        <v>48</v>
      </c>
    </row>
    <row r="19" spans="1:23" x14ac:dyDescent="0.3">
      <c r="A19" t="s">
        <v>18</v>
      </c>
      <c r="B19">
        <v>0.51590000000000003</v>
      </c>
      <c r="C19" t="s">
        <v>9</v>
      </c>
      <c r="F19" t="s">
        <v>18</v>
      </c>
      <c r="G19">
        <v>0.50800000000000001</v>
      </c>
      <c r="H19" t="s">
        <v>9</v>
      </c>
      <c r="K19" t="s">
        <v>20</v>
      </c>
      <c r="P19" t="s">
        <v>20</v>
      </c>
      <c r="U19" t="s">
        <v>20</v>
      </c>
    </row>
    <row r="20" spans="1:23" x14ac:dyDescent="0.3">
      <c r="A20" t="s">
        <v>19</v>
      </c>
      <c r="B20">
        <v>0.88570000000000004</v>
      </c>
      <c r="C20" t="s">
        <v>9</v>
      </c>
      <c r="F20" t="s">
        <v>19</v>
      </c>
      <c r="G20">
        <v>0.86140000000000005</v>
      </c>
      <c r="H20" t="s">
        <v>9</v>
      </c>
      <c r="K20" t="s">
        <v>21</v>
      </c>
      <c r="L20">
        <v>78.714399999999998</v>
      </c>
      <c r="M20" t="s">
        <v>3</v>
      </c>
      <c r="P20" t="s">
        <v>21</v>
      </c>
      <c r="Q20">
        <v>2.6301999999999999</v>
      </c>
      <c r="R20" t="s">
        <v>3</v>
      </c>
      <c r="U20" t="s">
        <v>21</v>
      </c>
      <c r="V20">
        <v>0.68779999999999997</v>
      </c>
      <c r="W20" t="s">
        <v>3</v>
      </c>
    </row>
    <row r="21" spans="1:23" x14ac:dyDescent="0.3">
      <c r="A21" t="s">
        <v>20</v>
      </c>
      <c r="F21" t="s">
        <v>20</v>
      </c>
      <c r="K21" t="s">
        <v>22</v>
      </c>
      <c r="L21">
        <v>90.665899999999993</v>
      </c>
      <c r="M21" t="s">
        <v>3</v>
      </c>
      <c r="P21" t="s">
        <v>22</v>
      </c>
      <c r="Q21">
        <v>2.7925</v>
      </c>
      <c r="R21" t="s">
        <v>3</v>
      </c>
      <c r="U21" t="s">
        <v>22</v>
      </c>
      <c r="V21">
        <v>0.73019999999999996</v>
      </c>
      <c r="W21" t="s">
        <v>3</v>
      </c>
    </row>
    <row r="22" spans="1:23" x14ac:dyDescent="0.3">
      <c r="A22" t="s">
        <v>21</v>
      </c>
      <c r="B22">
        <v>0.1032</v>
      </c>
      <c r="C22" t="s">
        <v>6</v>
      </c>
      <c r="F22" t="s">
        <v>21</v>
      </c>
      <c r="G22">
        <v>0.1026</v>
      </c>
      <c r="H22" t="s">
        <v>6</v>
      </c>
      <c r="K22" t="s">
        <v>23</v>
      </c>
      <c r="P22" t="s">
        <v>67</v>
      </c>
      <c r="U22" t="s">
        <v>67</v>
      </c>
    </row>
    <row r="23" spans="1:23" x14ac:dyDescent="0.3">
      <c r="A23" t="s">
        <v>22</v>
      </c>
      <c r="B23">
        <v>0.11509999999999999</v>
      </c>
      <c r="C23" t="s">
        <v>6</v>
      </c>
      <c r="F23" t="s">
        <v>22</v>
      </c>
      <c r="G23">
        <v>0.1144</v>
      </c>
      <c r="H23" t="s">
        <v>6</v>
      </c>
      <c r="K23" t="s">
        <v>24</v>
      </c>
      <c r="L23">
        <v>0</v>
      </c>
      <c r="M23" t="s">
        <v>25</v>
      </c>
      <c r="P23" t="s">
        <v>0</v>
      </c>
      <c r="U23" t="s">
        <v>0</v>
      </c>
    </row>
    <row r="24" spans="1:23" x14ac:dyDescent="0.3">
      <c r="A24" t="s">
        <v>67</v>
      </c>
      <c r="F24" t="s">
        <v>67</v>
      </c>
      <c r="K24" t="s">
        <v>26</v>
      </c>
      <c r="P24" t="s">
        <v>8</v>
      </c>
      <c r="Q24">
        <v>0.13980000000000001</v>
      </c>
      <c r="R24" t="s">
        <v>9</v>
      </c>
      <c r="U24" t="s">
        <v>8</v>
      </c>
      <c r="V24">
        <v>0.28289999999999998</v>
      </c>
      <c r="W24" t="s">
        <v>9</v>
      </c>
    </row>
    <row r="25" spans="1:23" x14ac:dyDescent="0.3">
      <c r="A25" t="s">
        <v>0</v>
      </c>
      <c r="F25" t="s">
        <v>0</v>
      </c>
      <c r="K25" t="s">
        <v>1</v>
      </c>
      <c r="P25" t="s">
        <v>10</v>
      </c>
      <c r="Q25">
        <v>3.8921999999999999</v>
      </c>
      <c r="R25" t="s">
        <v>9</v>
      </c>
      <c r="U25" t="s">
        <v>10</v>
      </c>
      <c r="V25">
        <v>1.4373</v>
      </c>
      <c r="W25" t="s">
        <v>9</v>
      </c>
    </row>
    <row r="26" spans="1:23" x14ac:dyDescent="0.3">
      <c r="A26" t="s">
        <v>8</v>
      </c>
      <c r="B26">
        <v>1.0772999999999999</v>
      </c>
      <c r="C26" t="s">
        <v>9</v>
      </c>
      <c r="F26" t="s">
        <v>2</v>
      </c>
      <c r="G26">
        <v>13.2357</v>
      </c>
      <c r="H26" t="s">
        <v>3</v>
      </c>
      <c r="K26" t="s">
        <v>26</v>
      </c>
      <c r="L26">
        <v>1202.5306</v>
      </c>
      <c r="M26" t="s">
        <v>27</v>
      </c>
      <c r="P26" t="s">
        <v>11</v>
      </c>
      <c r="Q26">
        <v>2.4428000000000001</v>
      </c>
      <c r="R26" t="s">
        <v>9</v>
      </c>
      <c r="U26" t="s">
        <v>11</v>
      </c>
      <c r="V26">
        <v>3.1314000000000002</v>
      </c>
      <c r="W26" t="s">
        <v>9</v>
      </c>
    </row>
    <row r="27" spans="1:23" x14ac:dyDescent="0.3">
      <c r="A27" t="s">
        <v>10</v>
      </c>
      <c r="B27">
        <v>0.5544</v>
      </c>
      <c r="C27" t="s">
        <v>9</v>
      </c>
      <c r="F27" t="s">
        <v>4</v>
      </c>
      <c r="G27">
        <v>13.2357</v>
      </c>
      <c r="H27" t="s">
        <v>3</v>
      </c>
      <c r="K27" t="s">
        <v>28</v>
      </c>
      <c r="L27">
        <v>151.98740000000001</v>
      </c>
      <c r="M27" t="s">
        <v>33</v>
      </c>
      <c r="P27" t="s">
        <v>12</v>
      </c>
      <c r="Q27">
        <v>0.13089999999999999</v>
      </c>
      <c r="R27" t="s">
        <v>9</v>
      </c>
      <c r="U27" t="s">
        <v>12</v>
      </c>
      <c r="V27">
        <v>0.22159999999999999</v>
      </c>
      <c r="W27" t="s">
        <v>9</v>
      </c>
    </row>
    <row r="28" spans="1:23" x14ac:dyDescent="0.3">
      <c r="A28" t="s">
        <v>11</v>
      </c>
      <c r="B28">
        <v>1.5618000000000001</v>
      </c>
      <c r="C28" t="s">
        <v>9</v>
      </c>
      <c r="F28" t="s">
        <v>7</v>
      </c>
      <c r="G28">
        <v>0</v>
      </c>
      <c r="H28" t="s">
        <v>6</v>
      </c>
      <c r="K28" t="s">
        <v>29</v>
      </c>
      <c r="L28">
        <v>139.16720000000001</v>
      </c>
      <c r="M28" t="s">
        <v>33</v>
      </c>
      <c r="P28" t="s">
        <v>13</v>
      </c>
      <c r="Q28">
        <v>22.332599999999999</v>
      </c>
      <c r="R28" t="s">
        <v>48</v>
      </c>
      <c r="U28" t="s">
        <v>13</v>
      </c>
      <c r="V28">
        <v>0.215</v>
      </c>
      <c r="W28" t="s">
        <v>9</v>
      </c>
    </row>
    <row r="29" spans="1:23" x14ac:dyDescent="0.3">
      <c r="A29" t="s">
        <v>12</v>
      </c>
      <c r="B29">
        <v>50.593400000000003</v>
      </c>
      <c r="C29" t="s">
        <v>48</v>
      </c>
      <c r="F29" t="s">
        <v>10</v>
      </c>
      <c r="G29">
        <v>1.1577999999999999</v>
      </c>
      <c r="H29" t="s">
        <v>48</v>
      </c>
      <c r="K29" t="s">
        <v>35</v>
      </c>
      <c r="L29">
        <v>5.6291000000000002</v>
      </c>
      <c r="M29" t="s">
        <v>33</v>
      </c>
      <c r="P29" t="s">
        <v>14</v>
      </c>
      <c r="Q29">
        <v>11.2117</v>
      </c>
      <c r="R29" t="s">
        <v>48</v>
      </c>
      <c r="U29" t="s">
        <v>14</v>
      </c>
      <c r="V29">
        <v>3.2875000000000001</v>
      </c>
      <c r="W29" t="s">
        <v>48</v>
      </c>
    </row>
    <row r="30" spans="1:23" x14ac:dyDescent="0.3">
      <c r="A30" t="s">
        <v>13</v>
      </c>
      <c r="B30">
        <v>44.398699999999998</v>
      </c>
      <c r="C30" t="s">
        <v>48</v>
      </c>
      <c r="F30" t="s">
        <v>15</v>
      </c>
      <c r="G30">
        <v>0.1022</v>
      </c>
      <c r="H30" t="s">
        <v>9</v>
      </c>
      <c r="K30" t="s">
        <v>32</v>
      </c>
      <c r="L30">
        <v>4.0509000000000004</v>
      </c>
      <c r="M30" t="s">
        <v>33</v>
      </c>
      <c r="P30" t="s">
        <v>15</v>
      </c>
      <c r="Q30">
        <v>19.172000000000001</v>
      </c>
      <c r="R30" t="s">
        <v>48</v>
      </c>
      <c r="U30" t="s">
        <v>15</v>
      </c>
      <c r="V30">
        <v>12.844099999999999</v>
      </c>
      <c r="W30" t="s">
        <v>48</v>
      </c>
    </row>
    <row r="31" spans="1:23" x14ac:dyDescent="0.3">
      <c r="A31" t="s">
        <v>14</v>
      </c>
      <c r="B31">
        <v>1.746</v>
      </c>
      <c r="C31" t="s">
        <v>48</v>
      </c>
      <c r="F31" t="s">
        <v>17</v>
      </c>
      <c r="G31">
        <v>1.9669000000000001</v>
      </c>
      <c r="H31" t="s">
        <v>3</v>
      </c>
      <c r="K31" t="s">
        <v>34</v>
      </c>
      <c r="L31">
        <v>3.1402000000000001</v>
      </c>
      <c r="M31" t="s">
        <v>33</v>
      </c>
      <c r="P31" t="s">
        <v>16</v>
      </c>
      <c r="Q31">
        <v>2.5733000000000001</v>
      </c>
      <c r="R31" t="s">
        <v>48</v>
      </c>
      <c r="U31" t="s">
        <v>16</v>
      </c>
      <c r="V31">
        <v>14.637600000000001</v>
      </c>
      <c r="W31" t="s">
        <v>48</v>
      </c>
    </row>
    <row r="32" spans="1:23" x14ac:dyDescent="0.3">
      <c r="A32" t="s">
        <v>15</v>
      </c>
      <c r="B32">
        <v>4.9202000000000004</v>
      </c>
      <c r="C32" t="s">
        <v>48</v>
      </c>
      <c r="F32" t="s">
        <v>20</v>
      </c>
      <c r="K32" t="s">
        <v>36</v>
      </c>
      <c r="L32">
        <v>0.54610000000000003</v>
      </c>
      <c r="M32" t="s">
        <v>27</v>
      </c>
      <c r="P32" t="s">
        <v>4</v>
      </c>
      <c r="Q32">
        <v>1.603</v>
      </c>
      <c r="R32" t="s">
        <v>3</v>
      </c>
      <c r="U32" t="s">
        <v>4</v>
      </c>
      <c r="V32">
        <v>0.5635</v>
      </c>
      <c r="W32" t="s">
        <v>3</v>
      </c>
    </row>
    <row r="33" spans="1:23" x14ac:dyDescent="0.3">
      <c r="A33" t="s">
        <v>16</v>
      </c>
      <c r="B33">
        <v>4.7560000000000002</v>
      </c>
      <c r="C33" t="s">
        <v>48</v>
      </c>
      <c r="F33" t="s">
        <v>21</v>
      </c>
      <c r="G33">
        <v>13.238799999999999</v>
      </c>
      <c r="H33" t="s">
        <v>3</v>
      </c>
      <c r="K33" t="s">
        <v>37</v>
      </c>
      <c r="L33">
        <v>1189.4305999999999</v>
      </c>
      <c r="M33" t="s">
        <v>27</v>
      </c>
      <c r="P33" t="s">
        <v>18</v>
      </c>
      <c r="Q33">
        <v>0.75980000000000003</v>
      </c>
      <c r="R33" t="s">
        <v>48</v>
      </c>
      <c r="U33" t="s">
        <v>18</v>
      </c>
      <c r="V33">
        <v>0.1658</v>
      </c>
      <c r="W33" t="s">
        <v>9</v>
      </c>
    </row>
    <row r="34" spans="1:23" x14ac:dyDescent="0.3">
      <c r="A34" t="s">
        <v>4</v>
      </c>
      <c r="B34">
        <v>0.25040000000000001</v>
      </c>
      <c r="C34" t="s">
        <v>3</v>
      </c>
      <c r="F34" t="s">
        <v>22</v>
      </c>
      <c r="G34">
        <v>13.244199999999999</v>
      </c>
      <c r="H34" t="s">
        <v>3</v>
      </c>
      <c r="K34" t="s">
        <v>38</v>
      </c>
      <c r="L34">
        <v>7.3120000000000003</v>
      </c>
      <c r="M34" t="s">
        <v>27</v>
      </c>
      <c r="P34" t="s">
        <v>19</v>
      </c>
      <c r="Q34">
        <v>1.4117999999999999</v>
      </c>
      <c r="R34" t="s">
        <v>48</v>
      </c>
      <c r="U34" t="s">
        <v>19</v>
      </c>
      <c r="V34">
        <v>45.305799999999998</v>
      </c>
      <c r="W34" t="s">
        <v>48</v>
      </c>
    </row>
    <row r="35" spans="1:23" x14ac:dyDescent="0.3">
      <c r="A35" t="s">
        <v>18</v>
      </c>
      <c r="B35">
        <v>6.3761999999999999</v>
      </c>
      <c r="C35" t="s">
        <v>48</v>
      </c>
      <c r="F35" t="s">
        <v>23</v>
      </c>
      <c r="K35" t="s">
        <v>39</v>
      </c>
      <c r="L35">
        <v>0.15359999999999999</v>
      </c>
      <c r="M35" t="s">
        <v>27</v>
      </c>
      <c r="P35" t="s">
        <v>20</v>
      </c>
      <c r="U35" t="s">
        <v>20</v>
      </c>
    </row>
    <row r="36" spans="1:23" x14ac:dyDescent="0.3">
      <c r="A36" t="s">
        <v>19</v>
      </c>
      <c r="B36">
        <v>18.251200000000001</v>
      </c>
      <c r="C36" t="s">
        <v>48</v>
      </c>
      <c r="F36" t="s">
        <v>24</v>
      </c>
      <c r="G36">
        <v>100</v>
      </c>
      <c r="H36" t="s">
        <v>25</v>
      </c>
      <c r="K36" t="s">
        <v>40</v>
      </c>
      <c r="L36" s="1">
        <v>6.1074000000000002E-4</v>
      </c>
      <c r="M36" t="s">
        <v>27</v>
      </c>
      <c r="P36" t="s">
        <v>21</v>
      </c>
      <c r="Q36">
        <v>1.6108</v>
      </c>
      <c r="R36" t="s">
        <v>3</v>
      </c>
      <c r="U36" t="s">
        <v>21</v>
      </c>
      <c r="V36">
        <v>0.57099999999999995</v>
      </c>
      <c r="W36" t="s">
        <v>3</v>
      </c>
    </row>
    <row r="37" spans="1:23" x14ac:dyDescent="0.3">
      <c r="A37" t="s">
        <v>20</v>
      </c>
      <c r="F37" t="s">
        <v>26</v>
      </c>
      <c r="K37" t="s">
        <v>41</v>
      </c>
      <c r="L37">
        <v>4.5699999999999998E-2</v>
      </c>
      <c r="M37" t="s">
        <v>27</v>
      </c>
      <c r="P37" t="s">
        <v>22</v>
      </c>
      <c r="Q37">
        <v>1.6117999999999999</v>
      </c>
      <c r="R37" t="s">
        <v>3</v>
      </c>
      <c r="U37" t="s">
        <v>22</v>
      </c>
      <c r="V37">
        <v>0.57169999999999999</v>
      </c>
      <c r="W37" t="s">
        <v>3</v>
      </c>
    </row>
    <row r="38" spans="1:23" x14ac:dyDescent="0.3">
      <c r="A38" t="s">
        <v>21</v>
      </c>
      <c r="B38">
        <v>0.25609999999999999</v>
      </c>
      <c r="C38" t="s">
        <v>3</v>
      </c>
      <c r="F38" t="s">
        <v>1</v>
      </c>
      <c r="K38" t="s">
        <v>42</v>
      </c>
      <c r="L38">
        <v>0.82820000000000005</v>
      </c>
      <c r="M38" t="s">
        <v>27</v>
      </c>
      <c r="P38" t="s">
        <v>23</v>
      </c>
      <c r="U38" t="s">
        <v>23</v>
      </c>
    </row>
    <row r="39" spans="1:23" x14ac:dyDescent="0.3">
      <c r="A39" t="s">
        <v>22</v>
      </c>
      <c r="B39">
        <v>0.25629999999999997</v>
      </c>
      <c r="C39" t="s">
        <v>3</v>
      </c>
      <c r="F39" t="s">
        <v>26</v>
      </c>
      <c r="G39">
        <v>2978.9114</v>
      </c>
      <c r="H39" t="s">
        <v>27</v>
      </c>
      <c r="K39" t="s">
        <v>43</v>
      </c>
      <c r="L39">
        <v>2.3142</v>
      </c>
      <c r="M39" t="s">
        <v>27</v>
      </c>
      <c r="P39" t="s">
        <v>24</v>
      </c>
      <c r="Q39">
        <v>100</v>
      </c>
      <c r="R39" t="s">
        <v>25</v>
      </c>
      <c r="U39" t="s">
        <v>24</v>
      </c>
      <c r="V39">
        <v>100</v>
      </c>
      <c r="W39" t="s">
        <v>25</v>
      </c>
    </row>
    <row r="40" spans="1:23" x14ac:dyDescent="0.3">
      <c r="A40" t="s">
        <v>23</v>
      </c>
      <c r="F40" t="s">
        <v>28</v>
      </c>
      <c r="G40">
        <v>66.794700000000006</v>
      </c>
      <c r="H40" t="s">
        <v>3</v>
      </c>
      <c r="K40" t="s">
        <v>44</v>
      </c>
      <c r="L40">
        <v>4.6800000000000001E-2</v>
      </c>
      <c r="M40" t="s">
        <v>27</v>
      </c>
      <c r="P40" t="s">
        <v>26</v>
      </c>
      <c r="U40" t="s">
        <v>26</v>
      </c>
    </row>
    <row r="41" spans="1:23" x14ac:dyDescent="0.3">
      <c r="A41" t="s">
        <v>24</v>
      </c>
      <c r="B41">
        <v>100</v>
      </c>
      <c r="C41" t="s">
        <v>25</v>
      </c>
      <c r="F41" t="s">
        <v>29</v>
      </c>
      <c r="G41">
        <v>3.1953</v>
      </c>
      <c r="H41" t="s">
        <v>30</v>
      </c>
      <c r="K41" t="s">
        <v>45</v>
      </c>
      <c r="L41">
        <v>0.40179999999999999</v>
      </c>
      <c r="M41" t="s">
        <v>27</v>
      </c>
      <c r="P41" t="s">
        <v>1</v>
      </c>
      <c r="U41" t="s">
        <v>1</v>
      </c>
    </row>
    <row r="42" spans="1:23" x14ac:dyDescent="0.3">
      <c r="A42" t="s">
        <v>26</v>
      </c>
      <c r="F42" t="s">
        <v>31</v>
      </c>
      <c r="G42">
        <v>66.794700000000006</v>
      </c>
      <c r="H42" t="s">
        <v>3</v>
      </c>
      <c r="K42" t="s">
        <v>46</v>
      </c>
      <c r="L42">
        <v>1.3107</v>
      </c>
      <c r="M42" t="s">
        <v>27</v>
      </c>
      <c r="P42" t="s">
        <v>26</v>
      </c>
      <c r="Q42">
        <v>980.6739</v>
      </c>
      <c r="R42" t="s">
        <v>27</v>
      </c>
      <c r="U42" t="s">
        <v>26</v>
      </c>
      <c r="V42">
        <v>956.37249999999995</v>
      </c>
      <c r="W42" t="s">
        <v>27</v>
      </c>
    </row>
    <row r="43" spans="1:23" x14ac:dyDescent="0.3">
      <c r="A43" t="s">
        <v>1</v>
      </c>
      <c r="F43" t="s">
        <v>32</v>
      </c>
      <c r="G43">
        <v>80.759900000000002</v>
      </c>
      <c r="H43" t="s">
        <v>33</v>
      </c>
      <c r="K43" t="s">
        <v>47</v>
      </c>
      <c r="L43">
        <v>2.883</v>
      </c>
      <c r="M43" t="s">
        <v>48</v>
      </c>
      <c r="P43" t="s">
        <v>28</v>
      </c>
      <c r="Q43">
        <v>2.4552</v>
      </c>
      <c r="R43" t="s">
        <v>33</v>
      </c>
      <c r="U43" t="s">
        <v>28</v>
      </c>
      <c r="V43">
        <v>0.63929999999999998</v>
      </c>
      <c r="W43" t="s">
        <v>33</v>
      </c>
    </row>
    <row r="44" spans="1:23" x14ac:dyDescent="0.3">
      <c r="A44" t="s">
        <v>26</v>
      </c>
      <c r="B44">
        <v>2987.7563</v>
      </c>
      <c r="C44" t="s">
        <v>27</v>
      </c>
      <c r="F44" t="s">
        <v>34</v>
      </c>
      <c r="G44">
        <v>62.605499999999999</v>
      </c>
      <c r="H44" t="s">
        <v>33</v>
      </c>
      <c r="K44" t="s">
        <v>49</v>
      </c>
      <c r="L44">
        <v>8.5742999999999991</v>
      </c>
      <c r="M44" t="s">
        <v>48</v>
      </c>
      <c r="P44" t="s">
        <v>35</v>
      </c>
      <c r="Q44">
        <v>1.8793</v>
      </c>
      <c r="R44" t="s">
        <v>33</v>
      </c>
      <c r="U44" t="s">
        <v>35</v>
      </c>
      <c r="V44">
        <v>0.48930000000000001</v>
      </c>
      <c r="W44" t="s">
        <v>33</v>
      </c>
    </row>
    <row r="45" spans="1:23" x14ac:dyDescent="0.3">
      <c r="A45" t="s">
        <v>28</v>
      </c>
      <c r="B45">
        <v>66.797700000000006</v>
      </c>
      <c r="C45" t="s">
        <v>3</v>
      </c>
      <c r="F45" t="s">
        <v>35</v>
      </c>
      <c r="G45">
        <v>11.7829</v>
      </c>
      <c r="H45" t="s">
        <v>33</v>
      </c>
      <c r="K45" t="s">
        <v>50</v>
      </c>
      <c r="L45">
        <v>5.04E-2</v>
      </c>
      <c r="M45" t="s">
        <v>27</v>
      </c>
      <c r="P45" t="s">
        <v>29</v>
      </c>
      <c r="Q45">
        <v>0.34710000000000002</v>
      </c>
      <c r="R45" t="s">
        <v>33</v>
      </c>
      <c r="U45" t="s">
        <v>29</v>
      </c>
      <c r="V45">
        <v>9.0399999999999994E-2</v>
      </c>
      <c r="W45" t="s">
        <v>33</v>
      </c>
    </row>
    <row r="46" spans="1:23" x14ac:dyDescent="0.3">
      <c r="A46" t="s">
        <v>29</v>
      </c>
      <c r="B46">
        <v>3.1955</v>
      </c>
      <c r="C46" t="s">
        <v>30</v>
      </c>
      <c r="F46" t="s">
        <v>36</v>
      </c>
      <c r="G46">
        <v>43.7196</v>
      </c>
      <c r="H46" t="s">
        <v>27</v>
      </c>
      <c r="K46" t="s">
        <v>51</v>
      </c>
      <c r="L46">
        <v>4.7E-2</v>
      </c>
      <c r="M46" t="s">
        <v>27</v>
      </c>
      <c r="P46" t="s">
        <v>32</v>
      </c>
      <c r="Q46">
        <v>0.12839999999999999</v>
      </c>
      <c r="R46" t="s">
        <v>33</v>
      </c>
      <c r="U46" t="s">
        <v>32</v>
      </c>
      <c r="V46">
        <v>3.3399999999999999E-2</v>
      </c>
      <c r="W46" t="s">
        <v>33</v>
      </c>
    </row>
    <row r="47" spans="1:23" x14ac:dyDescent="0.3">
      <c r="A47" t="s">
        <v>31</v>
      </c>
      <c r="B47">
        <v>66.797700000000006</v>
      </c>
      <c r="C47" t="s">
        <v>3</v>
      </c>
      <c r="F47" t="s">
        <v>37</v>
      </c>
      <c r="G47">
        <v>1063.4432999999999</v>
      </c>
      <c r="H47" t="s">
        <v>27</v>
      </c>
      <c r="K47" t="s">
        <v>52</v>
      </c>
      <c r="L47">
        <v>4.2500000000000003E-2</v>
      </c>
      <c r="M47" t="s">
        <v>27</v>
      </c>
      <c r="P47" t="s">
        <v>34</v>
      </c>
      <c r="Q47">
        <v>0.1004</v>
      </c>
      <c r="R47" t="s">
        <v>33</v>
      </c>
      <c r="U47" t="s">
        <v>34</v>
      </c>
      <c r="V47">
        <v>2.6100000000000002E-2</v>
      </c>
      <c r="W47" t="s">
        <v>33</v>
      </c>
    </row>
    <row r="48" spans="1:23" x14ac:dyDescent="0.3">
      <c r="A48" t="s">
        <v>32</v>
      </c>
      <c r="B48">
        <v>81.622900000000001</v>
      </c>
      <c r="C48" t="s">
        <v>33</v>
      </c>
      <c r="F48" t="s">
        <v>38</v>
      </c>
      <c r="G48">
        <v>145.76949999999999</v>
      </c>
      <c r="H48" t="s">
        <v>27</v>
      </c>
      <c r="K48" t="s">
        <v>53</v>
      </c>
      <c r="L48" s="1">
        <v>3.5675000000000002E-4</v>
      </c>
      <c r="M48" t="s">
        <v>27</v>
      </c>
      <c r="P48" t="s">
        <v>36</v>
      </c>
      <c r="Q48">
        <v>23.1464</v>
      </c>
      <c r="R48" t="s">
        <v>27</v>
      </c>
      <c r="U48" t="s">
        <v>36</v>
      </c>
      <c r="V48">
        <v>6.0269000000000004</v>
      </c>
      <c r="W48" t="s">
        <v>27</v>
      </c>
    </row>
    <row r="49" spans="1:23" x14ac:dyDescent="0.3">
      <c r="A49" t="s">
        <v>34</v>
      </c>
      <c r="B49">
        <v>63.2746</v>
      </c>
      <c r="C49" t="s">
        <v>33</v>
      </c>
      <c r="F49" t="s">
        <v>39</v>
      </c>
      <c r="G49" s="2">
        <v>1634.7449999999999</v>
      </c>
      <c r="H49" t="s">
        <v>27</v>
      </c>
      <c r="K49" t="s">
        <v>20</v>
      </c>
      <c r="L49" t="s">
        <v>54</v>
      </c>
      <c r="P49" t="s">
        <v>37</v>
      </c>
      <c r="Q49">
        <v>3.3613</v>
      </c>
      <c r="R49" t="s">
        <v>27</v>
      </c>
      <c r="U49" t="s">
        <v>37</v>
      </c>
      <c r="V49">
        <v>0.87519999999999998</v>
      </c>
      <c r="W49" t="s">
        <v>27</v>
      </c>
    </row>
    <row r="50" spans="1:23" x14ac:dyDescent="0.3">
      <c r="A50" t="s">
        <v>35</v>
      </c>
      <c r="B50">
        <v>12.049899999999999</v>
      </c>
      <c r="C50" t="s">
        <v>33</v>
      </c>
      <c r="F50" t="s">
        <v>40</v>
      </c>
      <c r="G50">
        <v>4.8899999999999999E-2</v>
      </c>
      <c r="H50" t="s">
        <v>27</v>
      </c>
      <c r="K50" t="s">
        <v>58</v>
      </c>
      <c r="L50">
        <v>1197.4292</v>
      </c>
      <c r="M50" t="s">
        <v>27</v>
      </c>
      <c r="P50" t="s">
        <v>38</v>
      </c>
      <c r="Q50">
        <v>0.22869999999999999</v>
      </c>
      <c r="R50" t="s">
        <v>27</v>
      </c>
      <c r="U50" t="s">
        <v>38</v>
      </c>
      <c r="V50">
        <v>5.96E-2</v>
      </c>
      <c r="W50" t="s">
        <v>27</v>
      </c>
    </row>
    <row r="51" spans="1:23" x14ac:dyDescent="0.3">
      <c r="A51" t="s">
        <v>36</v>
      </c>
      <c r="B51">
        <v>46.433399999999999</v>
      </c>
      <c r="C51" t="s">
        <v>27</v>
      </c>
      <c r="F51" t="s">
        <v>41</v>
      </c>
      <c r="G51">
        <v>0.91139999999999999</v>
      </c>
      <c r="H51" t="s">
        <v>27</v>
      </c>
      <c r="K51" t="s">
        <v>59</v>
      </c>
      <c r="L51">
        <v>1189.4305999999999</v>
      </c>
      <c r="M51" t="s">
        <v>27</v>
      </c>
      <c r="P51" t="s">
        <v>39</v>
      </c>
      <c r="Q51">
        <v>947.82209999999998</v>
      </c>
      <c r="R51" t="s">
        <v>27</v>
      </c>
      <c r="U51" t="s">
        <v>39</v>
      </c>
      <c r="V51">
        <v>947.8184</v>
      </c>
      <c r="W51" t="s">
        <v>27</v>
      </c>
    </row>
    <row r="52" spans="1:23" x14ac:dyDescent="0.3">
      <c r="A52" t="s">
        <v>37</v>
      </c>
      <c r="B52">
        <v>1066.1581000000001</v>
      </c>
      <c r="C52" t="s">
        <v>27</v>
      </c>
      <c r="F52" t="s">
        <v>42</v>
      </c>
      <c r="G52">
        <v>16.511600000000001</v>
      </c>
      <c r="H52" t="s">
        <v>27</v>
      </c>
      <c r="K52" t="s">
        <v>60</v>
      </c>
      <c r="L52">
        <v>7.3120000000000003</v>
      </c>
      <c r="M52" t="s">
        <v>27</v>
      </c>
      <c r="P52" t="s">
        <v>40</v>
      </c>
      <c r="Q52">
        <v>2.5899999999999999E-2</v>
      </c>
      <c r="R52" t="s">
        <v>27</v>
      </c>
      <c r="U52" t="s">
        <v>40</v>
      </c>
      <c r="V52">
        <v>6.7000000000000002E-3</v>
      </c>
      <c r="W52" t="s">
        <v>27</v>
      </c>
    </row>
    <row r="53" spans="1:23" x14ac:dyDescent="0.3">
      <c r="A53" t="s">
        <v>38</v>
      </c>
      <c r="B53">
        <v>147.327</v>
      </c>
      <c r="C53" t="s">
        <v>27</v>
      </c>
      <c r="F53" t="s">
        <v>43</v>
      </c>
      <c r="G53">
        <v>46.1389</v>
      </c>
      <c r="H53" t="s">
        <v>27</v>
      </c>
      <c r="K53" t="s">
        <v>55</v>
      </c>
      <c r="L53">
        <v>5.1013999999999999</v>
      </c>
      <c r="M53" t="s">
        <v>27</v>
      </c>
      <c r="P53" t="s">
        <v>41</v>
      </c>
      <c r="Q53">
        <v>1.5E-3</v>
      </c>
      <c r="R53" t="s">
        <v>27</v>
      </c>
      <c r="U53" t="s">
        <v>41</v>
      </c>
      <c r="V53" s="1">
        <v>3.8599000000000001E-4</v>
      </c>
      <c r="W53" t="s">
        <v>27</v>
      </c>
    </row>
    <row r="54" spans="1:23" x14ac:dyDescent="0.3">
      <c r="A54" t="s">
        <v>39</v>
      </c>
      <c r="B54" s="2">
        <v>1634.8518999999999</v>
      </c>
      <c r="C54" t="s">
        <v>27</v>
      </c>
      <c r="F54" t="s">
        <v>44</v>
      </c>
      <c r="G54">
        <v>0.93220000000000003</v>
      </c>
      <c r="H54" t="s">
        <v>27</v>
      </c>
      <c r="K54" t="s">
        <v>56</v>
      </c>
      <c r="L54">
        <v>2.7871999999999999</v>
      </c>
      <c r="M54" t="s">
        <v>27</v>
      </c>
      <c r="P54" t="s">
        <v>42</v>
      </c>
      <c r="Q54">
        <v>2.63E-2</v>
      </c>
      <c r="R54" t="s">
        <v>27</v>
      </c>
      <c r="U54" t="s">
        <v>42</v>
      </c>
      <c r="V54">
        <v>6.7999999999999996E-3</v>
      </c>
      <c r="W54" t="s">
        <v>27</v>
      </c>
    </row>
    <row r="55" spans="1:23" x14ac:dyDescent="0.3">
      <c r="A55" t="s">
        <v>40</v>
      </c>
      <c r="B55">
        <v>5.1900000000000002E-2</v>
      </c>
      <c r="C55" t="s">
        <v>27</v>
      </c>
      <c r="F55" t="s">
        <v>45</v>
      </c>
      <c r="G55">
        <v>8.0114999999999998</v>
      </c>
      <c r="H55" t="s">
        <v>27</v>
      </c>
      <c r="K55" t="s">
        <v>62</v>
      </c>
      <c r="L55">
        <v>2.3142</v>
      </c>
      <c r="M55" t="s">
        <v>27</v>
      </c>
      <c r="P55" t="s">
        <v>43</v>
      </c>
      <c r="Q55">
        <v>7.4999999999999997E-2</v>
      </c>
      <c r="R55" t="s">
        <v>27</v>
      </c>
      <c r="U55" t="s">
        <v>43</v>
      </c>
      <c r="V55">
        <v>1.95E-2</v>
      </c>
      <c r="W55" t="s">
        <v>27</v>
      </c>
    </row>
    <row r="56" spans="1:23" x14ac:dyDescent="0.3">
      <c r="A56" t="s">
        <v>41</v>
      </c>
      <c r="B56">
        <v>0.92120000000000002</v>
      </c>
      <c r="C56" t="s">
        <v>27</v>
      </c>
      <c r="F56" t="s">
        <v>46</v>
      </c>
      <c r="G56">
        <v>7.4725000000000001</v>
      </c>
      <c r="H56" t="s">
        <v>27</v>
      </c>
      <c r="K56" t="s">
        <v>61</v>
      </c>
      <c r="L56">
        <v>0.6865</v>
      </c>
      <c r="M56" t="s">
        <v>27</v>
      </c>
      <c r="P56" t="s">
        <v>44</v>
      </c>
      <c r="Q56">
        <v>1.5E-3</v>
      </c>
      <c r="R56" t="s">
        <v>27</v>
      </c>
      <c r="U56" t="s">
        <v>44</v>
      </c>
      <c r="V56" s="1">
        <v>3.9481E-4</v>
      </c>
      <c r="W56" t="s">
        <v>27</v>
      </c>
    </row>
    <row r="57" spans="1:23" x14ac:dyDescent="0.3">
      <c r="A57" t="s">
        <v>42</v>
      </c>
      <c r="B57">
        <v>16.687999999999999</v>
      </c>
      <c r="C57" t="s">
        <v>27</v>
      </c>
      <c r="F57" t="s">
        <v>47</v>
      </c>
      <c r="G57">
        <v>57.48</v>
      </c>
      <c r="H57" t="s">
        <v>48</v>
      </c>
      <c r="K57" t="s">
        <v>57</v>
      </c>
      <c r="L57">
        <v>0.15359999999999999</v>
      </c>
      <c r="M57" t="s">
        <v>27</v>
      </c>
      <c r="P57" t="s">
        <v>45</v>
      </c>
      <c r="Q57">
        <v>1.2999999999999999E-2</v>
      </c>
      <c r="R57" t="s">
        <v>27</v>
      </c>
      <c r="U57" t="s">
        <v>45</v>
      </c>
      <c r="V57">
        <v>3.3999999999999998E-3</v>
      </c>
      <c r="W57" t="s">
        <v>27</v>
      </c>
    </row>
    <row r="58" spans="1:23" x14ac:dyDescent="0.3">
      <c r="A58" t="s">
        <v>43</v>
      </c>
      <c r="B58">
        <v>46.632100000000001</v>
      </c>
      <c r="C58" t="s">
        <v>27</v>
      </c>
      <c r="F58" t="s">
        <v>49</v>
      </c>
      <c r="G58">
        <v>0.1709</v>
      </c>
      <c r="H58" t="s">
        <v>9</v>
      </c>
      <c r="K58" t="s">
        <v>31</v>
      </c>
      <c r="L58">
        <v>151.98740000000001</v>
      </c>
      <c r="M58" t="s">
        <v>33</v>
      </c>
      <c r="P58" t="s">
        <v>46</v>
      </c>
      <c r="Q58">
        <v>4.2500000000000003E-2</v>
      </c>
      <c r="R58" t="s">
        <v>27</v>
      </c>
      <c r="U58" t="s">
        <v>46</v>
      </c>
      <c r="V58">
        <v>1.11E-2</v>
      </c>
      <c r="W58" t="s">
        <v>27</v>
      </c>
    </row>
    <row r="59" spans="1:23" x14ac:dyDescent="0.3">
      <c r="A59" t="s">
        <v>44</v>
      </c>
      <c r="B59">
        <v>0.94220000000000004</v>
      </c>
      <c r="C59" t="s">
        <v>27</v>
      </c>
      <c r="F59" t="s">
        <v>50</v>
      </c>
      <c r="G59">
        <v>4.0340999999999996</v>
      </c>
      <c r="H59" t="s">
        <v>27</v>
      </c>
      <c r="K59" t="s">
        <v>63</v>
      </c>
      <c r="P59" t="s">
        <v>47</v>
      </c>
      <c r="Q59">
        <v>93.489400000000003</v>
      </c>
      <c r="R59" t="s">
        <v>73</v>
      </c>
      <c r="U59" t="s">
        <v>47</v>
      </c>
      <c r="V59">
        <v>24.3431</v>
      </c>
      <c r="W59" t="s">
        <v>73</v>
      </c>
    </row>
    <row r="60" spans="1:23" x14ac:dyDescent="0.3">
      <c r="A60" t="s">
        <v>45</v>
      </c>
      <c r="B60">
        <v>8.0970999999999993</v>
      </c>
      <c r="C60" t="s">
        <v>27</v>
      </c>
      <c r="F60" t="s">
        <v>51</v>
      </c>
      <c r="G60">
        <v>3.7658999999999998</v>
      </c>
      <c r="H60" t="s">
        <v>27</v>
      </c>
      <c r="K60" t="s">
        <v>1</v>
      </c>
      <c r="P60" t="s">
        <v>49</v>
      </c>
      <c r="Q60">
        <v>0.27800000000000002</v>
      </c>
      <c r="R60" t="s">
        <v>48</v>
      </c>
      <c r="U60" t="s">
        <v>49</v>
      </c>
      <c r="V60">
        <v>72.397599999999997</v>
      </c>
      <c r="W60" t="s">
        <v>73</v>
      </c>
    </row>
    <row r="61" spans="1:23" x14ac:dyDescent="0.3">
      <c r="A61" t="s">
        <v>46</v>
      </c>
      <c r="B61">
        <v>7.7510000000000003</v>
      </c>
      <c r="C61" t="s">
        <v>27</v>
      </c>
      <c r="F61" t="s">
        <v>52</v>
      </c>
      <c r="G61">
        <v>3.4</v>
      </c>
      <c r="H61" t="s">
        <v>27</v>
      </c>
      <c r="K61" t="s">
        <v>0</v>
      </c>
      <c r="P61" t="s">
        <v>50</v>
      </c>
      <c r="Q61">
        <v>2.1358000000000001</v>
      </c>
      <c r="R61" t="s">
        <v>27</v>
      </c>
      <c r="U61" t="s">
        <v>50</v>
      </c>
      <c r="V61">
        <v>0.55610000000000004</v>
      </c>
      <c r="W61" t="s">
        <v>27</v>
      </c>
    </row>
    <row r="62" spans="1:23" x14ac:dyDescent="0.3">
      <c r="A62" t="s">
        <v>47</v>
      </c>
      <c r="B62">
        <v>58.094499999999996</v>
      </c>
      <c r="C62" t="s">
        <v>48</v>
      </c>
      <c r="F62" t="s">
        <v>53</v>
      </c>
      <c r="G62">
        <v>7.1000000000000004E-3</v>
      </c>
      <c r="H62" t="s">
        <v>27</v>
      </c>
      <c r="K62" t="s">
        <v>2</v>
      </c>
      <c r="L62">
        <v>16.542400000000001</v>
      </c>
      <c r="M62" t="s">
        <v>3</v>
      </c>
      <c r="P62" t="s">
        <v>51</v>
      </c>
      <c r="Q62">
        <v>1.9938</v>
      </c>
      <c r="R62" t="s">
        <v>27</v>
      </c>
      <c r="U62" t="s">
        <v>51</v>
      </c>
      <c r="V62">
        <v>0.51910000000000001</v>
      </c>
      <c r="W62" t="s">
        <v>27</v>
      </c>
    </row>
    <row r="63" spans="1:23" x14ac:dyDescent="0.3">
      <c r="A63" t="s">
        <v>49</v>
      </c>
      <c r="B63">
        <v>0.17280000000000001</v>
      </c>
      <c r="C63" t="s">
        <v>9</v>
      </c>
      <c r="F63" t="s">
        <v>20</v>
      </c>
      <c r="G63" t="s">
        <v>54</v>
      </c>
      <c r="K63" t="s">
        <v>4</v>
      </c>
      <c r="L63">
        <v>16.5426</v>
      </c>
      <c r="M63" t="s">
        <v>3</v>
      </c>
      <c r="P63" t="s">
        <v>52</v>
      </c>
      <c r="Q63">
        <v>1.8</v>
      </c>
      <c r="R63" t="s">
        <v>27</v>
      </c>
      <c r="U63" t="s">
        <v>52</v>
      </c>
      <c r="V63">
        <v>0.46870000000000001</v>
      </c>
      <c r="W63" t="s">
        <v>27</v>
      </c>
    </row>
    <row r="64" spans="1:23" x14ac:dyDescent="0.3">
      <c r="A64" t="s">
        <v>50</v>
      </c>
      <c r="B64">
        <v>4.2845000000000004</v>
      </c>
      <c r="C64" t="s">
        <v>27</v>
      </c>
      <c r="F64" t="s">
        <v>55</v>
      </c>
      <c r="G64">
        <v>1714.7302</v>
      </c>
      <c r="H64" t="s">
        <v>27</v>
      </c>
      <c r="K64" t="s">
        <v>5</v>
      </c>
      <c r="L64" s="1">
        <v>-1.9322999999999999E-7</v>
      </c>
      <c r="M64" t="s">
        <v>6</v>
      </c>
      <c r="P64" t="s">
        <v>53</v>
      </c>
      <c r="Q64" s="1">
        <v>1.1569000000000001E-5</v>
      </c>
      <c r="R64" t="s">
        <v>27</v>
      </c>
      <c r="U64" t="s">
        <v>53</v>
      </c>
      <c r="V64" s="1">
        <v>3.0122999999999999E-6</v>
      </c>
      <c r="W64" t="s">
        <v>27</v>
      </c>
    </row>
    <row r="65" spans="1:23" x14ac:dyDescent="0.3">
      <c r="A65" t="s">
        <v>51</v>
      </c>
      <c r="B65">
        <v>3.9996</v>
      </c>
      <c r="C65" t="s">
        <v>27</v>
      </c>
      <c r="F65" t="s">
        <v>56</v>
      </c>
      <c r="G65">
        <v>1668.5914</v>
      </c>
      <c r="H65" t="s">
        <v>27</v>
      </c>
      <c r="K65" t="s">
        <v>8</v>
      </c>
      <c r="L65">
        <v>0.93300000000000005</v>
      </c>
      <c r="M65" t="s">
        <v>9</v>
      </c>
      <c r="P65" t="s">
        <v>20</v>
      </c>
      <c r="Q65" t="s">
        <v>54</v>
      </c>
      <c r="U65" t="s">
        <v>20</v>
      </c>
      <c r="V65" t="s">
        <v>54</v>
      </c>
    </row>
    <row r="66" spans="1:23" x14ac:dyDescent="0.3">
      <c r="A66" t="s">
        <v>52</v>
      </c>
      <c r="B66">
        <v>3.6110000000000002</v>
      </c>
      <c r="C66" t="s">
        <v>27</v>
      </c>
      <c r="F66" t="s">
        <v>57</v>
      </c>
      <c r="G66" s="2">
        <v>1634.7449999999999</v>
      </c>
      <c r="H66" t="s">
        <v>27</v>
      </c>
      <c r="K66" t="s">
        <v>10</v>
      </c>
      <c r="L66">
        <v>2.3239000000000001</v>
      </c>
      <c r="M66" t="s">
        <v>9</v>
      </c>
      <c r="P66" t="s">
        <v>55</v>
      </c>
      <c r="Q66">
        <v>947.9819</v>
      </c>
      <c r="R66" t="s">
        <v>27</v>
      </c>
      <c r="U66" t="s">
        <v>55</v>
      </c>
      <c r="V66">
        <v>947.86</v>
      </c>
      <c r="W66" t="s">
        <v>27</v>
      </c>
    </row>
    <row r="67" spans="1:23" x14ac:dyDescent="0.3">
      <c r="A67" t="s">
        <v>53</v>
      </c>
      <c r="B67" s="1">
        <v>7.1999999999999998E-3</v>
      </c>
      <c r="C67" t="s">
        <v>27</v>
      </c>
      <c r="F67" t="s">
        <v>58</v>
      </c>
      <c r="G67">
        <v>1264.1812</v>
      </c>
      <c r="H67" t="s">
        <v>27</v>
      </c>
      <c r="K67" t="s">
        <v>11</v>
      </c>
      <c r="L67">
        <v>3.0146999999999999</v>
      </c>
      <c r="M67" t="s">
        <v>9</v>
      </c>
      <c r="P67" t="s">
        <v>56</v>
      </c>
      <c r="Q67">
        <v>947.90689999999995</v>
      </c>
      <c r="R67" t="s">
        <v>27</v>
      </c>
      <c r="U67" t="s">
        <v>56</v>
      </c>
      <c r="V67">
        <v>947.84050000000002</v>
      </c>
      <c r="W67" t="s">
        <v>27</v>
      </c>
    </row>
    <row r="68" spans="1:23" x14ac:dyDescent="0.3">
      <c r="A68" t="s">
        <v>20</v>
      </c>
      <c r="B68" t="s">
        <v>54</v>
      </c>
      <c r="F68" t="s">
        <v>59</v>
      </c>
      <c r="G68">
        <v>1063.4432999999999</v>
      </c>
      <c r="H68" t="s">
        <v>27</v>
      </c>
      <c r="K68" t="s">
        <v>12</v>
      </c>
      <c r="L68">
        <v>0.41270000000000001</v>
      </c>
      <c r="M68" t="s">
        <v>9</v>
      </c>
      <c r="P68" t="s">
        <v>57</v>
      </c>
      <c r="Q68">
        <v>947.82209999999998</v>
      </c>
      <c r="R68" t="s">
        <v>27</v>
      </c>
      <c r="U68" t="s">
        <v>57</v>
      </c>
      <c r="V68">
        <v>947.8184</v>
      </c>
      <c r="W68" t="s">
        <v>27</v>
      </c>
    </row>
    <row r="69" spans="1:23" x14ac:dyDescent="0.3">
      <c r="A69" t="s">
        <v>55</v>
      </c>
      <c r="B69">
        <v>1715.8906999999999</v>
      </c>
      <c r="C69" t="s">
        <v>27</v>
      </c>
      <c r="F69" t="s">
        <v>60</v>
      </c>
      <c r="G69">
        <v>145.76949999999999</v>
      </c>
      <c r="H69" t="s">
        <v>27</v>
      </c>
      <c r="K69" t="s">
        <v>13</v>
      </c>
      <c r="L69">
        <v>0.39710000000000001</v>
      </c>
      <c r="M69" t="s">
        <v>9</v>
      </c>
      <c r="P69" t="s">
        <v>58</v>
      </c>
      <c r="Q69">
        <v>32.691899999999997</v>
      </c>
      <c r="R69" t="s">
        <v>27</v>
      </c>
      <c r="U69" t="s">
        <v>58</v>
      </c>
      <c r="V69">
        <v>8.5123999999999995</v>
      </c>
      <c r="W69" t="s">
        <v>27</v>
      </c>
    </row>
    <row r="70" spans="1:23" x14ac:dyDescent="0.3">
      <c r="A70" t="s">
        <v>56</v>
      </c>
      <c r="B70">
        <v>1669.2585999999999</v>
      </c>
      <c r="C70" t="s">
        <v>27</v>
      </c>
      <c r="F70" t="s">
        <v>61</v>
      </c>
      <c r="G70">
        <v>54.968400000000003</v>
      </c>
      <c r="H70" t="s">
        <v>27</v>
      </c>
      <c r="K70" t="s">
        <v>14</v>
      </c>
      <c r="L70">
        <v>0.38790000000000002</v>
      </c>
      <c r="M70" t="s">
        <v>9</v>
      </c>
      <c r="P70" t="s">
        <v>61</v>
      </c>
      <c r="Q70">
        <v>29.101900000000001</v>
      </c>
      <c r="R70" t="s">
        <v>27</v>
      </c>
      <c r="U70" t="s">
        <v>61</v>
      </c>
      <c r="V70">
        <v>7.5776000000000003</v>
      </c>
      <c r="W70" t="s">
        <v>27</v>
      </c>
    </row>
    <row r="71" spans="1:23" x14ac:dyDescent="0.3">
      <c r="A71" t="s">
        <v>57</v>
      </c>
      <c r="B71" s="2">
        <v>1634.8518999999999</v>
      </c>
      <c r="C71" t="s">
        <v>27</v>
      </c>
      <c r="F71" t="s">
        <v>62</v>
      </c>
      <c r="G71">
        <v>46.1389</v>
      </c>
      <c r="H71" t="s">
        <v>27</v>
      </c>
      <c r="K71" t="s">
        <v>15</v>
      </c>
      <c r="L71">
        <v>13.420400000000001</v>
      </c>
      <c r="M71" t="s">
        <v>9</v>
      </c>
      <c r="P71" t="s">
        <v>59</v>
      </c>
      <c r="Q71">
        <v>3.3613</v>
      </c>
      <c r="R71" t="s">
        <v>27</v>
      </c>
      <c r="U71" t="s">
        <v>59</v>
      </c>
      <c r="V71">
        <v>0.87519999999999998</v>
      </c>
      <c r="W71" t="s">
        <v>27</v>
      </c>
    </row>
    <row r="72" spans="1:23" x14ac:dyDescent="0.3">
      <c r="A72" t="s">
        <v>58</v>
      </c>
      <c r="B72">
        <v>1271.8656000000001</v>
      </c>
      <c r="C72" t="s">
        <v>27</v>
      </c>
      <c r="F72" t="s">
        <v>31</v>
      </c>
      <c r="G72">
        <v>3.2623000000000002</v>
      </c>
      <c r="H72" t="s">
        <v>30</v>
      </c>
      <c r="K72" t="s">
        <v>16</v>
      </c>
      <c r="L72">
        <v>0.2432</v>
      </c>
      <c r="M72" t="s">
        <v>9</v>
      </c>
      <c r="P72" t="s">
        <v>60</v>
      </c>
      <c r="Q72">
        <v>0.22869999999999999</v>
      </c>
      <c r="R72" t="s">
        <v>27</v>
      </c>
      <c r="U72" t="s">
        <v>60</v>
      </c>
      <c r="V72">
        <v>5.96E-2</v>
      </c>
      <c r="W72" t="s">
        <v>27</v>
      </c>
    </row>
    <row r="73" spans="1:23" x14ac:dyDescent="0.3">
      <c r="A73" t="s">
        <v>59</v>
      </c>
      <c r="B73">
        <v>1066.1581000000001</v>
      </c>
      <c r="C73" t="s">
        <v>27</v>
      </c>
      <c r="F73" t="s">
        <v>67</v>
      </c>
      <c r="K73" t="s">
        <v>18</v>
      </c>
      <c r="L73">
        <v>24.900600000000001</v>
      </c>
      <c r="M73" t="s">
        <v>48</v>
      </c>
      <c r="P73" t="s">
        <v>62</v>
      </c>
      <c r="Q73">
        <v>7.4999999999999997E-2</v>
      </c>
      <c r="R73" t="s">
        <v>27</v>
      </c>
      <c r="U73" t="s">
        <v>62</v>
      </c>
      <c r="V73">
        <v>1.95E-2</v>
      </c>
      <c r="W73" t="s">
        <v>27</v>
      </c>
    </row>
    <row r="74" spans="1:23" x14ac:dyDescent="0.3">
      <c r="A74" t="s">
        <v>60</v>
      </c>
      <c r="B74">
        <v>147.327</v>
      </c>
      <c r="C74" t="s">
        <v>27</v>
      </c>
      <c r="F74" t="s">
        <v>26</v>
      </c>
      <c r="G74">
        <v>2511.7354</v>
      </c>
      <c r="H74" t="s">
        <v>27</v>
      </c>
      <c r="K74" t="s">
        <v>19</v>
      </c>
      <c r="L74">
        <v>67.718100000000007</v>
      </c>
      <c r="M74" t="s">
        <v>48</v>
      </c>
      <c r="P74" t="s">
        <v>31</v>
      </c>
      <c r="Q74">
        <v>2.4552</v>
      </c>
      <c r="R74" t="s">
        <v>33</v>
      </c>
      <c r="U74" t="s">
        <v>31</v>
      </c>
      <c r="V74">
        <v>0.63929999999999998</v>
      </c>
      <c r="W74" t="s">
        <v>33</v>
      </c>
    </row>
    <row r="75" spans="1:23" x14ac:dyDescent="0.3">
      <c r="A75" t="s">
        <v>61</v>
      </c>
      <c r="B75">
        <v>58.380499999999998</v>
      </c>
      <c r="C75" t="s">
        <v>27</v>
      </c>
      <c r="F75" t="s">
        <v>28</v>
      </c>
      <c r="G75">
        <v>3.262</v>
      </c>
      <c r="H75" t="s">
        <v>6</v>
      </c>
      <c r="K75" t="s">
        <v>20</v>
      </c>
      <c r="P75" t="s">
        <v>67</v>
      </c>
      <c r="U75" t="s">
        <v>67</v>
      </c>
    </row>
    <row r="76" spans="1:23" x14ac:dyDescent="0.3">
      <c r="A76" t="s">
        <v>62</v>
      </c>
      <c r="B76">
        <v>46.632100000000001</v>
      </c>
      <c r="C76" t="s">
        <v>27</v>
      </c>
      <c r="F76" t="s">
        <v>29</v>
      </c>
      <c r="G76">
        <v>3.1951999999999998</v>
      </c>
      <c r="H76" t="s">
        <v>6</v>
      </c>
      <c r="K76" t="s">
        <v>21</v>
      </c>
      <c r="L76">
        <v>17.0153</v>
      </c>
      <c r="M76" t="s">
        <v>3</v>
      </c>
      <c r="P76" t="s">
        <v>26</v>
      </c>
      <c r="Q76">
        <v>968.40030000000002</v>
      </c>
      <c r="R76" t="s">
        <v>27</v>
      </c>
      <c r="U76" t="s">
        <v>26</v>
      </c>
      <c r="V76">
        <v>955.06349999999998</v>
      </c>
      <c r="W76" t="s">
        <v>27</v>
      </c>
    </row>
    <row r="77" spans="1:23" x14ac:dyDescent="0.3">
      <c r="A77" t="s">
        <v>31</v>
      </c>
      <c r="B77">
        <v>3.2624</v>
      </c>
      <c r="C77" t="s">
        <v>30</v>
      </c>
      <c r="F77" t="s">
        <v>31</v>
      </c>
      <c r="G77">
        <v>66.794700000000006</v>
      </c>
      <c r="H77" t="s">
        <v>3</v>
      </c>
      <c r="K77" t="s">
        <v>22</v>
      </c>
      <c r="L77">
        <v>17.7226</v>
      </c>
      <c r="M77" t="s">
        <v>3</v>
      </c>
      <c r="P77" t="s">
        <v>74</v>
      </c>
      <c r="Q77">
        <v>20.583200000000001</v>
      </c>
      <c r="R77" t="s">
        <v>27</v>
      </c>
      <c r="U77" t="s">
        <v>77</v>
      </c>
      <c r="V77">
        <v>7.2462999999999997</v>
      </c>
      <c r="W77" t="s">
        <v>27</v>
      </c>
    </row>
    <row r="78" spans="1:23" x14ac:dyDescent="0.3">
      <c r="A78" t="s">
        <v>67</v>
      </c>
      <c r="F78" t="s">
        <v>68</v>
      </c>
      <c r="G78">
        <v>675.89269999999999</v>
      </c>
      <c r="H78" t="s">
        <v>27</v>
      </c>
      <c r="P78" t="s">
        <v>39</v>
      </c>
      <c r="Q78" s="2">
        <v>947.81709999999998</v>
      </c>
      <c r="R78" t="s">
        <v>27</v>
      </c>
      <c r="U78" t="s">
        <v>39</v>
      </c>
      <c r="V78">
        <v>947.81709999999998</v>
      </c>
      <c r="W78" t="s">
        <v>27</v>
      </c>
    </row>
    <row r="79" spans="1:23" x14ac:dyDescent="0.3">
      <c r="A79" t="s">
        <v>26</v>
      </c>
      <c r="B79">
        <v>953.49890000000005</v>
      </c>
      <c r="C79" t="s">
        <v>27</v>
      </c>
      <c r="F79" t="s">
        <v>39</v>
      </c>
      <c r="G79" s="2">
        <v>1631.6828</v>
      </c>
      <c r="H79" t="s">
        <v>27</v>
      </c>
      <c r="P79" t="s">
        <v>20</v>
      </c>
      <c r="Q79" t="s">
        <v>54</v>
      </c>
      <c r="U79" t="s">
        <v>20</v>
      </c>
      <c r="V79" t="s">
        <v>54</v>
      </c>
    </row>
    <row r="80" spans="1:23" x14ac:dyDescent="0.3">
      <c r="A80" t="s">
        <v>74</v>
      </c>
      <c r="B80">
        <v>0.91969999999999996</v>
      </c>
      <c r="C80" t="s">
        <v>27</v>
      </c>
      <c r="F80" t="s">
        <v>69</v>
      </c>
      <c r="G80">
        <v>204.15989999999999</v>
      </c>
      <c r="H80" t="s">
        <v>27</v>
      </c>
      <c r="P80" t="s">
        <v>56</v>
      </c>
      <c r="Q80">
        <v>947.81709999999998</v>
      </c>
      <c r="R80" t="s">
        <v>27</v>
      </c>
      <c r="U80" t="s">
        <v>56</v>
      </c>
      <c r="V80">
        <v>947.81709999999998</v>
      </c>
      <c r="W80" t="s">
        <v>27</v>
      </c>
    </row>
    <row r="81" spans="1:23" x14ac:dyDescent="0.3">
      <c r="A81" t="s">
        <v>77</v>
      </c>
      <c r="B81">
        <v>2.2953000000000001</v>
      </c>
      <c r="C81" t="s">
        <v>27</v>
      </c>
      <c r="F81" t="s">
        <v>70</v>
      </c>
      <c r="G81">
        <v>23.0838</v>
      </c>
      <c r="H81" t="s">
        <v>9</v>
      </c>
      <c r="P81" t="s">
        <v>57</v>
      </c>
      <c r="Q81">
        <v>947.81709999999998</v>
      </c>
      <c r="R81" t="s">
        <v>27</v>
      </c>
      <c r="U81" t="s">
        <v>57</v>
      </c>
      <c r="V81">
        <v>947.81709999999998</v>
      </c>
      <c r="W81" t="s">
        <v>27</v>
      </c>
    </row>
    <row r="82" spans="1:23" x14ac:dyDescent="0.3">
      <c r="A82" t="s">
        <v>69</v>
      </c>
      <c r="B82">
        <v>2.4237000000000002</v>
      </c>
      <c r="C82" t="s">
        <v>27</v>
      </c>
      <c r="F82" t="s">
        <v>71</v>
      </c>
      <c r="G82">
        <v>0.11940000000000001</v>
      </c>
      <c r="H82" t="s">
        <v>3</v>
      </c>
      <c r="P82" t="s">
        <v>55</v>
      </c>
      <c r="Q82">
        <v>947.81709999999998</v>
      </c>
      <c r="R82" t="s">
        <v>27</v>
      </c>
      <c r="U82" t="s">
        <v>55</v>
      </c>
      <c r="V82">
        <v>947.81709999999998</v>
      </c>
      <c r="W82" t="s">
        <v>27</v>
      </c>
    </row>
    <row r="83" spans="1:23" x14ac:dyDescent="0.3">
      <c r="A83" t="s">
        <v>84</v>
      </c>
      <c r="B83" s="2">
        <v>947.86019999999996</v>
      </c>
      <c r="C83" t="s">
        <v>27</v>
      </c>
      <c r="F83" t="s">
        <v>20</v>
      </c>
      <c r="G83" t="s">
        <v>54</v>
      </c>
      <c r="P83" t="s">
        <v>63</v>
      </c>
      <c r="U83" t="s">
        <v>63</v>
      </c>
    </row>
    <row r="84" spans="1:23" x14ac:dyDescent="0.3">
      <c r="A84" t="s">
        <v>20</v>
      </c>
      <c r="B84" t="s">
        <v>54</v>
      </c>
      <c r="F84" t="s">
        <v>56</v>
      </c>
      <c r="G84">
        <v>1631.6828</v>
      </c>
      <c r="H84" t="s">
        <v>27</v>
      </c>
      <c r="P84" t="s">
        <v>1</v>
      </c>
      <c r="U84" t="s">
        <v>1</v>
      </c>
    </row>
    <row r="85" spans="1:23" x14ac:dyDescent="0.3">
      <c r="A85" t="s">
        <v>63</v>
      </c>
      <c r="F85" t="s">
        <v>57</v>
      </c>
      <c r="G85" s="2">
        <v>1631.6828</v>
      </c>
      <c r="H85" t="s">
        <v>27</v>
      </c>
      <c r="P85" t="s">
        <v>0</v>
      </c>
      <c r="U85" t="s">
        <v>0</v>
      </c>
    </row>
    <row r="86" spans="1:23" x14ac:dyDescent="0.3">
      <c r="A86" t="s">
        <v>1</v>
      </c>
      <c r="F86" t="s">
        <v>55</v>
      </c>
      <c r="G86">
        <v>1631.6828</v>
      </c>
      <c r="H86" t="s">
        <v>27</v>
      </c>
      <c r="P86" t="s">
        <v>2</v>
      </c>
      <c r="Q86">
        <v>0.22359999999999999</v>
      </c>
      <c r="R86" t="s">
        <v>3</v>
      </c>
      <c r="U86" t="s">
        <v>2</v>
      </c>
      <c r="V86">
        <v>37.344299999999997</v>
      </c>
      <c r="W86" t="s">
        <v>9</v>
      </c>
    </row>
    <row r="87" spans="1:23" x14ac:dyDescent="0.3">
      <c r="A87" t="s">
        <v>0</v>
      </c>
      <c r="F87" t="s">
        <v>31</v>
      </c>
      <c r="G87">
        <v>3.262</v>
      </c>
      <c r="H87" t="s">
        <v>6</v>
      </c>
      <c r="P87" t="s">
        <v>4</v>
      </c>
      <c r="Q87">
        <v>0.22359999999999999</v>
      </c>
      <c r="R87" t="s">
        <v>3</v>
      </c>
      <c r="U87" t="s">
        <v>4</v>
      </c>
      <c r="V87">
        <v>37.3459</v>
      </c>
      <c r="W87" t="s">
        <v>9</v>
      </c>
    </row>
    <row r="88" spans="1:23" x14ac:dyDescent="0.3">
      <c r="A88" t="s">
        <v>2</v>
      </c>
      <c r="B88">
        <v>21.295999999999999</v>
      </c>
      <c r="C88" t="s">
        <v>3</v>
      </c>
      <c r="F88" t="s">
        <v>63</v>
      </c>
      <c r="P88" t="s">
        <v>5</v>
      </c>
      <c r="Q88" s="1">
        <v>-6.2661000000000001E-9</v>
      </c>
      <c r="R88" t="s">
        <v>6</v>
      </c>
      <c r="U88" t="s">
        <v>5</v>
      </c>
      <c r="V88" s="1">
        <v>-1.6316E-9</v>
      </c>
      <c r="W88" t="s">
        <v>6</v>
      </c>
    </row>
    <row r="89" spans="1:23" x14ac:dyDescent="0.3">
      <c r="A89" t="s">
        <v>4</v>
      </c>
      <c r="B89">
        <v>21.299900000000001</v>
      </c>
      <c r="C89" t="s">
        <v>3</v>
      </c>
      <c r="F89" t="s">
        <v>1</v>
      </c>
      <c r="P89" t="s">
        <v>8</v>
      </c>
      <c r="Q89">
        <v>84.052199999999999</v>
      </c>
      <c r="R89" t="s">
        <v>48</v>
      </c>
      <c r="U89" t="s">
        <v>8</v>
      </c>
      <c r="V89">
        <v>20.065200000000001</v>
      </c>
      <c r="W89" t="s">
        <v>48</v>
      </c>
    </row>
    <row r="90" spans="1:23" x14ac:dyDescent="0.3">
      <c r="A90" t="s">
        <v>5</v>
      </c>
      <c r="B90" s="1">
        <v>-3.8937999999999999E-6</v>
      </c>
      <c r="C90" t="s">
        <v>6</v>
      </c>
      <c r="F90" t="s">
        <v>0</v>
      </c>
      <c r="P90" t="s">
        <v>10</v>
      </c>
      <c r="Q90">
        <v>0.24729999999999999</v>
      </c>
      <c r="R90" t="s">
        <v>9</v>
      </c>
      <c r="U90" t="s">
        <v>10</v>
      </c>
      <c r="V90">
        <v>13.712199999999999</v>
      </c>
      <c r="W90" t="s">
        <v>48</v>
      </c>
    </row>
    <row r="91" spans="1:23" x14ac:dyDescent="0.3">
      <c r="A91" t="s">
        <v>7</v>
      </c>
      <c r="B91">
        <v>0</v>
      </c>
      <c r="C91" t="s">
        <v>6</v>
      </c>
      <c r="F91" t="s">
        <v>2</v>
      </c>
      <c r="G91">
        <v>21.1114</v>
      </c>
      <c r="H91" t="s">
        <v>3</v>
      </c>
      <c r="P91" t="s">
        <v>11</v>
      </c>
      <c r="Q91">
        <v>0.20230000000000001</v>
      </c>
      <c r="R91" t="s">
        <v>9</v>
      </c>
      <c r="U91" t="s">
        <v>11</v>
      </c>
      <c r="V91">
        <v>20.878599999999999</v>
      </c>
      <c r="W91" t="s">
        <v>48</v>
      </c>
    </row>
    <row r="92" spans="1:23" x14ac:dyDescent="0.3">
      <c r="A92" t="s">
        <v>8</v>
      </c>
      <c r="B92">
        <v>1.7402</v>
      </c>
      <c r="C92" t="s">
        <v>9</v>
      </c>
      <c r="F92" t="s">
        <v>4</v>
      </c>
      <c r="G92">
        <v>21.115300000000001</v>
      </c>
      <c r="H92" t="s">
        <v>3</v>
      </c>
      <c r="P92" t="s">
        <v>12</v>
      </c>
      <c r="Q92">
        <v>20.365200000000002</v>
      </c>
      <c r="R92" t="s">
        <v>48</v>
      </c>
      <c r="U92" t="s">
        <v>12</v>
      </c>
      <c r="V92">
        <v>3.5985</v>
      </c>
      <c r="W92" t="s">
        <v>48</v>
      </c>
    </row>
    <row r="93" spans="1:23" x14ac:dyDescent="0.3">
      <c r="A93" t="s">
        <v>10</v>
      </c>
      <c r="B93">
        <v>4.7710999999999997</v>
      </c>
      <c r="C93" t="s">
        <v>9</v>
      </c>
      <c r="F93" t="s">
        <v>5</v>
      </c>
      <c r="G93" s="1">
        <v>-3.8526000000000002E-6</v>
      </c>
      <c r="H93" t="s">
        <v>6</v>
      </c>
      <c r="P93" t="s">
        <v>13</v>
      </c>
      <c r="Q93">
        <v>12.9956</v>
      </c>
      <c r="R93" t="s">
        <v>48</v>
      </c>
      <c r="U93" t="s">
        <v>13</v>
      </c>
      <c r="V93">
        <v>3.0931000000000002</v>
      </c>
      <c r="W93" t="s">
        <v>48</v>
      </c>
    </row>
    <row r="94" spans="1:23" x14ac:dyDescent="0.3">
      <c r="A94" t="s">
        <v>11</v>
      </c>
      <c r="B94">
        <v>7.9972000000000003</v>
      </c>
      <c r="C94" t="s">
        <v>9</v>
      </c>
      <c r="F94" t="s">
        <v>7</v>
      </c>
      <c r="G94">
        <v>0</v>
      </c>
      <c r="H94" t="s">
        <v>6</v>
      </c>
      <c r="P94" t="s">
        <v>14</v>
      </c>
      <c r="Q94">
        <v>29.211400000000001</v>
      </c>
      <c r="R94" t="s">
        <v>48</v>
      </c>
      <c r="U94" t="s">
        <v>14</v>
      </c>
      <c r="V94">
        <v>7.4602000000000004</v>
      </c>
      <c r="W94" t="s">
        <v>48</v>
      </c>
    </row>
    <row r="95" spans="1:23" x14ac:dyDescent="0.3">
      <c r="A95" t="s">
        <v>12</v>
      </c>
      <c r="B95">
        <v>0.93659999999999999</v>
      </c>
      <c r="C95" t="s">
        <v>9</v>
      </c>
      <c r="F95" t="s">
        <v>8</v>
      </c>
      <c r="G95">
        <v>1.0296000000000001</v>
      </c>
      <c r="H95" t="s">
        <v>9</v>
      </c>
      <c r="P95" t="s">
        <v>15</v>
      </c>
      <c r="Q95">
        <v>85.668999999999997</v>
      </c>
      <c r="R95" t="s">
        <v>48</v>
      </c>
      <c r="U95" t="s">
        <v>15</v>
      </c>
      <c r="V95">
        <v>22.057200000000002</v>
      </c>
      <c r="W95" t="s">
        <v>48</v>
      </c>
    </row>
    <row r="96" spans="1:23" x14ac:dyDescent="0.3">
      <c r="A96" t="s">
        <v>13</v>
      </c>
      <c r="B96">
        <v>0.81169999999999998</v>
      </c>
      <c r="C96" t="s">
        <v>9</v>
      </c>
      <c r="F96" t="s">
        <v>10</v>
      </c>
      <c r="G96">
        <v>4.5732999999999997</v>
      </c>
      <c r="H96" t="s">
        <v>9</v>
      </c>
      <c r="P96" t="s">
        <v>16</v>
      </c>
      <c r="Q96">
        <v>1.7565</v>
      </c>
      <c r="R96" t="s">
        <v>48</v>
      </c>
      <c r="U96" t="s">
        <v>16</v>
      </c>
      <c r="V96">
        <v>0.4239</v>
      </c>
      <c r="W96" t="s">
        <v>48</v>
      </c>
    </row>
    <row r="97" spans="1:23" x14ac:dyDescent="0.3">
      <c r="A97" t="s">
        <v>14</v>
      </c>
      <c r="B97">
        <v>5.5537000000000001</v>
      </c>
      <c r="C97" t="s">
        <v>9</v>
      </c>
      <c r="F97" t="s">
        <v>11</v>
      </c>
      <c r="G97">
        <v>7.6852999999999998</v>
      </c>
      <c r="H97" t="s">
        <v>9</v>
      </c>
      <c r="P97" t="s">
        <v>18</v>
      </c>
      <c r="Q97">
        <v>1.5421</v>
      </c>
      <c r="R97" t="s">
        <v>48</v>
      </c>
      <c r="U97" t="s">
        <v>18</v>
      </c>
      <c r="V97">
        <v>0.3916</v>
      </c>
      <c r="W97" t="s">
        <v>48</v>
      </c>
    </row>
    <row r="98" spans="1:23" x14ac:dyDescent="0.3">
      <c r="A98" t="s">
        <v>15</v>
      </c>
      <c r="B98">
        <v>12.131399999999999</v>
      </c>
      <c r="C98" t="s">
        <v>9</v>
      </c>
      <c r="F98" t="s">
        <v>12</v>
      </c>
      <c r="G98">
        <v>0.91920000000000002</v>
      </c>
      <c r="H98" t="s">
        <v>9</v>
      </c>
      <c r="P98" t="s">
        <v>19</v>
      </c>
      <c r="Q98">
        <v>2.1821000000000002</v>
      </c>
      <c r="R98" t="s">
        <v>48</v>
      </c>
      <c r="U98" t="s">
        <v>19</v>
      </c>
      <c r="V98">
        <v>0.54979999999999996</v>
      </c>
      <c r="W98" t="s">
        <v>48</v>
      </c>
    </row>
    <row r="99" spans="1:23" x14ac:dyDescent="0.3">
      <c r="A99" t="s">
        <v>16</v>
      </c>
      <c r="B99">
        <v>0.33600000000000002</v>
      </c>
      <c r="C99" t="s">
        <v>9</v>
      </c>
      <c r="F99" t="s">
        <v>13</v>
      </c>
      <c r="G99">
        <v>0.79910000000000003</v>
      </c>
      <c r="H99" t="s">
        <v>9</v>
      </c>
      <c r="P99" t="s">
        <v>20</v>
      </c>
      <c r="U99" t="s">
        <v>20</v>
      </c>
    </row>
    <row r="100" spans="1:23" x14ac:dyDescent="0.3">
      <c r="A100" t="s">
        <v>17</v>
      </c>
      <c r="B100">
        <v>0</v>
      </c>
      <c r="C100" t="s">
        <v>6</v>
      </c>
      <c r="F100" t="s">
        <v>14</v>
      </c>
      <c r="G100">
        <v>5.4934000000000003</v>
      </c>
      <c r="H100" t="s">
        <v>9</v>
      </c>
      <c r="P100" t="s">
        <v>21</v>
      </c>
      <c r="Q100">
        <v>0.2273</v>
      </c>
      <c r="R100" t="s">
        <v>3</v>
      </c>
      <c r="U100" t="s">
        <v>21</v>
      </c>
      <c r="V100">
        <v>38.2014</v>
      </c>
      <c r="W100" t="s">
        <v>9</v>
      </c>
    </row>
    <row r="101" spans="1:23" x14ac:dyDescent="0.3">
      <c r="A101" t="s">
        <v>18</v>
      </c>
      <c r="B101">
        <v>44.4651</v>
      </c>
      <c r="C101" t="s">
        <v>48</v>
      </c>
      <c r="F101" t="s">
        <v>15</v>
      </c>
      <c r="G101">
        <v>12.094200000000001</v>
      </c>
      <c r="H101" t="s">
        <v>9</v>
      </c>
      <c r="P101" t="s">
        <v>22</v>
      </c>
      <c r="Q101">
        <v>0.23180000000000001</v>
      </c>
      <c r="R101" t="s">
        <v>3</v>
      </c>
      <c r="U101" t="s">
        <v>22</v>
      </c>
      <c r="V101">
        <v>39.363799999999998</v>
      </c>
      <c r="W101" t="s">
        <v>9</v>
      </c>
    </row>
    <row r="102" spans="1:23" x14ac:dyDescent="0.3">
      <c r="A102" t="s">
        <v>19</v>
      </c>
      <c r="B102">
        <v>0.1918</v>
      </c>
      <c r="C102" t="s">
        <v>9</v>
      </c>
      <c r="F102" t="s">
        <v>16</v>
      </c>
      <c r="G102">
        <v>0.33350000000000002</v>
      </c>
      <c r="H102" t="s">
        <v>9</v>
      </c>
      <c r="P102" t="s">
        <v>67</v>
      </c>
      <c r="U102" t="s">
        <v>67</v>
      </c>
    </row>
    <row r="103" spans="1:23" x14ac:dyDescent="0.3">
      <c r="A103" t="s">
        <v>20</v>
      </c>
      <c r="F103" t="s">
        <v>17</v>
      </c>
      <c r="G103">
        <v>0</v>
      </c>
      <c r="H103" t="s">
        <v>6</v>
      </c>
      <c r="P103" t="s">
        <v>0</v>
      </c>
      <c r="U103" t="s">
        <v>0</v>
      </c>
    </row>
    <row r="104" spans="1:23" x14ac:dyDescent="0.3">
      <c r="A104" t="s">
        <v>21</v>
      </c>
      <c r="B104">
        <v>21.7622</v>
      </c>
      <c r="C104" t="s">
        <v>3</v>
      </c>
      <c r="F104" t="s">
        <v>18</v>
      </c>
      <c r="G104">
        <v>43.260899999999999</v>
      </c>
      <c r="H104" t="s">
        <v>48</v>
      </c>
      <c r="P104" t="s">
        <v>8</v>
      </c>
      <c r="Q104">
        <v>6.9919000000000002</v>
      </c>
      <c r="R104" t="s">
        <v>48</v>
      </c>
      <c r="U104" t="s">
        <v>8</v>
      </c>
      <c r="V104">
        <v>0</v>
      </c>
      <c r="W104" t="s">
        <v>6</v>
      </c>
    </row>
    <row r="105" spans="1:23" x14ac:dyDescent="0.3">
      <c r="A105" t="s">
        <v>22</v>
      </c>
      <c r="B105">
        <v>22.401499999999999</v>
      </c>
      <c r="C105" t="s">
        <v>3</v>
      </c>
      <c r="F105" t="s">
        <v>19</v>
      </c>
      <c r="G105">
        <v>0.18790000000000001</v>
      </c>
      <c r="H105" t="s">
        <v>9</v>
      </c>
      <c r="P105" t="s">
        <v>10</v>
      </c>
      <c r="Q105">
        <v>0.1946</v>
      </c>
      <c r="R105" t="s">
        <v>9</v>
      </c>
      <c r="U105" t="s">
        <v>10</v>
      </c>
      <c r="V105">
        <v>0</v>
      </c>
      <c r="W105" t="s">
        <v>6</v>
      </c>
    </row>
    <row r="106" spans="1:23" x14ac:dyDescent="0.3">
      <c r="A106" t="s">
        <v>67</v>
      </c>
      <c r="F106" t="s">
        <v>20</v>
      </c>
      <c r="P106" t="s">
        <v>11</v>
      </c>
      <c r="Q106">
        <v>0.1221</v>
      </c>
      <c r="R106" t="s">
        <v>9</v>
      </c>
      <c r="U106" t="s">
        <v>11</v>
      </c>
      <c r="V106">
        <v>0</v>
      </c>
      <c r="W106" t="s">
        <v>6</v>
      </c>
    </row>
    <row r="107" spans="1:23" x14ac:dyDescent="0.3">
      <c r="A107" t="s">
        <v>0</v>
      </c>
      <c r="F107" t="s">
        <v>21</v>
      </c>
      <c r="G107">
        <v>21.5733</v>
      </c>
      <c r="H107" t="s">
        <v>3</v>
      </c>
      <c r="P107" t="s">
        <v>12</v>
      </c>
      <c r="Q107">
        <v>6.5452000000000004</v>
      </c>
      <c r="R107" t="s">
        <v>48</v>
      </c>
      <c r="U107" t="s">
        <v>12</v>
      </c>
      <c r="V107">
        <v>0</v>
      </c>
      <c r="W107" t="s">
        <v>6</v>
      </c>
    </row>
    <row r="108" spans="1:23" x14ac:dyDescent="0.3">
      <c r="A108" t="s">
        <v>8</v>
      </c>
      <c r="B108">
        <v>0.69930000000000003</v>
      </c>
      <c r="C108" t="s">
        <v>9</v>
      </c>
      <c r="F108" t="s">
        <v>22</v>
      </c>
      <c r="G108">
        <v>22.210599999999999</v>
      </c>
      <c r="H108" t="s">
        <v>3</v>
      </c>
      <c r="P108" t="s">
        <v>13</v>
      </c>
      <c r="Q108">
        <v>1.1166</v>
      </c>
      <c r="R108" t="s">
        <v>48</v>
      </c>
      <c r="U108" t="s">
        <v>13</v>
      </c>
      <c r="V108">
        <v>0</v>
      </c>
      <c r="W108" t="s">
        <v>6</v>
      </c>
    </row>
    <row r="109" spans="1:23" x14ac:dyDescent="0.3">
      <c r="A109" t="s">
        <v>10</v>
      </c>
      <c r="B109">
        <v>0.16439999999999999</v>
      </c>
      <c r="C109" t="s">
        <v>9</v>
      </c>
      <c r="F109" t="s">
        <v>67</v>
      </c>
      <c r="P109" t="s">
        <v>14</v>
      </c>
      <c r="Q109">
        <v>0.56059999999999999</v>
      </c>
      <c r="R109" t="s">
        <v>48</v>
      </c>
      <c r="U109" t="s">
        <v>14</v>
      </c>
      <c r="V109">
        <v>0</v>
      </c>
      <c r="W109" t="s">
        <v>6</v>
      </c>
    </row>
    <row r="110" spans="1:23" x14ac:dyDescent="0.3">
      <c r="A110" t="s">
        <v>11</v>
      </c>
      <c r="B110">
        <v>0.24590000000000001</v>
      </c>
      <c r="C110" t="s">
        <v>9</v>
      </c>
      <c r="F110" t="s">
        <v>0</v>
      </c>
      <c r="P110" t="s">
        <v>15</v>
      </c>
      <c r="Q110">
        <v>0.95860000000000001</v>
      </c>
      <c r="R110" t="s">
        <v>48</v>
      </c>
      <c r="U110" t="s">
        <v>15</v>
      </c>
      <c r="V110">
        <v>0</v>
      </c>
      <c r="W110" t="s">
        <v>6</v>
      </c>
    </row>
    <row r="111" spans="1:23" x14ac:dyDescent="0.3">
      <c r="A111" t="s">
        <v>12</v>
      </c>
      <c r="B111">
        <v>9.3237000000000005</v>
      </c>
      <c r="C111" t="s">
        <v>48</v>
      </c>
      <c r="F111" t="s">
        <v>2</v>
      </c>
      <c r="G111">
        <v>0</v>
      </c>
      <c r="H111" t="s">
        <v>6</v>
      </c>
      <c r="P111" t="s">
        <v>16</v>
      </c>
      <c r="Q111">
        <v>0.12870000000000001</v>
      </c>
      <c r="R111" t="s">
        <v>48</v>
      </c>
      <c r="U111" t="s">
        <v>16</v>
      </c>
      <c r="V111">
        <v>0</v>
      </c>
      <c r="W111" t="s">
        <v>6</v>
      </c>
    </row>
    <row r="112" spans="1:23" x14ac:dyDescent="0.3">
      <c r="A112" t="s">
        <v>13</v>
      </c>
      <c r="B112">
        <v>5.8407999999999998</v>
      </c>
      <c r="C112" t="s">
        <v>48</v>
      </c>
      <c r="F112" t="s">
        <v>4</v>
      </c>
      <c r="G112">
        <v>0</v>
      </c>
      <c r="H112" t="s">
        <v>6</v>
      </c>
      <c r="P112" t="s">
        <v>4</v>
      </c>
      <c r="Q112">
        <v>80.149100000000004</v>
      </c>
      <c r="R112" t="s">
        <v>9</v>
      </c>
      <c r="U112" t="s">
        <v>4</v>
      </c>
      <c r="V112">
        <v>0</v>
      </c>
      <c r="W112" t="s">
        <v>6</v>
      </c>
    </row>
    <row r="113" spans="1:23" x14ac:dyDescent="0.3">
      <c r="A113" t="s">
        <v>14</v>
      </c>
      <c r="B113">
        <v>0.4884</v>
      </c>
      <c r="C113" t="s">
        <v>48</v>
      </c>
      <c r="F113" t="s">
        <v>7</v>
      </c>
      <c r="G113">
        <v>0</v>
      </c>
      <c r="H113" t="s">
        <v>6</v>
      </c>
      <c r="P113" t="s">
        <v>18</v>
      </c>
      <c r="Q113">
        <v>37.989899999999999</v>
      </c>
      <c r="R113" t="s">
        <v>73</v>
      </c>
      <c r="U113" t="s">
        <v>18</v>
      </c>
      <c r="V113">
        <v>0</v>
      </c>
      <c r="W113" t="s">
        <v>6</v>
      </c>
    </row>
    <row r="114" spans="1:23" x14ac:dyDescent="0.3">
      <c r="A114" t="s">
        <v>15</v>
      </c>
      <c r="B114">
        <v>1.0223</v>
      </c>
      <c r="C114" t="s">
        <v>48</v>
      </c>
      <c r="F114" t="s">
        <v>10</v>
      </c>
      <c r="G114">
        <v>0</v>
      </c>
      <c r="H114" t="s">
        <v>6</v>
      </c>
      <c r="P114" t="s">
        <v>19</v>
      </c>
      <c r="Q114">
        <v>70.590100000000007</v>
      </c>
      <c r="R114" t="s">
        <v>73</v>
      </c>
      <c r="U114" t="s">
        <v>19</v>
      </c>
      <c r="V114">
        <v>0</v>
      </c>
      <c r="W114" t="s">
        <v>6</v>
      </c>
    </row>
    <row r="115" spans="1:23" x14ac:dyDescent="0.3">
      <c r="A115" t="s">
        <v>16</v>
      </c>
      <c r="B115">
        <v>0.61939999999999995</v>
      </c>
      <c r="C115" t="s">
        <v>48</v>
      </c>
      <c r="F115" t="s">
        <v>15</v>
      </c>
      <c r="G115">
        <v>0</v>
      </c>
      <c r="H115" t="s">
        <v>6</v>
      </c>
      <c r="P115" t="s">
        <v>20</v>
      </c>
      <c r="U115" t="s">
        <v>20</v>
      </c>
    </row>
    <row r="116" spans="1:23" x14ac:dyDescent="0.3">
      <c r="A116" t="s">
        <v>4</v>
      </c>
      <c r="B116">
        <v>69.919499999999999</v>
      </c>
      <c r="C116" t="s">
        <v>9</v>
      </c>
      <c r="F116" t="s">
        <v>17</v>
      </c>
      <c r="G116">
        <v>0</v>
      </c>
      <c r="H116" t="s">
        <v>6</v>
      </c>
      <c r="P116" t="s">
        <v>21</v>
      </c>
      <c r="Q116">
        <v>80.540400000000005</v>
      </c>
      <c r="R116" t="s">
        <v>9</v>
      </c>
      <c r="U116" t="s">
        <v>21</v>
      </c>
      <c r="V116">
        <v>0</v>
      </c>
      <c r="W116" t="s">
        <v>6</v>
      </c>
    </row>
    <row r="117" spans="1:23" x14ac:dyDescent="0.3">
      <c r="A117" t="s">
        <v>18</v>
      </c>
      <c r="B117">
        <v>0.78</v>
      </c>
      <c r="C117" t="s">
        <v>48</v>
      </c>
      <c r="F117" t="s">
        <v>20</v>
      </c>
      <c r="P117" t="s">
        <v>22</v>
      </c>
      <c r="Q117">
        <v>80.590999999999994</v>
      </c>
      <c r="R117" t="s">
        <v>9</v>
      </c>
      <c r="U117" t="s">
        <v>22</v>
      </c>
      <c r="V117">
        <v>0</v>
      </c>
      <c r="W117" t="s">
        <v>6</v>
      </c>
    </row>
    <row r="118" spans="1:23" x14ac:dyDescent="0.3">
      <c r="A118" t="s">
        <v>19</v>
      </c>
      <c r="B118">
        <v>2.1806999999999999</v>
      </c>
      <c r="C118" t="s">
        <v>48</v>
      </c>
      <c r="F118" t="s">
        <v>21</v>
      </c>
      <c r="G118">
        <v>0</v>
      </c>
      <c r="H118" t="s">
        <v>6</v>
      </c>
    </row>
    <row r="119" spans="1:23" x14ac:dyDescent="0.3">
      <c r="A119" t="s">
        <v>20</v>
      </c>
      <c r="F119" t="s">
        <v>22</v>
      </c>
      <c r="G119">
        <v>0</v>
      </c>
      <c r="H119" t="s">
        <v>6</v>
      </c>
    </row>
    <row r="120" spans="1:23" x14ac:dyDescent="0.3">
      <c r="A120" t="s">
        <v>21</v>
      </c>
      <c r="B120">
        <v>72.556799999999996</v>
      </c>
      <c r="C120" t="s">
        <v>9</v>
      </c>
    </row>
    <row r="121" spans="1:23" x14ac:dyDescent="0.3">
      <c r="A121" t="s">
        <v>22</v>
      </c>
      <c r="B121">
        <v>72.610699999999994</v>
      </c>
      <c r="C121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7251-BC3C-4BF8-A0ED-F9695CB59025}">
  <dimension ref="A1:AC8"/>
  <sheetViews>
    <sheetView tabSelected="1" workbookViewId="0">
      <selection activeCell="H27" sqref="H27"/>
    </sheetView>
  </sheetViews>
  <sheetFormatPr defaultRowHeight="16.5" x14ac:dyDescent="0.3"/>
  <cols>
    <col min="9" max="9" width="12.75" bestFit="1" customWidth="1"/>
    <col min="14" max="15" width="9.25" bestFit="1" customWidth="1"/>
    <col min="17" max="17" width="9.25" bestFit="1" customWidth="1"/>
    <col min="18" max="18" width="8" customWidth="1"/>
    <col min="19" max="19" width="9.25" bestFit="1" customWidth="1"/>
    <col min="28" max="28" width="9.25" bestFit="1" customWidth="1"/>
  </cols>
  <sheetData>
    <row r="1" spans="1:29" x14ac:dyDescent="0.3">
      <c r="A1" t="s">
        <v>66</v>
      </c>
      <c r="C1">
        <v>241310</v>
      </c>
      <c r="D1" t="s">
        <v>65</v>
      </c>
      <c r="L1" t="s">
        <v>88</v>
      </c>
      <c r="N1" t="s">
        <v>91</v>
      </c>
      <c r="Q1" t="s">
        <v>98</v>
      </c>
      <c r="Z1" t="s">
        <v>95</v>
      </c>
      <c r="AB1" t="s">
        <v>96</v>
      </c>
    </row>
    <row r="2" spans="1:29" x14ac:dyDescent="0.3">
      <c r="C2" t="s">
        <v>100</v>
      </c>
      <c r="E2" t="s">
        <v>86</v>
      </c>
      <c r="L2" t="s">
        <v>89</v>
      </c>
      <c r="M2" t="s">
        <v>90</v>
      </c>
      <c r="N2" t="s">
        <v>89</v>
      </c>
      <c r="O2" t="s">
        <v>90</v>
      </c>
      <c r="Q2" t="s">
        <v>89</v>
      </c>
      <c r="R2" t="s">
        <v>90</v>
      </c>
      <c r="T2" t="s">
        <v>94</v>
      </c>
      <c r="X2" t="s">
        <v>93</v>
      </c>
      <c r="Z2" t="s">
        <v>89</v>
      </c>
      <c r="AA2" t="s">
        <v>90</v>
      </c>
      <c r="AB2" t="s">
        <v>89</v>
      </c>
      <c r="AC2" t="s">
        <v>90</v>
      </c>
    </row>
    <row r="3" spans="1:29" x14ac:dyDescent="0.3">
      <c r="A3" t="s">
        <v>72</v>
      </c>
      <c r="C3">
        <f>E3/C1</f>
        <v>2.722850358460072E-2</v>
      </c>
      <c r="D3" t="s">
        <v>87</v>
      </c>
      <c r="E3">
        <v>6570.5101999999997</v>
      </c>
      <c r="F3" t="s">
        <v>87</v>
      </c>
      <c r="G3">
        <f>C3*Q3</f>
        <v>1.4818952715134521</v>
      </c>
      <c r="H3" t="s">
        <v>65</v>
      </c>
      <c r="I3">
        <f>G3*947</f>
        <v>1403.3548221232393</v>
      </c>
      <c r="J3" t="s">
        <v>83</v>
      </c>
      <c r="L3">
        <v>26.954999999999998</v>
      </c>
      <c r="M3">
        <v>12.915900000000001</v>
      </c>
      <c r="N3" s="1">
        <v>1467.01</v>
      </c>
      <c r="O3" s="1">
        <v>703</v>
      </c>
      <c r="Q3" s="3">
        <f>N3/L3</f>
        <v>54.424411055462812</v>
      </c>
      <c r="R3" s="3">
        <f>O3/M3</f>
        <v>54.429037078329806</v>
      </c>
      <c r="T3">
        <v>1</v>
      </c>
      <c r="U3" t="s">
        <v>65</v>
      </c>
      <c r="V3">
        <f>T3/Q3</f>
        <v>1.8374107879291893E-2</v>
      </c>
      <c r="W3" t="s">
        <v>87</v>
      </c>
      <c r="X3">
        <f>C3/V3</f>
        <v>1.4818952715134521</v>
      </c>
      <c r="Z3" s="3">
        <f>L3*X3</f>
        <v>39.944487043645097</v>
      </c>
      <c r="AA3" s="3">
        <f>M3*X3</f>
        <v>19.140011137340597</v>
      </c>
      <c r="AB3" s="3">
        <f>N3*C3</f>
        <v>39.944487043645104</v>
      </c>
      <c r="AC3" s="3">
        <f>R3*C3</f>
        <v>1.4820212311936687</v>
      </c>
    </row>
    <row r="4" spans="1:29" x14ac:dyDescent="0.3">
      <c r="A4" t="s">
        <v>76</v>
      </c>
      <c r="C4">
        <f>E4/C1</f>
        <v>0.39225270399071732</v>
      </c>
      <c r="D4" t="s">
        <v>87</v>
      </c>
      <c r="E4">
        <v>94654.5</v>
      </c>
      <c r="F4" t="s">
        <v>87</v>
      </c>
      <c r="G4">
        <f>C4*Q4</f>
        <v>3.5775419458773379</v>
      </c>
      <c r="H4" t="s">
        <v>65</v>
      </c>
      <c r="I4">
        <f>G4*947</f>
        <v>3387.9322227458388</v>
      </c>
      <c r="J4" t="s">
        <v>83</v>
      </c>
      <c r="L4">
        <v>2.5211000000000001</v>
      </c>
      <c r="M4">
        <v>0.63070000000000004</v>
      </c>
      <c r="N4">
        <v>22.9937</v>
      </c>
      <c r="O4">
        <v>5.7526000000000002</v>
      </c>
      <c r="Q4" s="3">
        <f>N4/L4</f>
        <v>9.1205029550592993</v>
      </c>
      <c r="R4" s="3">
        <f>O4/M4</f>
        <v>9.1209766925638185</v>
      </c>
      <c r="T4">
        <v>1</v>
      </c>
      <c r="U4" t="s">
        <v>65</v>
      </c>
      <c r="V4">
        <f>T4/Q4</f>
        <v>0.1096430761469446</v>
      </c>
      <c r="W4" t="s">
        <v>87</v>
      </c>
      <c r="X4">
        <f>C4/V4</f>
        <v>3.5775419458773379</v>
      </c>
      <c r="Z4" s="3">
        <f>L4*X4</f>
        <v>9.0193409997513569</v>
      </c>
      <c r="AA4" s="3">
        <f>M4*X4</f>
        <v>2.2563557052648373</v>
      </c>
      <c r="AB4" s="3">
        <f>N4*C4</f>
        <v>9.0193409997513569</v>
      </c>
      <c r="AC4" s="3">
        <f>R4*C4</f>
        <v>3.5777277706944672</v>
      </c>
    </row>
    <row r="5" spans="1:29" x14ac:dyDescent="0.3">
      <c r="I5" s="3">
        <f>C4*S8</f>
        <v>3203.5157313216478</v>
      </c>
    </row>
    <row r="6" spans="1:29" x14ac:dyDescent="0.3">
      <c r="I6" t="s">
        <v>101</v>
      </c>
      <c r="Q6" t="s">
        <v>97</v>
      </c>
      <c r="R6" t="s">
        <v>92</v>
      </c>
      <c r="S6" t="s">
        <v>99</v>
      </c>
    </row>
    <row r="7" spans="1:29" x14ac:dyDescent="0.3">
      <c r="I7" t="s">
        <v>102</v>
      </c>
      <c r="P7" t="s">
        <v>72</v>
      </c>
    </row>
    <row r="8" spans="1:29" x14ac:dyDescent="0.3">
      <c r="P8" t="s">
        <v>76</v>
      </c>
      <c r="Q8" s="1">
        <v>18000000</v>
      </c>
      <c r="R8" s="3">
        <f>Q8/947/2204</f>
        <v>8.6240434498473544</v>
      </c>
      <c r="S8" s="1">
        <f>Q8/2204</f>
        <v>8166.9691470054449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Base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2025-02-17T06:21:00Z</dcterms:created>
  <dcterms:modified xsi:type="dcterms:W3CDTF">2025-02-19T00:38:46Z</dcterms:modified>
</cp:coreProperties>
</file>