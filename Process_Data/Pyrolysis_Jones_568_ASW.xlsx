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561BAAE4-5A2B-4841-9622-826D98E0418C}" xr6:coauthVersionLast="36" xr6:coauthVersionMax="36" xr10:uidLastSave="{00000000-0000-0000-0000-000000000000}"/>
  <bookViews>
    <workbookView xWindow="0" yWindow="0" windowWidth="28800" windowHeight="14535" firstSheet="4" activeTab="5" xr2:uid="{B5F413B2-41FC-421B-955B-2609FC0034CB}"/>
  </bookViews>
  <sheets>
    <sheet name="ASWXL.Storage" sheetId="4" state="veryHidden" r:id="rId1"/>
    <sheet name="20250529_175057" sheetId="12" r:id="rId2"/>
    <sheet name="20250531_220044_OilComponent" sheetId="27" r:id="rId3"/>
    <sheet name="20250531_223825_Grid" sheetId="28" r:id="rId4"/>
    <sheet name="20250601_103250_BO_LCOsaf" sheetId="30" r:id="rId5"/>
    <sheet name="20250602_094223" sheetId="36" r:id="rId6"/>
    <sheet name="20250601_211036_BO_LCOgas" sheetId="33" r:id="rId7"/>
    <sheet name="20250602_012254_BO_LCOdiesel" sheetId="35" r:id="rId8"/>
    <sheet name="ASWXL.Disable" sheetId="38" state="veryHidden" r:id="rId9"/>
    <sheet name="InteractiveSheet" sheetId="6" r:id="rId10"/>
    <sheet name="FrzPt" sheetId="7" r:id="rId11"/>
    <sheet name="DiesFlash" sheetId="23" r:id="rId12"/>
    <sheet name="Cost" sheetId="2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" i="36" l="1"/>
  <c r="AP4" i="36"/>
  <c r="AP5" i="36"/>
  <c r="AP6" i="36"/>
  <c r="AP7" i="36"/>
  <c r="AP8" i="36"/>
  <c r="AP9" i="36"/>
  <c r="AP10" i="36"/>
  <c r="AP11" i="36"/>
  <c r="AP12" i="36"/>
  <c r="AP13" i="36"/>
  <c r="AP14" i="36"/>
  <c r="AP15" i="36"/>
  <c r="AP16" i="36"/>
  <c r="AP17" i="36"/>
  <c r="AP18" i="36"/>
  <c r="AP19" i="36"/>
  <c r="AP20" i="36"/>
  <c r="AP21" i="36"/>
  <c r="AP22" i="36"/>
  <c r="AP23" i="36"/>
  <c r="AP24" i="36"/>
  <c r="AP25" i="36"/>
  <c r="AP26" i="36"/>
  <c r="AP27" i="36"/>
  <c r="AP28" i="36"/>
  <c r="AP29" i="36"/>
  <c r="AP30" i="36"/>
  <c r="AP31" i="36"/>
  <c r="AP32" i="36"/>
  <c r="AP33" i="36"/>
  <c r="AP34" i="36"/>
  <c r="AP35" i="36"/>
  <c r="AP36" i="36"/>
  <c r="AP37" i="36"/>
  <c r="AP38" i="36"/>
  <c r="AP39" i="36"/>
  <c r="AP40" i="36"/>
  <c r="AP41" i="36"/>
  <c r="AP42" i="36"/>
  <c r="AP43" i="36"/>
  <c r="AP44" i="36"/>
  <c r="AP45" i="36"/>
  <c r="AP46" i="36"/>
  <c r="AP47" i="36"/>
  <c r="AP48" i="36"/>
  <c r="AP49" i="36"/>
  <c r="AP50" i="36"/>
  <c r="AP51" i="36"/>
  <c r="AP52" i="36"/>
  <c r="AP53" i="36"/>
  <c r="AP54" i="36"/>
  <c r="AP55" i="36"/>
  <c r="AP56" i="36"/>
  <c r="AP57" i="36"/>
  <c r="AP58" i="36"/>
  <c r="AP59" i="36"/>
  <c r="AP60" i="36"/>
  <c r="AP61" i="36"/>
  <c r="AP62" i="36"/>
  <c r="AP63" i="36"/>
  <c r="AP64" i="36"/>
  <c r="AP65" i="36"/>
  <c r="AP66" i="36"/>
  <c r="AP67" i="36"/>
  <c r="AP68" i="36"/>
  <c r="AP69" i="36"/>
  <c r="AP70" i="36"/>
  <c r="AP71" i="36"/>
  <c r="AP72" i="36"/>
  <c r="AP2" i="36"/>
  <c r="R26" i="2"/>
  <c r="R25" i="2"/>
  <c r="R24" i="2"/>
  <c r="R23" i="2"/>
  <c r="U22" i="2"/>
  <c r="R22" i="2"/>
  <c r="R21" i="2"/>
  <c r="R20" i="2"/>
  <c r="D8" i="2"/>
  <c r="O28" i="6" s="1"/>
  <c r="D7" i="2"/>
  <c r="O27" i="6" s="1"/>
  <c r="D6" i="2"/>
  <c r="O26" i="6" s="1"/>
  <c r="D5" i="2"/>
  <c r="O25" i="6" s="1"/>
  <c r="L82" i="23"/>
  <c r="L81" i="23"/>
  <c r="L80" i="23"/>
  <c r="L79" i="23"/>
  <c r="L78" i="23"/>
  <c r="L77" i="23"/>
  <c r="L76" i="23"/>
  <c r="L75" i="23"/>
  <c r="L74" i="23"/>
  <c r="L73" i="23"/>
  <c r="L72" i="23"/>
  <c r="L71" i="23"/>
  <c r="L70" i="23"/>
  <c r="L69" i="23"/>
  <c r="L68" i="23"/>
  <c r="L67" i="23"/>
  <c r="L66" i="23"/>
  <c r="L65" i="23"/>
  <c r="L64" i="23"/>
  <c r="L63" i="23"/>
  <c r="L62" i="23"/>
  <c r="L61" i="23"/>
  <c r="L60" i="23"/>
  <c r="L59" i="23"/>
  <c r="L58" i="23"/>
  <c r="L57" i="23"/>
  <c r="L56" i="23"/>
  <c r="L55" i="23"/>
  <c r="L54" i="23"/>
  <c r="L53" i="23"/>
  <c r="L52" i="23"/>
  <c r="L51" i="23"/>
  <c r="L50" i="23"/>
  <c r="L49" i="23"/>
  <c r="L48" i="23"/>
  <c r="L47" i="23"/>
  <c r="L46" i="23"/>
  <c r="L45" i="23"/>
  <c r="L44" i="23"/>
  <c r="L43" i="23"/>
  <c r="L42" i="23"/>
  <c r="L41" i="23"/>
  <c r="L40" i="23"/>
  <c r="L39" i="23"/>
  <c r="L38" i="23"/>
  <c r="L37" i="23"/>
  <c r="L36" i="23"/>
  <c r="L35" i="23"/>
  <c r="L34" i="23"/>
  <c r="L33" i="23"/>
  <c r="L32" i="23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AE85" i="7"/>
  <c r="AD85" i="7"/>
  <c r="AC85" i="7"/>
  <c r="AA85" i="7"/>
  <c r="Z85" i="7"/>
  <c r="Y85" i="7"/>
  <c r="X85" i="7"/>
  <c r="W85" i="7"/>
  <c r="V85" i="7"/>
  <c r="T85" i="7"/>
  <c r="S85" i="7"/>
  <c r="AE84" i="7"/>
  <c r="AD84" i="7"/>
  <c r="AC84" i="7"/>
  <c r="AA84" i="7"/>
  <c r="Y84" i="7"/>
  <c r="W84" i="7"/>
  <c r="V84" i="7"/>
  <c r="U84" i="7"/>
  <c r="T84" i="7"/>
  <c r="S84" i="7"/>
  <c r="AE83" i="7"/>
  <c r="AD83" i="7"/>
  <c r="AC83" i="7"/>
  <c r="AB83" i="7"/>
  <c r="AA83" i="7"/>
  <c r="Z83" i="7"/>
  <c r="Y83" i="7"/>
  <c r="W83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L82" i="7"/>
  <c r="AE81" i="7"/>
  <c r="AD81" i="7"/>
  <c r="AC81" i="7"/>
  <c r="AB81" i="7"/>
  <c r="AA81" i="7"/>
  <c r="Z81" i="7"/>
  <c r="Y81" i="7"/>
  <c r="W81" i="7"/>
  <c r="V81" i="7"/>
  <c r="U81" i="7"/>
  <c r="T81" i="7"/>
  <c r="S81" i="7"/>
  <c r="L81" i="7"/>
  <c r="AE80" i="7"/>
  <c r="AD80" i="7"/>
  <c r="AC80" i="7"/>
  <c r="AB80" i="7"/>
  <c r="AA80" i="7"/>
  <c r="Z80" i="7"/>
  <c r="Y80" i="7"/>
  <c r="X80" i="7"/>
  <c r="W80" i="7"/>
  <c r="V80" i="7"/>
  <c r="U80" i="7"/>
  <c r="L80" i="7"/>
  <c r="AE79" i="7"/>
  <c r="AD79" i="7"/>
  <c r="AC79" i="7"/>
  <c r="AB79" i="7"/>
  <c r="AA79" i="7"/>
  <c r="Z79" i="7"/>
  <c r="Y79" i="7"/>
  <c r="X79" i="7"/>
  <c r="W79" i="7"/>
  <c r="U79" i="7"/>
  <c r="T79" i="7"/>
  <c r="L79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L78" i="7"/>
  <c r="AE77" i="7"/>
  <c r="AD77" i="7"/>
  <c r="AC77" i="7"/>
  <c r="AB77" i="7"/>
  <c r="AA77" i="7"/>
  <c r="Z77" i="7"/>
  <c r="Y77" i="7"/>
  <c r="X77" i="7"/>
  <c r="W77" i="7"/>
  <c r="U77" i="7"/>
  <c r="T77" i="7"/>
  <c r="L77" i="7"/>
  <c r="AE76" i="7"/>
  <c r="AD76" i="7"/>
  <c r="AC76" i="7"/>
  <c r="AB76" i="7"/>
  <c r="AA76" i="7"/>
  <c r="Z76" i="7"/>
  <c r="Y76" i="7"/>
  <c r="W76" i="7"/>
  <c r="V76" i="7"/>
  <c r="S76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AB56" i="7"/>
  <c r="AB85" i="7" s="1"/>
  <c r="U56" i="7"/>
  <c r="U85" i="7" s="1"/>
  <c r="L56" i="7"/>
  <c r="AB55" i="7"/>
  <c r="AB84" i="7" s="1"/>
  <c r="Z55" i="7"/>
  <c r="Z84" i="7" s="1"/>
  <c r="X55" i="7"/>
  <c r="X84" i="7" s="1"/>
  <c r="L55" i="7"/>
  <c r="X54" i="7"/>
  <c r="X83" i="7" s="1"/>
  <c r="V54" i="7"/>
  <c r="V83" i="7" s="1"/>
  <c r="U54" i="7"/>
  <c r="U83" i="7" s="1"/>
  <c r="T54" i="7"/>
  <c r="T83" i="7" s="1"/>
  <c r="S54" i="7"/>
  <c r="S83" i="7" s="1"/>
  <c r="L54" i="7"/>
  <c r="L53" i="7"/>
  <c r="X52" i="7"/>
  <c r="X81" i="7" s="1"/>
  <c r="L52" i="7"/>
  <c r="T51" i="7"/>
  <c r="T80" i="7" s="1"/>
  <c r="S51" i="7"/>
  <c r="S80" i="7" s="1"/>
  <c r="L51" i="7"/>
  <c r="V50" i="7"/>
  <c r="V79" i="7" s="1"/>
  <c r="S50" i="7"/>
  <c r="L50" i="7"/>
  <c r="L49" i="7"/>
  <c r="V48" i="7"/>
  <c r="V77" i="7" s="1"/>
  <c r="S48" i="7"/>
  <c r="S77" i="7" s="1"/>
  <c r="L48" i="7"/>
  <c r="X47" i="7"/>
  <c r="X76" i="7" s="1"/>
  <c r="U47" i="7"/>
  <c r="U76" i="7" s="1"/>
  <c r="T47" i="7"/>
  <c r="T76" i="7" s="1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O29" i="6"/>
  <c r="N11" i="6"/>
  <c r="N9" i="6"/>
  <c r="N8" i="6"/>
  <c r="N5" i="6"/>
  <c r="AO121" i="33"/>
  <c r="AO120" i="33"/>
  <c r="AO119" i="33"/>
  <c r="AO118" i="33"/>
  <c r="AO117" i="33"/>
  <c r="AO116" i="33"/>
  <c r="AO115" i="33"/>
  <c r="AO114" i="33"/>
  <c r="AO113" i="33"/>
  <c r="AO112" i="33"/>
  <c r="AO111" i="33"/>
  <c r="AO110" i="33"/>
  <c r="AO109" i="33"/>
  <c r="AO108" i="33"/>
  <c r="AO107" i="33"/>
  <c r="AO106" i="33"/>
  <c r="AO105" i="33"/>
  <c r="AO104" i="33"/>
  <c r="AO103" i="33"/>
  <c r="AO102" i="33"/>
  <c r="AO101" i="33"/>
  <c r="AO100" i="33"/>
  <c r="AO99" i="33"/>
  <c r="AO98" i="33"/>
  <c r="AO97" i="33"/>
  <c r="AO96" i="33"/>
  <c r="AO95" i="33"/>
  <c r="AO94" i="33"/>
  <c r="AO93" i="33"/>
  <c r="AO92" i="33"/>
  <c r="AO91" i="33"/>
  <c r="AO90" i="33"/>
  <c r="AO89" i="33"/>
  <c r="AO88" i="33"/>
  <c r="AO87" i="33"/>
  <c r="AO86" i="33"/>
  <c r="AO85" i="33"/>
  <c r="AO84" i="33"/>
  <c r="AO83" i="33"/>
  <c r="AO82" i="33"/>
  <c r="AO81" i="33"/>
  <c r="AO80" i="33"/>
  <c r="AO79" i="33"/>
  <c r="AO78" i="33"/>
  <c r="AO77" i="33"/>
  <c r="AO76" i="33"/>
  <c r="AO75" i="33"/>
  <c r="AO74" i="33"/>
  <c r="AO73" i="33"/>
  <c r="AO72" i="33"/>
  <c r="AO71" i="33"/>
  <c r="AO70" i="33"/>
  <c r="AO69" i="33"/>
  <c r="AO68" i="33"/>
  <c r="AO67" i="33"/>
  <c r="AO66" i="33"/>
  <c r="AO65" i="33"/>
  <c r="AO64" i="33"/>
  <c r="AO63" i="33"/>
  <c r="AO62" i="33"/>
  <c r="AO61" i="33"/>
  <c r="AO60" i="33"/>
  <c r="AO59" i="33"/>
  <c r="AO58" i="33"/>
  <c r="AO57" i="33"/>
  <c r="AO56" i="33"/>
  <c r="AO55" i="33"/>
  <c r="AO54" i="33"/>
  <c r="AO53" i="33"/>
  <c r="AO52" i="33"/>
  <c r="AO51" i="33"/>
  <c r="AO50" i="33"/>
  <c r="AO49" i="33"/>
  <c r="AO48" i="33"/>
  <c r="AO47" i="33"/>
  <c r="AO46" i="33"/>
  <c r="AO45" i="33"/>
  <c r="AO44" i="33"/>
  <c r="AO43" i="33"/>
  <c r="AO42" i="33"/>
  <c r="AO41" i="33"/>
  <c r="AO40" i="33"/>
  <c r="AO39" i="33"/>
  <c r="AO38" i="33"/>
  <c r="AO37" i="33"/>
  <c r="AO36" i="33"/>
  <c r="AO35" i="33"/>
  <c r="AO34" i="33"/>
  <c r="AO33" i="33"/>
  <c r="AO32" i="33"/>
  <c r="AO31" i="33"/>
  <c r="AO30" i="33"/>
  <c r="AO29" i="33"/>
  <c r="AO28" i="33"/>
  <c r="AO27" i="33"/>
  <c r="AO26" i="33"/>
  <c r="AO25" i="33"/>
  <c r="AO24" i="33"/>
  <c r="AO23" i="33"/>
  <c r="AO22" i="33"/>
  <c r="AO21" i="33"/>
  <c r="AO20" i="33"/>
  <c r="AO19" i="33"/>
  <c r="AO18" i="33"/>
  <c r="AO17" i="33"/>
  <c r="AO16" i="33"/>
  <c r="AO15" i="33"/>
  <c r="AO14" i="33"/>
  <c r="AO13" i="33"/>
  <c r="AO12" i="33"/>
  <c r="AO11" i="33"/>
  <c r="AO10" i="33"/>
  <c r="AO9" i="33"/>
  <c r="AO8" i="33"/>
  <c r="AO7" i="33"/>
  <c r="AO6" i="33"/>
  <c r="AO5" i="33"/>
  <c r="AO4" i="33"/>
  <c r="AO3" i="33"/>
  <c r="AO2" i="33"/>
  <c r="AP122" i="30"/>
  <c r="AP121" i="30"/>
  <c r="AP120" i="30"/>
  <c r="AP119" i="30"/>
  <c r="AP118" i="30"/>
  <c r="AP117" i="30"/>
  <c r="AP116" i="30"/>
  <c r="AP115" i="30"/>
  <c r="AP114" i="30"/>
  <c r="AP113" i="30"/>
  <c r="AP112" i="30"/>
  <c r="AP111" i="30"/>
  <c r="AP110" i="30"/>
  <c r="AP109" i="30"/>
  <c r="AP108" i="30"/>
  <c r="AP107" i="30"/>
  <c r="AP106" i="30"/>
  <c r="AP105" i="30"/>
  <c r="AP104" i="30"/>
  <c r="AP103" i="30"/>
  <c r="AP102" i="30"/>
  <c r="AP101" i="30"/>
  <c r="AP100" i="30"/>
  <c r="AP99" i="30"/>
  <c r="AP98" i="30"/>
  <c r="AP97" i="30"/>
  <c r="AP96" i="30"/>
  <c r="AP95" i="30"/>
  <c r="AP94" i="30"/>
  <c r="AP93" i="30"/>
  <c r="AP92" i="30"/>
  <c r="AP91" i="30"/>
  <c r="AP90" i="30"/>
  <c r="AP89" i="30"/>
  <c r="AP88" i="30"/>
  <c r="AP87" i="30"/>
  <c r="AP86" i="30"/>
  <c r="AP85" i="30"/>
  <c r="AP84" i="30"/>
  <c r="AP83" i="30"/>
  <c r="AP82" i="30"/>
  <c r="AP81" i="30"/>
  <c r="AP80" i="30"/>
  <c r="AP79" i="30"/>
  <c r="AP78" i="30"/>
  <c r="AP77" i="30"/>
  <c r="AP76" i="30"/>
  <c r="AP75" i="30"/>
  <c r="AP74" i="30"/>
  <c r="AP73" i="30"/>
  <c r="AP72" i="30"/>
  <c r="AP71" i="30"/>
  <c r="AP70" i="30"/>
  <c r="AP69" i="30"/>
  <c r="AP68" i="30"/>
  <c r="AP67" i="30"/>
  <c r="AP66" i="30"/>
  <c r="AP65" i="30"/>
  <c r="AP64" i="30"/>
  <c r="AP63" i="30"/>
  <c r="AP62" i="30"/>
  <c r="AP61" i="30"/>
  <c r="AP60" i="30"/>
  <c r="AP59" i="30"/>
  <c r="AP58" i="30"/>
  <c r="AP57" i="30"/>
  <c r="AP56" i="30"/>
  <c r="AP55" i="30"/>
  <c r="AP54" i="30"/>
  <c r="AP53" i="30"/>
  <c r="AP52" i="30"/>
  <c r="AP51" i="30"/>
  <c r="AP50" i="30"/>
  <c r="AP49" i="30"/>
  <c r="AP48" i="30"/>
  <c r="AP47" i="30"/>
  <c r="AP46" i="30"/>
  <c r="AP45" i="30"/>
  <c r="AP44" i="30"/>
  <c r="AP43" i="30"/>
  <c r="AP42" i="30"/>
  <c r="AP41" i="30"/>
  <c r="AP40" i="30"/>
  <c r="AP39" i="30"/>
  <c r="AP38" i="30"/>
  <c r="AP37" i="30"/>
  <c r="AP36" i="30"/>
  <c r="AP35" i="30"/>
  <c r="AP34" i="30"/>
  <c r="AP33" i="30"/>
  <c r="AP32" i="30"/>
  <c r="AP31" i="30"/>
  <c r="AP30" i="30"/>
  <c r="AP29" i="30"/>
  <c r="AP28" i="30"/>
  <c r="AP27" i="30"/>
  <c r="AP26" i="30"/>
  <c r="AP25" i="30"/>
  <c r="AP24" i="30"/>
  <c r="AP23" i="30"/>
  <c r="AP22" i="30"/>
  <c r="AP21" i="30"/>
  <c r="AP20" i="30"/>
  <c r="AP19" i="30"/>
  <c r="AP18" i="30"/>
  <c r="AP17" i="30"/>
  <c r="AP16" i="30"/>
  <c r="AP15" i="30"/>
  <c r="AP14" i="30"/>
  <c r="AP13" i="30"/>
  <c r="AP12" i="30"/>
  <c r="AP11" i="30"/>
  <c r="AP10" i="30"/>
  <c r="AP9" i="30"/>
  <c r="AP8" i="30"/>
  <c r="AP7" i="30"/>
  <c r="AP6" i="30"/>
  <c r="AP5" i="30"/>
  <c r="AP4" i="30"/>
  <c r="AP3" i="30"/>
  <c r="AP2" i="30"/>
  <c r="AG21" i="27"/>
  <c r="AF21" i="27"/>
  <c r="AE21" i="27"/>
  <c r="AD21" i="27"/>
  <c r="AC21" i="27"/>
  <c r="AB21" i="27"/>
  <c r="AA21" i="27"/>
  <c r="Z21" i="27"/>
  <c r="Y21" i="27"/>
  <c r="X21" i="27"/>
  <c r="V21" i="27"/>
  <c r="AG19" i="27"/>
  <c r="AF19" i="27"/>
  <c r="X19" i="27"/>
  <c r="AG18" i="27"/>
  <c r="AF18" i="27"/>
  <c r="AE18" i="27"/>
  <c r="AD18" i="27"/>
  <c r="AC18" i="27"/>
  <c r="AB18" i="27"/>
  <c r="AA18" i="27"/>
  <c r="AG16" i="27"/>
  <c r="AF16" i="27"/>
  <c r="AE16" i="27"/>
  <c r="AE19" i="27" s="1"/>
  <c r="AD16" i="27"/>
  <c r="AD19" i="27" s="1"/>
  <c r="AC16" i="27"/>
  <c r="AC19" i="27" s="1"/>
  <c r="AB16" i="27"/>
  <c r="AB19" i="27" s="1"/>
  <c r="AA16" i="27"/>
  <c r="AA19" i="27" s="1"/>
  <c r="Z16" i="27"/>
  <c r="Z19" i="27" s="1"/>
  <c r="Y16" i="27"/>
  <c r="Y19" i="27" s="1"/>
  <c r="X16" i="27"/>
  <c r="V16" i="27"/>
  <c r="V19" i="27" s="1"/>
  <c r="AG15" i="27"/>
  <c r="AF15" i="27"/>
  <c r="AE15" i="27"/>
  <c r="AD15" i="27"/>
  <c r="AC15" i="27"/>
  <c r="AB15" i="27"/>
  <c r="AA15" i="27"/>
  <c r="Z15" i="27"/>
  <c r="Z18" i="27" s="1"/>
  <c r="Y15" i="27"/>
  <c r="Y18" i="27" s="1"/>
  <c r="X15" i="27"/>
  <c r="X18" i="27" s="1"/>
  <c r="V15" i="27"/>
  <c r="V18" i="27" s="1"/>
  <c r="L84" i="23" l="1"/>
  <c r="N10" i="6" s="1"/>
  <c r="L84" i="7"/>
  <c r="N6" i="6" s="1"/>
  <c r="D4" i="2"/>
  <c r="O24" i="6" s="1"/>
  <c r="S58" i="7"/>
  <c r="S79" i="7"/>
  <c r="S87" i="7" l="1"/>
  <c r="N7" i="6" s="1"/>
</calcChain>
</file>

<file path=xl/sharedStrings.xml><?xml version="1.0" encoding="utf-8"?>
<sst xmlns="http://schemas.openxmlformats.org/spreadsheetml/2006/main" count="2237" uniqueCount="399">
  <si>
    <t>Summary</t>
  </si>
  <si>
    <t>Total Capital Cost [USD]</t>
  </si>
  <si>
    <t>Total Operating Cost [USD/Year]</t>
  </si>
  <si>
    <t>Total Raw Materials Cost [USD/Year]</t>
  </si>
  <si>
    <t>Total Product Sales [USD/Year]</t>
  </si>
  <si>
    <t>Total Utilities Cost [USD/Year]</t>
  </si>
  <si>
    <t>Desired Rate of Return [Percent/'Year]</t>
  </si>
  <si>
    <t>P.O. Period [Year]</t>
  </si>
  <si>
    <t>Equipment Cost [USD]</t>
  </si>
  <si>
    <t>Total Installed Cost [USD]</t>
  </si>
  <si>
    <t>For Quotation</t>
    <phoneticPr fontId="2" type="noConversion"/>
  </si>
  <si>
    <t>Name</t>
  </si>
  <si>
    <t>Value</t>
  </si>
  <si>
    <t>Units</t>
  </si>
  <si>
    <t>Status</t>
  </si>
  <si>
    <t>Variable Name</t>
  </si>
  <si>
    <t>Object ID1</t>
  </si>
  <si>
    <t>Object ID2</t>
  </si>
  <si>
    <t>Container</t>
  </si>
  <si>
    <t>Container Type</t>
  </si>
  <si>
    <t>Specified</t>
  </si>
  <si>
    <t>Costing Result</t>
  </si>
  <si>
    <t>USD</t>
  </si>
  <si>
    <t>USD/Year</t>
  </si>
  <si>
    <t>cuft/hr</t>
  </si>
  <si>
    <t>ASWXL Storage Version 40.0.0.10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</si>
  <si>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</si>
  <si>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</si>
  <si>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</si>
  <si>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</si>
  <si>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</si>
  <si>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</si>
  <si>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</si>
  <si>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</si>
  <si>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</si>
  <si>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</si>
  <si>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</si>
  <si>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</si>
  <si>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</si>
  <si>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</si>
  <si>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</si>
  <si>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</si>
  <si>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</si>
  <si>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</si>
  <si>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</si>
  <si>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</si>
  <si>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</si>
  <si>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</si>
  <si>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</si>
  <si>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</si>
  <si>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</si>
  <si>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</si>
  <si>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</si>
  <si>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</si>
  <si>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</si>
  <si>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</si>
  <si>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</si>
  <si>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</si>
  <si>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</si>
  <si>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</si>
  <si>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</si>
  <si>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LGLM-INT</t>
  </si>
  <si>
    <t>EXTR-INT</t>
  </si>
  <si>
    <t>CYC6-HCK</t>
  </si>
  <si>
    <t>N-HCK-A</t>
  </si>
  <si>
    <t>N-HCK-B</t>
  </si>
  <si>
    <t>No Carbons</t>
  </si>
  <si>
    <t>Class</t>
  </si>
  <si>
    <t>BICYCLOS, CYC7+</t>
  </si>
  <si>
    <t>무시된 값들 (엄청 적긴 함)</t>
  </si>
  <si>
    <t>INDENES, NAPHTHAL</t>
  </si>
  <si>
    <t>INDAN</t>
  </si>
  <si>
    <t>Freezing Matrix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</si>
  <si>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</si>
  <si>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</si>
  <si>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</si>
  <si>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</si>
  <si>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</si>
  <si>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</si>
  <si>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</si>
  <si>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</si>
  <si>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</si>
  <si>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</si>
  <si>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</si>
  <si>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</si>
  <si>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</si>
  <si>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L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</si>
  <si>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</si>
  <si>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</si>
  <si>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</si>
  <si>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</si>
  <si>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</si>
  <si>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</si>
  <si>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</si>
  <si>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</si>
  <si>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</si>
  <si>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</si>
  <si>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K</t>
  </si>
  <si>
    <t>Element-wise calculation result</t>
  </si>
  <si>
    <t>Freezing point</t>
  </si>
  <si>
    <t>lb/hr</t>
  </si>
  <si>
    <t>Name</t>
    <phoneticPr fontId="2" type="noConversion"/>
  </si>
  <si>
    <t>Value</t>
    <phoneticPr fontId="2" type="noConversion"/>
  </si>
  <si>
    <t>Units</t>
    <phoneticPr fontId="2" type="noConversion"/>
  </si>
  <si>
    <t>Status</t>
    <phoneticPr fontId="2" type="noConversion"/>
  </si>
  <si>
    <t>Variable Name</t>
    <phoneticPr fontId="2" type="noConversion"/>
  </si>
  <si>
    <t>Object ID1</t>
    <phoneticPr fontId="2" type="noConversion"/>
  </si>
  <si>
    <t>Object ID2</t>
    <phoneticPr fontId="2" type="noConversion"/>
  </si>
  <si>
    <t>Container</t>
    <phoneticPr fontId="2" type="noConversion"/>
  </si>
  <si>
    <t>Container Type</t>
    <phoneticPr fontId="2" type="noConversion"/>
  </si>
  <si>
    <t>326SAF.VOLFLMX</t>
    <phoneticPr fontId="2" type="noConversion"/>
  </si>
  <si>
    <t>VOLFLMX</t>
    <phoneticPr fontId="2" type="noConversion"/>
  </si>
  <si>
    <t>MIXED</t>
    <phoneticPr fontId="2" type="noConversion"/>
  </si>
  <si>
    <t>326SAF</t>
    <phoneticPr fontId="2" type="noConversion"/>
  </si>
  <si>
    <t>MATERIAL</t>
    <phoneticPr fontId="2" type="noConversion"/>
  </si>
  <si>
    <t>510.MASSFLMX</t>
    <phoneticPr fontId="2" type="noConversion"/>
  </si>
  <si>
    <t>MASSFLMX</t>
    <phoneticPr fontId="2" type="noConversion"/>
  </si>
  <si>
    <t>200.VLSTDMX</t>
    <phoneticPr fontId="2" type="noConversion"/>
  </si>
  <si>
    <t>VLSTDMX</t>
    <phoneticPr fontId="2" type="noConversion"/>
  </si>
  <si>
    <t>404.VOLFLMX</t>
    <phoneticPr fontId="2" type="noConversion"/>
  </si>
  <si>
    <t>622X.MASSFLMX</t>
    <phoneticPr fontId="2" type="noConversion"/>
  </si>
  <si>
    <t>622X</t>
    <phoneticPr fontId="2" type="noConversion"/>
  </si>
  <si>
    <t>255.VOLFLMX</t>
    <phoneticPr fontId="2" type="noConversion"/>
  </si>
  <si>
    <t>210.VOLFLMX</t>
    <phoneticPr fontId="2" type="noConversion"/>
  </si>
  <si>
    <t>272.VOLFLMX</t>
    <phoneticPr fontId="2" type="noConversion"/>
  </si>
  <si>
    <t>Utility-Sum.TOTUTCOST</t>
    <phoneticPr fontId="2" type="noConversion"/>
  </si>
  <si>
    <t>TOTUTCOST</t>
    <phoneticPr fontId="2" type="noConversion"/>
  </si>
  <si>
    <t>UTIL-SUMMARY</t>
    <phoneticPr fontId="2" type="noConversion"/>
  </si>
  <si>
    <t>DATA</t>
    <phoneticPr fontId="2" type="noConversion"/>
  </si>
  <si>
    <t>Base</t>
  </si>
  <si>
    <t>Equipment</t>
  </si>
  <si>
    <t>Scaling Stream</t>
  </si>
  <si>
    <t>Original Flow</t>
  </si>
  <si>
    <t>Unit</t>
  </si>
  <si>
    <t>CAPEX [1Q-2022$] at Base</t>
  </si>
  <si>
    <t>Base CAPEX</t>
  </si>
  <si>
    <t>OPEX at Base</t>
  </si>
  <si>
    <t>Base OPEX</t>
  </si>
  <si>
    <t>LHSV</t>
  </si>
  <si>
    <t>Unit Price</t>
  </si>
  <si>
    <t>R-510</t>
  </si>
  <si>
    <t>#340</t>
  </si>
  <si>
    <t>R-225</t>
  </si>
  <si>
    <t>#200</t>
  </si>
  <si>
    <t xml:space="preserve">liq scfh </t>
  </si>
  <si>
    <t>PSA</t>
  </si>
  <si>
    <t>#404</t>
  </si>
  <si>
    <t>CCS</t>
  </si>
  <si>
    <t>#622x</t>
  </si>
  <si>
    <t>R-202-cat</t>
  </si>
  <si>
    <t>#255</t>
  </si>
  <si>
    <t>R-220-cat</t>
  </si>
  <si>
    <t>#210</t>
  </si>
  <si>
    <t>R-225-cat</t>
  </si>
  <si>
    <t>#272</t>
  </si>
  <si>
    <t>C:\Program Files\AspenTech\Aspen Simulation Workbook V14.0</t>
    <phoneticPr fontId="2" type="noConversion"/>
  </si>
  <si>
    <t>SAF</t>
  </si>
  <si>
    <t>PYROIN.EXPR2</t>
    <phoneticPr fontId="2" type="noConversion"/>
  </si>
  <si>
    <t>Specified</t>
    <phoneticPr fontId="2" type="noConversion"/>
  </si>
  <si>
    <t>EXPR2</t>
    <phoneticPr fontId="2" type="noConversion"/>
  </si>
  <si>
    <t>PYROIN</t>
    <phoneticPr fontId="2" type="noConversion"/>
  </si>
  <si>
    <t>DESIGN-SPEC</t>
    <phoneticPr fontId="2" type="noConversion"/>
  </si>
  <si>
    <t>T-310.NSTAGE</t>
    <phoneticPr fontId="2" type="noConversion"/>
  </si>
  <si>
    <t>NSTAGE</t>
    <phoneticPr fontId="2" type="noConversion"/>
  </si>
  <si>
    <t>T-310</t>
    <phoneticPr fontId="2" type="noConversion"/>
  </si>
  <si>
    <t>RADFRAC</t>
    <phoneticPr fontId="2" type="noConversion"/>
  </si>
  <si>
    <t>T-310.FEED_STAGE</t>
    <phoneticPr fontId="2" type="noConversion"/>
  </si>
  <si>
    <t>FEED_STAGE</t>
    <phoneticPr fontId="2" type="noConversion"/>
  </si>
  <si>
    <t>310-1</t>
    <phoneticPr fontId="2" type="noConversion"/>
  </si>
  <si>
    <t>T-310.BASIS_RR</t>
    <phoneticPr fontId="2" type="noConversion"/>
  </si>
  <si>
    <t>BASIS_RR</t>
    <phoneticPr fontId="2" type="noConversion"/>
  </si>
  <si>
    <t>T-320.NSTAGE</t>
    <phoneticPr fontId="2" type="noConversion"/>
  </si>
  <si>
    <t>T-320</t>
    <phoneticPr fontId="2" type="noConversion"/>
  </si>
  <si>
    <t>T-320.FEED_STAGE</t>
    <phoneticPr fontId="2" type="noConversion"/>
  </si>
  <si>
    <t>T-320.BASIS_RR</t>
    <phoneticPr fontId="2" type="noConversion"/>
  </si>
  <si>
    <t>T-330.NSTAGE</t>
    <phoneticPr fontId="2" type="noConversion"/>
  </si>
  <si>
    <t>T-330</t>
    <phoneticPr fontId="2" type="noConversion"/>
  </si>
  <si>
    <t>T-330.FEED_STAGE</t>
    <phoneticPr fontId="2" type="noConversion"/>
  </si>
  <si>
    <t>T-330.BASIS_RR</t>
    <phoneticPr fontId="2" type="noConversion"/>
  </si>
  <si>
    <t>Settings.economics_active</t>
    <phoneticPr fontId="2" type="noConversion"/>
  </si>
  <si>
    <t>economics_active</t>
    <phoneticPr fontId="2" type="noConversion"/>
  </si>
  <si>
    <t>Settings</t>
    <phoneticPr fontId="2" type="noConversion"/>
  </si>
  <si>
    <t>Settings.auto_evaluate</t>
    <phoneticPr fontId="2" type="noConversion"/>
  </si>
  <si>
    <t>auto_evaluate</t>
    <phoneticPr fontId="2" type="noConversion"/>
  </si>
  <si>
    <t xml:space="preserve">Pure BP (F) </t>
  </si>
  <si>
    <t>Minimum BP</t>
    <phoneticPr fontId="2" type="noConversion"/>
  </si>
  <si>
    <t>LHV</t>
  </si>
  <si>
    <t>SG</t>
  </si>
  <si>
    <t>SLF</t>
  </si>
  <si>
    <t>ARM</t>
  </si>
  <si>
    <t>Flash Point (Minimum Boiling Point)</t>
  </si>
  <si>
    <t>Freezing Point (Maximum Freezing Point)</t>
  </si>
  <si>
    <t>vol%</t>
    <phoneticPr fontId="2" type="noConversion"/>
  </si>
  <si>
    <t>C</t>
    <phoneticPr fontId="2" type="noConversion"/>
  </si>
  <si>
    <t>PYROTEMP</t>
  </si>
  <si>
    <t>GAS.N</t>
  </si>
  <si>
    <t>GAS.F</t>
  </si>
  <si>
    <t>GAS.RR</t>
  </si>
  <si>
    <t>SAF.N</t>
  </si>
  <si>
    <t>SAF.F</t>
  </si>
  <si>
    <t>SAF.RR</t>
  </si>
  <si>
    <t>DSL.N</t>
  </si>
  <si>
    <t>DSL.F</t>
  </si>
  <si>
    <t>DSL.RR</t>
  </si>
  <si>
    <t>TCC</t>
  </si>
  <si>
    <t>TOC</t>
  </si>
  <si>
    <t>TRC</t>
  </si>
  <si>
    <t>TPS</t>
  </si>
  <si>
    <t>TUC</t>
  </si>
  <si>
    <t>MJSP</t>
  </si>
  <si>
    <t>MBP</t>
  </si>
  <si>
    <t>MFP</t>
  </si>
  <si>
    <t>ERRSIM</t>
  </si>
  <si>
    <t>ERR_0</t>
  </si>
  <si>
    <t>ERR_1</t>
  </si>
  <si>
    <t>ERR_2</t>
  </si>
  <si>
    <t>ERR_3</t>
  </si>
  <si>
    <t>ERR_4</t>
  </si>
  <si>
    <t>ERR_5</t>
  </si>
  <si>
    <t>ERR_6</t>
  </si>
  <si>
    <t>ERR_7</t>
  </si>
  <si>
    <t>326SAF.MASSFRAC</t>
    <phoneticPr fontId="2" type="noConversion"/>
  </si>
  <si>
    <t>MASSFRAC</t>
    <phoneticPr fontId="2" type="noConversion"/>
  </si>
  <si>
    <t>WATER</t>
    <phoneticPr fontId="2" type="noConversion"/>
  </si>
  <si>
    <t>H2</t>
    <phoneticPr fontId="2" type="noConversion"/>
  </si>
  <si>
    <t>O2</t>
    <phoneticPr fontId="2" type="noConversion"/>
  </si>
  <si>
    <t>N2</t>
    <phoneticPr fontId="2" type="noConversion"/>
  </si>
  <si>
    <t>AR</t>
    <phoneticPr fontId="2" type="noConversion"/>
  </si>
  <si>
    <t>CO</t>
    <phoneticPr fontId="2" type="noConversion"/>
  </si>
  <si>
    <t>CO2</t>
    <phoneticPr fontId="2" type="noConversion"/>
  </si>
  <si>
    <t>METHANE</t>
    <phoneticPr fontId="2" type="noConversion"/>
  </si>
  <si>
    <t>ETHANE</t>
    <phoneticPr fontId="2" type="noConversion"/>
  </si>
  <si>
    <t>PROPANE</t>
    <phoneticPr fontId="2" type="noConversion"/>
  </si>
  <si>
    <t>N-BUTANE</t>
    <phoneticPr fontId="2" type="noConversion"/>
  </si>
  <si>
    <t>ETHENE</t>
    <phoneticPr fontId="2" type="noConversion"/>
  </si>
  <si>
    <t>PROPENE</t>
    <phoneticPr fontId="2" type="noConversion"/>
  </si>
  <si>
    <t>1-BUTENE</t>
    <phoneticPr fontId="2" type="noConversion"/>
  </si>
  <si>
    <t>SO2</t>
    <phoneticPr fontId="2" type="noConversion"/>
  </si>
  <si>
    <t>NO2</t>
    <phoneticPr fontId="2" type="noConversion"/>
  </si>
  <si>
    <t>ACIDS</t>
    <phoneticPr fontId="2" type="noConversion"/>
  </si>
  <si>
    <t>ALDEHYDE</t>
    <phoneticPr fontId="2" type="noConversion"/>
  </si>
  <si>
    <t>KETONES</t>
    <phoneticPr fontId="2" type="noConversion"/>
  </si>
  <si>
    <t>ALCOHOLS</t>
    <phoneticPr fontId="2" type="noConversion"/>
  </si>
  <si>
    <t>GUAIACOL</t>
    <phoneticPr fontId="2" type="noConversion"/>
  </si>
  <si>
    <t>SUGLMW</t>
    <phoneticPr fontId="2" type="noConversion"/>
  </si>
  <si>
    <t>SUGHMW</t>
    <phoneticPr fontId="2" type="noConversion"/>
  </si>
  <si>
    <t>EXTRACT</t>
    <phoneticPr fontId="2" type="noConversion"/>
  </si>
  <si>
    <t>LIGLMW-A</t>
    <phoneticPr fontId="2" type="noConversion"/>
  </si>
  <si>
    <t>LIGLMW-B</t>
    <phoneticPr fontId="2" type="noConversion"/>
  </si>
  <si>
    <t>LIGHMW-A</t>
    <phoneticPr fontId="2" type="noConversion"/>
  </si>
  <si>
    <t>LIGHMW-B</t>
    <phoneticPr fontId="2" type="noConversion"/>
  </si>
  <si>
    <t>N-COMP</t>
    <phoneticPr fontId="2" type="noConversion"/>
  </si>
  <si>
    <t>S-COMP</t>
    <phoneticPr fontId="2" type="noConversion"/>
  </si>
  <si>
    <t>S</t>
    <phoneticPr fontId="2" type="noConversion"/>
  </si>
  <si>
    <t>ASH</t>
    <phoneticPr fontId="2" type="noConversion"/>
  </si>
  <si>
    <t>SAND</t>
    <phoneticPr fontId="2" type="noConversion"/>
  </si>
  <si>
    <t>ACID-INT</t>
    <phoneticPr fontId="2" type="noConversion"/>
  </si>
  <si>
    <t>CRBN-INT</t>
    <phoneticPr fontId="2" type="noConversion"/>
  </si>
  <si>
    <t>LGHM-INT</t>
    <phoneticPr fontId="2" type="noConversion"/>
  </si>
  <si>
    <t>SG-INT-A</t>
    <phoneticPr fontId="2" type="noConversion"/>
  </si>
  <si>
    <t>SG-INT-B</t>
    <phoneticPr fontId="2" type="noConversion"/>
  </si>
  <si>
    <t>SC-PARAF</t>
    <phoneticPr fontId="2" type="noConversion"/>
  </si>
  <si>
    <t>MC-PARAF</t>
    <phoneticPr fontId="2" type="noConversion"/>
  </si>
  <si>
    <t>I-PRF-A</t>
    <phoneticPr fontId="2" type="noConversion"/>
  </si>
  <si>
    <t>I-PRF-B</t>
    <phoneticPr fontId="2" type="noConversion"/>
  </si>
  <si>
    <t>CYC5-A</t>
    <phoneticPr fontId="2" type="noConversion"/>
  </si>
  <si>
    <t>CYC5-B</t>
    <phoneticPr fontId="2" type="noConversion"/>
  </si>
  <si>
    <t>CYC6-A</t>
    <phoneticPr fontId="2" type="noConversion"/>
  </si>
  <si>
    <t>CYC6-B</t>
    <phoneticPr fontId="2" type="noConversion"/>
  </si>
  <si>
    <t>BICYCLOS</t>
    <phoneticPr fontId="2" type="noConversion"/>
  </si>
  <si>
    <t>CYC7PLUS</t>
    <phoneticPr fontId="2" type="noConversion"/>
  </si>
  <si>
    <t>ARM-A</t>
    <phoneticPr fontId="2" type="noConversion"/>
  </si>
  <si>
    <t>ARM-B</t>
    <phoneticPr fontId="2" type="noConversion"/>
  </si>
  <si>
    <t>PHENANTH</t>
    <phoneticPr fontId="2" type="noConversion"/>
  </si>
  <si>
    <t>PYRENES</t>
    <phoneticPr fontId="2" type="noConversion"/>
  </si>
  <si>
    <t>DIP-COMP</t>
    <phoneticPr fontId="2" type="noConversion"/>
  </si>
  <si>
    <t>INDANS</t>
    <phoneticPr fontId="2" type="noConversion"/>
  </si>
  <si>
    <t>INDENES</t>
    <phoneticPr fontId="2" type="noConversion"/>
  </si>
  <si>
    <t>124-NAPH</t>
    <phoneticPr fontId="2" type="noConversion"/>
  </si>
  <si>
    <t>NAPHTHAL</t>
    <phoneticPr fontId="2" type="noConversion"/>
  </si>
  <si>
    <t>POLY-ARM</t>
    <phoneticPr fontId="2" type="noConversion"/>
  </si>
  <si>
    <t>PHENOLS</t>
    <phoneticPr fontId="2" type="noConversion"/>
  </si>
  <si>
    <t>SULFAGN</t>
    <phoneticPr fontId="2" type="noConversion"/>
  </si>
  <si>
    <t>PENTANE</t>
    <phoneticPr fontId="2" type="noConversion"/>
  </si>
  <si>
    <t>H2S</t>
    <phoneticPr fontId="2" type="noConversion"/>
  </si>
  <si>
    <t>LGLM-INT</t>
    <phoneticPr fontId="2" type="noConversion"/>
  </si>
  <si>
    <t>EXTR-INT</t>
    <phoneticPr fontId="2" type="noConversion"/>
  </si>
  <si>
    <t>CYC6-HCK</t>
    <phoneticPr fontId="2" type="noConversion"/>
  </si>
  <si>
    <t>N-HCK-A</t>
    <phoneticPr fontId="2" type="noConversion"/>
  </si>
  <si>
    <t>N-HCK-B</t>
    <phoneticPr fontId="2" type="noConversion"/>
  </si>
  <si>
    <t>Not calculated</t>
    <phoneticPr fontId="2" type="noConversion"/>
  </si>
  <si>
    <t>BIOMASS</t>
    <phoneticPr fontId="2" type="noConversion"/>
  </si>
  <si>
    <t>CHAR</t>
    <phoneticPr fontId="2" type="noConversion"/>
  </si>
  <si>
    <t>326SAF.STRM_UPP</t>
    <phoneticPr fontId="2" type="noConversion"/>
  </si>
  <si>
    <t>STRM_UPP</t>
    <phoneticPr fontId="2" type="noConversion"/>
  </si>
  <si>
    <t>VLSTDFR</t>
    <phoneticPr fontId="2" type="noConversion"/>
  </si>
  <si>
    <t>LHVMS-15</t>
    <phoneticPr fontId="2" type="noConversion"/>
  </si>
  <si>
    <t>SG-R</t>
    <phoneticPr fontId="2" type="noConversion"/>
  </si>
  <si>
    <t>MASSFRS</t>
    <phoneticPr fontId="2" type="noConversion"/>
  </si>
  <si>
    <t>R-110.COEF1</t>
  </si>
  <si>
    <t>COEF1</t>
  </si>
  <si>
    <t>R-110</t>
  </si>
  <si>
    <t>RSTOIC</t>
  </si>
  <si>
    <t>LIQ PRESSURE</t>
  </si>
  <si>
    <t>Pentane</t>
  </si>
  <si>
    <t>HIGH (volatile)</t>
  </si>
  <si>
    <t>Gasoline</t>
  </si>
  <si>
    <t>Diesel</t>
  </si>
  <si>
    <t>Hydrocracking</t>
  </si>
  <si>
    <t>D30</t>
  </si>
  <si>
    <t>D33</t>
  </si>
  <si>
    <t>D23</t>
  </si>
  <si>
    <t>D24</t>
  </si>
  <si>
    <t>D32</t>
  </si>
  <si>
    <t>Pyrolysis</t>
    <phoneticPr fontId="2" type="noConversion"/>
  </si>
  <si>
    <t>PHENOL1</t>
  </si>
  <si>
    <t>Hydrotreated Product</t>
    <phoneticPr fontId="2" type="noConversion"/>
  </si>
  <si>
    <t>R-225.2HT-MAIN.MOLE_YIELD</t>
    <phoneticPr fontId="2" type="noConversion"/>
  </si>
  <si>
    <t>MOLE_YIELD</t>
    <phoneticPr fontId="2" type="noConversion"/>
  </si>
  <si>
    <t>R-225.2HT-MAIN</t>
    <phoneticPr fontId="2" type="noConversion"/>
  </si>
  <si>
    <t>RYIELD</t>
    <phoneticPr fontId="2" type="noConversion"/>
  </si>
  <si>
    <t>PHENOL1</t>
    <phoneticPr fontId="2" type="noConversion"/>
  </si>
  <si>
    <t>PHENOL2</t>
  </si>
  <si>
    <t>PHENOL3</t>
  </si>
  <si>
    <t>PHENOL2</t>
    <phoneticPr fontId="2" type="noConversion"/>
  </si>
  <si>
    <t>PHENOL3</t>
    <phoneticPr fontId="2" type="noConversion"/>
  </si>
  <si>
    <t>CYC5-A1</t>
    <phoneticPr fontId="2" type="noConversion"/>
  </si>
  <si>
    <t>CYC6-A1</t>
    <phoneticPr fontId="2" type="noConversion"/>
  </si>
  <si>
    <t>CYC6-A2</t>
    <phoneticPr fontId="2" type="noConversion"/>
  </si>
  <si>
    <t>CYC6-A3</t>
    <phoneticPr fontId="2" type="noConversion"/>
  </si>
  <si>
    <t>ARM-A1</t>
  </si>
  <si>
    <t>ARM-A1</t>
    <phoneticPr fontId="2" type="noConversion"/>
  </si>
  <si>
    <t>ARM-A2</t>
  </si>
  <si>
    <t>ARM-A2</t>
    <phoneticPr fontId="2" type="noConversion"/>
  </si>
  <si>
    <t>ARM-B1</t>
  </si>
  <si>
    <t>ARM-B1</t>
    <phoneticPr fontId="2" type="noConversion"/>
  </si>
  <si>
    <t>ARM-B2</t>
  </si>
  <si>
    <t>ARM-B2</t>
    <phoneticPr fontId="2" type="noConversion"/>
  </si>
  <si>
    <t>CYC-5A</t>
  </si>
  <si>
    <t>CYC-5A1</t>
  </si>
  <si>
    <t>CYC-6A</t>
  </si>
  <si>
    <t>CYC-6A1</t>
  </si>
  <si>
    <t>CYC-6A2</t>
  </si>
  <si>
    <t>CYC-6A3</t>
  </si>
  <si>
    <t>MinBP</t>
    <phoneticPr fontId="2" type="noConversion"/>
  </si>
  <si>
    <t>CYC5-B, PHENOL3</t>
    <phoneticPr fontId="2" type="noConversion"/>
  </si>
  <si>
    <t>PHENOL1</t>
    <phoneticPr fontId="2" type="noConversion"/>
  </si>
  <si>
    <t>CYC5-A, CYC6-HCK, CYC6-A1, CYC6-A2</t>
    <phoneticPr fontId="2" type="noConversion"/>
  </si>
  <si>
    <t>ARM-A1</t>
    <phoneticPr fontId="2" type="noConversion"/>
  </si>
  <si>
    <t>ARM-A, ARM-A2</t>
    <phoneticPr fontId="2" type="noConversion"/>
  </si>
  <si>
    <t>ARM-B1</t>
    <phoneticPr fontId="2" type="noConversion"/>
  </si>
  <si>
    <t>N-COMP, ARM-B2</t>
    <phoneticPr fontId="2" type="noConversion"/>
  </si>
  <si>
    <t>Gas T10</t>
    <phoneticPr fontId="2" type="noConversion"/>
  </si>
  <si>
    <t>Gas T90</t>
    <phoneticPr fontId="2" type="noConversion"/>
  </si>
  <si>
    <t>Dies Flash</t>
    <phoneticPr fontId="2" type="noConversion"/>
  </si>
  <si>
    <t>Dies T90</t>
    <phoneticPr fontId="2" type="noConversion"/>
  </si>
  <si>
    <t>C</t>
    <phoneticPr fontId="2" type="noConversion"/>
  </si>
  <si>
    <t>GT10</t>
  </si>
  <si>
    <t>GT90</t>
  </si>
  <si>
    <t>DFP</t>
  </si>
  <si>
    <t>DT90</t>
  </si>
  <si>
    <t>ERR_8</t>
  </si>
  <si>
    <t>ERR_9</t>
  </si>
  <si>
    <t>ERR_10</t>
  </si>
  <si>
    <t>ERR_11</t>
  </si>
  <si>
    <t>336DIES.MASSFRAC</t>
    <phoneticPr fontId="2" type="noConversion"/>
  </si>
  <si>
    <t>336DIES</t>
    <phoneticPr fontId="2" type="noConversion"/>
  </si>
  <si>
    <t>MAX</t>
    <phoneticPr fontId="2" type="noConversion"/>
  </si>
  <si>
    <t>MIN</t>
    <phoneticPr fontId="2" type="noConversion"/>
  </si>
  <si>
    <t>LOWER</t>
    <phoneticPr fontId="2" type="noConversion"/>
  </si>
  <si>
    <t>HIGHER</t>
    <phoneticPr fontId="2" type="noConversion"/>
  </si>
  <si>
    <t>AVERAGE</t>
    <phoneticPr fontId="2" type="noConversion"/>
  </si>
  <si>
    <t>316GAS.STRM_UPP</t>
    <phoneticPr fontId="2" type="noConversion"/>
  </si>
  <si>
    <t>D86-10</t>
    <phoneticPr fontId="2" type="noConversion"/>
  </si>
  <si>
    <t>316GAS</t>
    <phoneticPr fontId="2" type="noConversion"/>
  </si>
  <si>
    <t>D86-90</t>
    <phoneticPr fontId="2" type="noConversion"/>
  </si>
  <si>
    <t>336DIES.STRM_UPP</t>
    <phoneticPr fontId="2" type="noConversion"/>
  </si>
  <si>
    <t>Main Product</t>
    <phoneticPr fontId="2" type="noConversion"/>
  </si>
  <si>
    <t>cuft/hr</t>
    <phoneticPr fontId="2" type="noConversion"/>
  </si>
  <si>
    <t>0.75757$/lb</t>
    <phoneticPr fontId="2" type="noConversion"/>
  </si>
  <si>
    <t>0.6$/lb</t>
    <phoneticPr fontId="2" type="noConversion"/>
  </si>
  <si>
    <t xml:space="preserve">US national price (Jan 2024-Jan 2025) </t>
    <phoneticPr fontId="2" type="noConversion"/>
  </si>
  <si>
    <t>$ 0.99/L</t>
    <phoneticPr fontId="2" type="noConversion"/>
  </si>
  <si>
    <t>$ 0.87/L</t>
    <phoneticPr fontId="2" type="noConversion"/>
  </si>
  <si>
    <t>316GAS.VLSTDMX</t>
    <phoneticPr fontId="2" type="noConversion"/>
  </si>
  <si>
    <t>326SAF.VLSTDMX</t>
    <phoneticPr fontId="2" type="noConversion"/>
  </si>
  <si>
    <t>336DIES.VLSTDMX</t>
    <phoneticPr fontId="2" type="noConversion"/>
  </si>
  <si>
    <t>$ 2.4/L</t>
    <phoneticPr fontId="2" type="noConversion"/>
  </si>
  <si>
    <t>Stream-Price.PRICE</t>
    <phoneticPr fontId="2" type="noConversion"/>
  </si>
  <si>
    <t>$/l</t>
    <phoneticPr fontId="2" type="noConversion"/>
  </si>
  <si>
    <t>PRICE</t>
    <phoneticPr fontId="2" type="noConversion"/>
  </si>
  <si>
    <t>STREAM-PRICE</t>
    <phoneticPr fontId="2" type="noConversion"/>
  </si>
  <si>
    <t>$/hr</t>
    <phoneticPr fontId="2" type="noConversion"/>
  </si>
  <si>
    <t>Calculated</t>
    <phoneticPr fontId="2" type="noConversion"/>
  </si>
  <si>
    <t>MJ/kg</t>
    <phoneticPr fontId="2" type="noConversion"/>
  </si>
  <si>
    <t>lb/hr</t>
    <phoneticPr fontId="2" type="noConversion"/>
  </si>
  <si>
    <t>UEsDBBQAAAAIALt1wlq3H+Sh4O8AAL3rCAAYAEIAQXNwZW5UZWNoLkFTV1hMLldvcmtib29rTlU2AE5VQ1gYAEEAcwBwAGUAbgBUAGUAYwBoAC4AQQBTAFcAWABMAC4AVwBvAHIAawBiAG8AbwBrAAoABAAAAAAA7L3ZeyPJdidWvdXtrnu71fde7StU7vFIoyaYEblT7NKAJKoINUFSBKure66uoSwwyYIKBCgs1c3rsT/vM57xeDyjkWfVzMjjfV/G8vruP8FPfvCD3/zi7/OnB7/IEbkhAZwEIpmRESAyq78GkcjIiBMnIn7nROQvTjx468GDB39K/tG/9N933iYff6E2unH7527nVbXWevHlUbV2cdHtf1r5wh2OuoP+Z5pSpf8h5dPK/qQ3ngzdz/ruZDx0ep9WTicve93O5+7t+eC12/9McTodXe0oln2JFevi8j1a0E/P5/9iMHz9cjB4/X1y8532m8532qPu9aTnjElpo++2nc64+8ZtRT99p30zdC/dodvvuKPvtLv97rjr9Lo/ci8+al87o7E7PHDGTssd/+TsZTWowE/Eft4f9MfDQa/nDj9sD53+ldt0+s6VO/xO+2o4mNzUOqSI0ffbzmQ8uCaFd86dq+c3F87Y/YX2gdtzx+6587Lnvnjl9r3Lbv/qjObyZ9oTL1X9m47bezrpd7yq0GQnpOphfX+2PXLeuEfd/mv3glTvhOTh1ZU8+PPerfr1S/fiYuHmL7UvB8OO+3TS6525l0N39Oqkfzbp7w+ub6hIF1RlVO6nrkNbp+nc/GR7TOXc6zn91/uDHq212x+PfrbtjL72alDzJDx1+m69T68v3iX/HpD/yKf37913Hjyeb7cvnGGXJt6nCvQyoN1Hn082vT3yf5k25eyTv7zQ8VoN+v80PU31yXyq06g3zGb31i/Op6Qt7n+l32ia939leZpp/6Cpf34+8Vmsy9AEPzef4Nm0F3kief8qC/Wcay6a9I/fad2SXno9o75nbt8ddjvVg673gzO8/R38gx8ECVvjIel/n1auR53BsNd9GRux3oBlGK8vTdPRO7qBbFVzyaj94ac/SCtFoz9WcU5CnLz8XSID38x/yDm7t2jjffAO/aBD54P36MdD2vYffIt+0sv36ccH5OO9PyHgu6zT0OTfeuP0Jm67/eB9mjXNmfQjktEH36bZfIdevkd/ZRyfD9vOcOjcPmx3BpP++N3FPtsIn/vBD70h4lXow8BCvPdupiE+X/gvLBQ+fTJe/EeB6t57jwknqjRp+2rSvXivfexcu98haD3qDLs39OZ322+6oy4FvXFr7AzHk5vvtntd0sH654Mm0TkZzKPvtd03BCGPBlctYliOutfd8bsEQ69IysGVB5/fjP3x9m0/ZY1W6yfbL5zueH8yHA2GFOwJKPdJkp9tP+1NRq+m4gWlkNy/3SYy7lNduMOP2kfELrUGvTfueffa/V67FuB9JOeHbZJjdPV+m+S474zcnw6szcGECnRw23euux2ScvRT7Qv/wrdZT4fu700ITt5+f/b358SCjj7yPls3bufUGb9Sfiy6/IL2PmX2Npq7jWZv47nbePa2Ondbnb2tzd3WZm/rc7f12dvG3G1j9rY5d9ucvW3N3bZmb9tzt2PXnlqUj+f0oswlQPMJ0FwCPJ8gpjuvn7zz1lseAIR2OTQq4L8H3w6Q8xnpZm+99f7WsoFbp/046Jped/Yt1vsfvvXWArTQERcb46QTeokfeqP13f+HoFq8ZApUb7edt9sv32533m5fvN12325fvt2+erv96u129+32777dfv1g+u/9b33r7eDfX/onrz79sd96tveHf+H/+oM/+u6fPHz4Mbmvnd4So3w76o7avznou6O2bqL2193xq8Fk/HQ46Nc7g/6AdO9R+2j/5MoZDXrdvvvwu17eb/2/RH8Pv0dBxavUKRmaD6nn+QnuGJajWuaWjpTLLQ1r5pZ9oTtbrm7rDkLo0lCMD37c08n//qsPHvx/xo/e+T//6P/4yySjnwjQyfv3AS3n4U+RD3w+uKk6NzfNwYXbqxIPdHJDjbTrXG+dEvvpElt5MxlXT88a+/WqioxntdbDn6YQ/8l27+HPkC8vZjPo/ogM74rTv6jsD0bU16zWv3E7E887nlxfEztcbRx/UW+dN+vH5zvV88HY6VVOhwNqNCv7zk2XXtNHH/4sLeV56+Dhz6UWExut2tOHPx+K+QvkSyuTmASZu0P3onJGkKgyuKycEQGG/Ye/SDL+8NQlfm5/vP1nv3Kd4cNfIj+d8lHJxYSopOX03NHDCu1wRBfbXhm/TK7UVWUcEIE7Y3rlFUKHwMPHoUr/mcUcVqhUNQ4a9dbDT0Kd/hny5bc41JPMNYYOTew3+j87U9E/S65+M1Mhj0+rJ9UKaaLu4OLxw1+hA9/LmYyNB885iH/mfF1pkk5BnJHeyK/Cn5upwq+RK3umoDN3RBy2USXM9Pm42+uOb7fIdfVkMqY6Pz85f36+f9I6f/gplfiT7VfDh1sUU1ZJHAyg2Vavhq2+zanNfIm7blBhJV5h6oO995B1CkS9zUdHA+fiKZk3DobfCnzb9+k00Rm6w48PndGrfSIqGQ5vuhfu8H36A3V33iXu7eihZ35GpHrvEK/r2+//PDARaIR5fQLdXMif2ob/+7es36BD+9EjCpMfIPqBab2ouCsmbNTJ/alwMn/mXg+oUoNqffDlda/VeeVeO98m3w66l5fPhs41MZYfBaIF6TxvUqUIrZGP/+3339n9jW+ue5U3geP/GFWVxxWiyMEFyfuzx5Px5RYyHv/Gkw8f7X4z2hl5JVS6F589jqR6XCHu2JU7pn7m6MbpuJ89fjUe3+xsb5Nib4hLVh0Mr7ZpypE7RtVvRhePK6TI/mjnejTuj1hTM+f6zTTp119/Xf1a9VJiRUHbXzaPfB1NJSD+n0OqOewHdRttEbs5HIwGl+OtzuB6h6Tb8lNNn7kZDm5WP0NTPa44Y+Ilv5wQ53MwvD5wLx0yPj97/HsTp9e97LpEaLfnXhOIT7hN9F6pUM0HySrEbXVnlO8Lt9MYBR3js8fj4cSNfn8+cok/PvR8+Q7B++C2l6+fc8dbNvnm/PbGDX4Nfn81IEhdue72Tzod4tJ/9pj0jGvnm/Bq0n9J/LGLUMjpg7OinjtX4XyKCkW1shPrbTj+dLJA07sj34efvwUV3TiI1HDmOhcn/d7tnHZqk/Gg0e8MvafCe2NS8GePSW7d/jhKmb6PbzNISPOLFTjyZlQ5lxmbCfIserafsAjiAWxMhIvBJOgkwkTwphZytfBbdKyPb+UK4a24yBXBW0oU2Ba720lg4t2BQci7FcjNgHrnSainFBr11gaBvD4nVwTiJB6SVnKHZ4OvY5K8HAx6rkPUcxH6BJdkEiAWHIlosZZaP/loN6ZukzOW24R7gyFpv9qQekPcxtHd1PGiezF+tWbN5IFga3zbkzzSzrvjtZCDDndS5hpI0uj33aHfeyX226ZLyqj1L/Zd+hIA6rwChWmNnfEE8kKiAXTy+f13SY66o3GOHohXBnVDBPoU+6+6vQvBZRKTeHJ5SZ4RNHpy7x+1cLGi0O7pVAtS0Xl/0Jtc9yUCc2CoJNuoq/5g6F6so0/DEW3uYqhm3QfR5e+RpwW7MPnCn/fSolypTJKQ90pl+h63NqsG8+uWEkQI1i2DTtp0bg+dN+6JpxuSyflQtnxHg69nXHkZKrq5kS3CGqyqUmiSKwFl9ciVYMrTWYPVRslvG7yBud9zrm+iYvcdDzeCe5Xg5lq5W95YTpDau7eWUu8P+hfR2515senNLv3qXlTW4hUQFSiwbMtkXQPjF3pIS5t7xnkSMrK6dGtBoCjJC9LOqDv1Dk6H3cGQdK/PHm9hpJmapRqaFd2duptPwwHi/R45E62x079whhcBOWH0aSX4dti9uHAl19QnxPtGbr7X+vcq4c1UujgPes+9U4XvpieoIry56aoIZ3GwMsK7eapD8prJAUrsA8G9DawzXlJnvKF1VpfUWS3CUG8caEtUoBVDBfoSFejFUIGxRAVGEVRw5Lx0e0WoKN185nT7dG1nAyE9ql0bdmqj+3n6tZKXa4JX8BtYtUCKIgzTg+7opufcwi54cLMwE5LJ4Lo98CUFFrD63THd99V0ndFk6FZOpgk3XS/7Tr9dp6yfduMCwDqnX/HuVvzXYxu/muFxWNreLldAG/RmJbq58co46JKLkbeWVoDaUhBoexRbEB6COxuvhqn7s++M3avBEF45D1ygeJqNV423qNs+SbIi3u072477qJDIeCyxHIVQxKEzanvWYej2F3VB7lbidzdeHY1Rz3UuFxXRGFWOghsbrwPfk2hcLAEM359oHGwuaOROlw3f25a8sPx2sObbiPVviJHoO738WzJvPa3ooptAUA8ZmuWuSlDCteFHlrsqV4i21rsqn/a6N8GWvbmtUOsgXbnns9zzWe75LPd8lns+07tM5a7Pctcn3EPKfZ/lvs9y32e577OI+z7PnSvsgSC0olDsPZ9+xIiYnNHiMblTiXjUUsdD86KXIKPXqGsiJdEXzIShiuS9NHgnJcLi+TqUL6B/KMeifMFhHeu1E8gbNuBGKn/YSI966I0ZUMBwzEjf40XPmQn3OC/qcA3CNhIdJgjo63ANRCz3H+YjabC5Hd4+6x2VITmoqb/zHd4ouwbyrd6D7Anp7+mFwX2t9h6vk7Q08LcfCF1uGyfEHYiM8ozXLfbNlGRUJjVvehxwqc3jXC2sYckRg74Lk2zJaTcUK4agGW25rFcu65XLeuWyXqGX9Uq2EChhyRYq2UIlH6fk45R8nJKPU/JxYuII9EpKQk5JyEmYCQhxTWX7oD7sSV6PezroS/ZdjifXL93hOnhRL4bOzbn7zViyAWhQI9QdDPcHvYHkEL60dwgWI1948cdcgUDmqNtfB4/zhdu9eiV5eHsdudG/cL/ZlN7sL6oWqDeX1qq0Vst7x0ZZq9Ph4LLbc2d3fpbLtuWy7fov23oEsLWUbK0XlIl8Z+cL70rXQbLjwckl0ddI4jLdeffa9czNG6cnmblBJFkDimP5+qF8/VC+fihfP5SvH1K70yU5LKYRqdyfkqA2g4olQa0kqBWAoNbquH1n2B2UaxrlmsbM9LdxsudQr2wt5+blgssdJKPYtU/+p1mtpYBrvSK03gHJ1mBVqFwEKRdBykWQchGEq7vvvHH3BzfLz1gVP4akrs2ALqM7IsWMj6l5XzfTdOZ2iUvUdXrdH7lrJlrT6QwHe+4lmWq33HGjfzMZj2qdcfcNFJOCpq34iSskdcVPXgnTL6mY8NAfsXqdTfpMNSLp1rcqtUsCRStr4qVa74rM9TVaIntP81MvwZx+rfUinM+354qS2P8Yakkb7S7VI8/J643L6jXti+mqFeYt3MoeDTrOODjmaLZC9G5lelsq6Suwb/MiHlfmDZ/nNUU6RrlJKWZxrnxJEteG1AVo//UEVbdkykH5tmZ93taIfS+SM+a4N87QGQ+Go0b/cpAj4DwbDiY3pDS5TXfgdrrXTk+oHPwa0E//atCN8knIgVZ80u+SIoN6e9EqP3enIdlOh0QPw1vyUwDt00I8aXtuh3SKyjc3zvjVZ4+r29vXo3F/tOMH5+z60Q22Z5657Lq9i/ABPzUdI9txSX2ZkoSMZU61vz/ok5Zx6NjKQzjfU0shXtjmRGeYjx7P89Ej8TC/PKLSEqn09AJ5G0RXCxWh4MqU0fbMuykbcVB2zH7mqW0tq6gh5zynERaXlYdaoxiOOUABzZuOUYpaOQiUevjHdWdm1d38EWA5y2vw6pcCEMu6i0hrgVkzo0vhovIccSuKCkAEi80G7w4GYWjF3ASlyuArrAj1en2Or9g5jcLFOBGpsHc+xoTs4ei94+Oi+OBtIW99x3ZFcxEzvsuau7CxTa9chI1vouUuLLSDrw0bxOks45i/2QR3EuZa2wjR2gnWaFl9sxstmOvNvcYzNEYZDTvLo8ytfpJbc3FBmkdNX7u3Q/cSakmgPJLSHS5v8PzqsmCfvAr58idVaGYGl1yh2VljflWIr6KnqEXMlMx19UD+BduVz7iZZXfdtRkSUClDU9wV52I7P1JUBjIjy+vEYADzrehdhk7MJVheuwVfJN+6zDkp6YYP7AJkG0V3dCvuPJhmnXvI1Q/qA016RM4f0tVldTVyrwE8r2HuXPMzwmzdKvX8kneHWhzpHDqUQNRaUpE7QtadapEer2JvTmILOYHo0bsj/itB07Pe7mraF8W9izlPI/P07Lc7yOx1MAY/hNU8i+7hfHu3gJ69qPjZJeOsus+6AJ22v7NVgbXf36UKGU0WV0dIpAcUvKpZeHMDqB/l9hYIesXFjO+elhYH78x7bWa8FGtWeRpUEaY09GvAkXo3hQtAmlk3AJQ9vTMgFl5miBWZ3WGx0DLDXwFgxcyFB7MST+aoSD6dqfPKvXaePNQfPHjwT//WT+1edC8vr4Y7/h/nuvLNdY9k7a8+fvZ4MuwHT4y2rrud4WA0uBxvdQbXOyTdlp/qcfCMn8WqZ8KCtt4QrN2NlOTnsZqx9WR3xqhWAvG7F3PWdsqRGA6+PqEN7DG8guSvnNH+K+9wt88ed/sjdzh2adaNgyfK7jb53KVrsk8ax1/UW+fN+vH5TvV8MHZ6FTJ9v5h0xpWW03NHu9teql3viEnSBrvejmL6xeNznblOb3fb+7p7Slrtyfngpurc3HhiVlvdH3X7VxWnf1HZH4zG5Hu1/o3bmdD9EK3JNV3zra4s38t2t9W9nvQ80veT09vhoHc76o7avznou6O2bqL2193xq8Fk/HQ46Nc7g/6ANMmofbR/cuWMBr1u393djmWw6x9594TK9Mt75u52cL07PYTxibf9Z3c79svu9NDD8G7sl93YwaJPjgdjulVidzv+4250mCfVXshqDrOKrnePuv3X0eGeT54NBhdEjJnfdk9e/i4ZWp7WQZXF7gdp55s6TBM27pTWBuc4k4J0ITSbGf2B/IqfzDcvvYXpLfXJYmegN1V6U6MaaRzo/h+D/jlyXro9WBb/1u5Bd3TTc26TZY4n2N13+u063UNIO//0YvfQGbU9TB+6fXpr5nq3Meq5zqU3Xvxvu9szA5B1oGJgoCKGgYpiA/WkWjmlMVUvHgsdk49Pq/GS8x6NSLnXw3GqqIQxeLJk5E0fXhxuJ7FB9vg0NqzmxqE/nsBxqHljLGEc6nMjL9bq4Iibub9GI00FRhpmGGk4wSQeuKPu0L2onDljtzK4rJy5Y2L6hY7AJBHyHor2vR6JSVrLZBuTMpVkHpPEAcZrUtI1GroaMHRVhqGrLvVmT0hPdKg6PbVKcGfnBch72Or3etjCOuPg0M5nKdWjnRcm0aWdT7hGw1UHhqvGMFy1pcP1+bhLelfXHckarvMC5D1crQ0YrvM64zBc57OUOlznhUkcrvMJ12i4GsBw1RmGq75qrYg2Y2XfuenSa0mDFhYj76GrbcDQhTXHZwEJyFj2OhIg0rLlJCD5Gg1pExjSBsOQNmJDGhhvB2Si0BnTK0/5tOPwHtJgEbkvLeF7PV5BnSUMVGiMJE9qoYwXByo87vzx6g841f+TPF2FCoLmqlA6fuMOZR13FjDuTIZxZy41pWfO15WmQ4/NIv1EliGFhMh7XBr3elgm642DEYWylWpCIYESDSiUeI3Mpw0MY4thGFvLzWfgLuRqP+Eycjeg6F6PVFhpPCwonHMeJhQuCRiBcMI1MqKx7V/T4WczDD87PvzcMdXiqOpGXdnxoi3ODDgqrP/FH270tLArd7hkxCVnm98Y884w84tpvXLd8S/X8E4jB5fVHybwcKOaml5wG3mLakwadYHil4y1xbyAcRZlk250LeYNjKzFRLOjio6U9v5g0h974yp2KWpkQbQgxMILQgo4tgbOZDwYOfxGVSzD3MaT16r3eMjEdJRhsMRy4ThMYrlCAyR2e92GBkjEYWLixKk4p1+dnTSOq/UvT89wOCZix0VQxVZuBt3+uDIYVvx4bZU3njtzSX5o3bidivvNzdAdjUjqasXbJe30x5/S5E8Hw/HQ6ccSVLr9CjEN1yP63vZpb/D1iJoHkuGQ/NKvHLiXZAhUtqMnvdujauWMHq6+1el1O68r40HF52NWIh1RwuunlfErt1+ZjIjKhs7VFvFMti6GgxuavjO4uaWFeKlHNHwpKeYiVmJQDmnkWNUDbLBVq2poGNmaaSq6MYsU9HzqZJiIakhdpRMv15HHgbjqb1HVVQPte5GEwzYQaZbNnUYOnMGlGLOgzhwQJ6biRMjxVb8EcILmWMAaH0MY8SXIJIAWIu3YIa0zjEqf/jK92fbrUG81nh1vtU7r+7Fk/r1dP07+E1rB7mXXJcoIfplBr6Bw2FNuNy5mnGV6vRTWpjLsk4nw1WB4myRjdD/mlyMZfjnEoEIsFCoU51Cdb6lIqR63zmvP6hBEHk+uX7pDimgE+khmnxKU6/QmNHoqQZ7+hUuz9mZKQ/floNtzhzDQqEqELd64o0Qu/4s/9p7Y5F8w6lgdlb3eoPN6VPWr4MNMWBGROGPtNOCXwzRERiLM+DfvhDJUlzkAi6/OREzx1LwEUkLVZ8OUMJcFUAmKT8aUs9rB07NaOjzxQ317fc/vf+EvM1ATypQf1uwdnex/vpYoA5G9EAvbC6kLKPO0Xj9oJyLNU5d4LR7IVPoe6MBAguaBBM0BiYqyw8hU0ir5cQuJBRR7pwFzOvMCFLSWgBLvLouToqBd0s2IgofEgEsMLYJyiwggEP0MsfDPkLYAIHu1VqPVPjuD4OPMvexNvqlQFt6g8ivTK5dqfdzt9Sihll7/auXrV93OKzJxo34MmTFdDl238jV9/+FN+5xer9KhB0PQFO7NmCQnUy8yNLoXldNX9MZnXzg3g+HWUff3Jt2Lrafk8Rf06Vr/tkXhC8YtrYo0XdUNFZnqPILVt5A+h2JIif7NwtnydxAAlk2VJhLDkLLTSNgjkheKzWqYF57tOUQ/T5onRwSF/O8cIW7aNtm8pmk+Qv0mVP81VU9wmqYiSUE9r6nawbLEk2at1XpE2/BR6/zgi5OjR0FbRglkoyTE+kMstD+kz6IkFjGZQ0aekzksczKHEMEt+P1pbt5XPutEq6EJy53O4XI6JxxnICoiYuEiImMBZ/hM59AslHikCw838N3ncRiax2HBy88IEySB3wvnhiT5vOPKiCQr5nEYp57FYWjVORdEic/hcK7LzeuLGRCNErHwKJG5gBn3eQaHqopt6siwsYZEzOCw5BmcSvBLFYtfMxpelxncUnATM4PLzVUqZ3C8UBJiqSIWmiqyZlFSFTKDs/KcwalSZ3AawS14y1duuGVJ8rtUuTM4tZzBicYZDNFxEQsfF9kLOMNlBmfmMIFToQkc7W1CgUQnQAJHacgLSMx1xJEV8zdVST1/o4+IwZP4/I3mXkTEgGjGmIVmjJUFxLjP8zelauqqZSPbsjUhr+BUyRM4g+AXvGkvL/yaU/G6zOCWwpuYGVxurlI5g+OFkxDnHLNwznGcc+6HFrndak2uq+cn58/P909a53MbMmzLqGJFM3GEQt4+wyefbL8i7pH/nQVqztwRafNRJdwnHC/7ZDKm0BMTIedthwHe/PoiEKnEkVJzCHe1fE4WU3IOPtWc6hPRJ9Yky3YRT1spGwjFMlpAoefnjaOt1vNms3b21VJydu28lohE+06vQ5s/ycuKCTCDOZPBdXsQDPRPti+c20e0s5OP626ffJLx1CF/BqSht25dh97wf/nadV+TP95vr/0HX3tPvo6nfh2kaDb9JPTv9C69ol92t+NSZIDBg+6126dbPp7Qmm6d1c69yWj4ozea22eDr58gOumKrkCW+ZyyIa9RxrZPDAboZIrQGaeXq9ho1Z5WW+dnzfbz09NZHFSqSDd1ZNk6nt14smKf9XjoOtejapB3AHRhEdUvjoh9eXpWbTa+rB9Q/KsdVWtnza2a4E2hdFeo6G2hMxrNAfUC1Seind8kS4Bu2hEWZ5JBw8VCI3hNGIuH4DVmLHpu0KxhyNwFNAzuLyBhKGYyBjbJkD5r0MLuiINB0fn5XUST9VpzLaED4oxjFs44VpmhQwBg7AkGDJUABvy+LUfAKApM7K2AiT15MLFXUJiAmOGYhRmONXYPQ1GxiRXVMMycEaNxfFA7bgmGDI1ARg7RDVf4GHGdbj56hA2bCB9hAhn4EZZdSACBSNOYhTSNdVYAUauKRTq6pqv1LUXPH0Lqx3XRGKITDBG9ODOv1kKgiN+2y2DETyEJR/zCCwkkECsas7CiscEKJFpVVxC2dNMkPT5vX+S4dnp4fki7g1AkMQiS5BAkcsWmr1m9bj6STBs3EUqmSWRgybT0QoIJRJfGLHRpbLKCCapixUSmamv1LWTkDCanh/Xj2vH5oWAwMQmYiA7fM6/XzQeTaeMmgsk0iQwwmZZeSDCBWMWYhVWMrRRrJIpi27ql6YaFBIDJyZHoKY5FsCSH81tWLZPMqLUYWOK17VIo8VLIQhKv8CICiQrRhjELbRjb7F6JiVVTVU3sk+nyBZKTo6+2amdNwUhiEyTJ4bzFFV7JrF4LgCRR4yZDSZRECpZEpRcSTCBGscrCKFYVVjCxqtiwdRvReT3O+23v6Vdn4hdeVWWnocIRcvLDknm1FgBLwrZNhpIwhRQkCQsvJJBAlFuVhXKrIuaFV7Wq27at6Poc2bb5m9uvr9KwbVcAy9HhF80WMdBxZBGKKE2881w04SyuXV5YErD9a60WxPbPFV7CNmTHlyVEXFnrr0HRifTbvfFku/fyUcfpbV9dP3pG/76+ekRHw6PXwcVr76oZpGz6V9FlM0zWbJ52vJ/8Pznwa2kv2Kof0+XkU5hiqykrGLZrDH8Qx1Zl4diqKTi2pqUgC2kaz3Xi1rOtM3k4p+48F86Ti6vxvjlNtLU2DtGK4iJBZFqVhUyrMpNpcVXDKunals154Yai99Ozljyk0Haei6bHzSvzvoFF0GYlXtxTvIBYtSoLq1ZlZtWiuZnU/uwsqjYcOrd3xowDy9hCeUZ6uOcHTuU6+EPlpzwvOHiK61CfOWg4KCBxSrP/6Omjzx+d3XkCghInIOf15mn9rHb+/Cxhix/d45Xv/APldbCqChFoVRYCrQoQaH3DQTexc96oE2YcuBEvaJfJ0414OvzRqZxTHTkuyOa8iDJtbMCDCP2FwH8IGiz0H1aASZBahtsQFF1ItwGiwKosFFgVoMCKgoLDXEP6Bjig7jTu8a68NcKBQ8wMAodQgF8BCHCYa4jfNR7+EGlVZSGtqgBpVdTwPxEx/LWdhvAddhs5/E/Yh/+JpOF/UtThD9FMVRaaqQrQTEUN/2MRw1/faYjeHLeZw/+YffgfSxr+xwUd/hpEDlVZyKEqQA4VNfxrIhYBjJ2G6B1tmzn8a+wrADVJ0/9aQef+GkTn1FjonBpA5xQ1/PdPBAx/CUfIb+bwp63FOPxpUhnDn5ZbyOEPkTA1FhKmBpAwxQ1/Ed5/4tHu5fhPO/7Z3f99WdP//aLO/zWIiKixEBE1gIgoCgKa9fPD2nGup8sEMJB4IHsJA+lgIGoyRiiI0suAg6jwQkICxDvUWHiHGsA7FAUJwhBhyfHmJSakw4SUkCATEQoNCBCxUGMhFmoAsVAUIJyenZwKQoTkg8NLREiHCFGjMUJClF7KBs6w8EKCAsQg1FgYhJpEBuHx1t7zc0GokHwIeIkKKV8gRq3G+hoxekDKy8So9EICA8Qn1Fj4hJpEPiHx7+piYCH5bO0SFlJPH+rppg91idOHemEBAWIYaiwMQ00iw5A6d4IQIfnU6hIR0k8f0kBClF7W9KG4oADxDjUW3qEmkXeIqGcnCBWSj6AuUSEdKkxbjREWpg/IwIVp6UUEBh1iJGosjERNIiOxJYSTsORY5xIT0mFCKwUroSWLldAqKitBh3iJOgsvUZfISzwWAwImAYGSmshlXTEFCBzLAoHjwoIAxE7UWdiJOjM7Ua0iSzWQrmh8Dvma36iw3zjINbZsiAkWwQTRdMV53W0gQATtx7p7wU8tZQODX3QhYQJiMOosDEadmcGIqraGTd2w6lt0pY43Shwd1A+/OhCyqmAToBAfxX5Ge5uIE1ELskJF9IAUtIhKLyRgQPxGnYXfqDPzG7WqYiqqqRkoF7/i8/r5Sc5R68NQSMpOA4tmO85rbwMRI2pBRsCI0svAi6jwQsIFxH7UWdiPOjP70ajaqqIaikojh3I4iGvBwdg/Ocz57K0QLxDBC9FcyHn1bSBeTJuQ2cMIH5DjYYSlFxIyIG6kzsKN1Jm5kUbVMolbjQ16NBTmDhnPntcatf2TXIM2h5BBwy2KJkrOq28DIWPahIyQMX1ABmRMSy8kZECsSZ2FNakzsyaNqmEamolNMhHH/CclrefPjpovRACGSgBDNIVyXnkbCBhhA7K+Fg2SS3kzGpRdSKiA+JQ6C59Sl8inJC12KAYdNIIOJZ2SEyAcpgOEQ4mAcFhYQIC4lDoLl1Jn5lKqVUXVFNNSVWL+LP7bL748JxfnIuBBJ/Agmlc5r70NxIqoBVl3Y4TppWzHCAsvIlwYEMNSZ2FY6swMS1S1LctSLWzXt1T+zsRRg7p/WzUReGEQvBDNuZxX3wbixbQJGQFj+oAMxJiWXkjIgPiYBgsf02DmY6pVzdA1rGCtvkU3SOYDGXsiIMMkkCGaoTmvvs2FjL20kLEnFTL2CgoZEHvTYGFvGhJjS5I2OxTlWFgEJcoQk5yA4TCtL3Eo1Zc4LLAvAfE1DRa+piEx4mTQZkLcB5sAQxl0kiMwpPIYDqV6DIcF9hggXqbBwss02ONOVhUFkRSaqppGDtGl9k+apyIOplN2GqrwGJSzuttAuAjbjznKlJ9cTowpv+xCAgXEyDRYGJkGMyMTVVUbG6apGrls+WgJQwpEkEI0H3NeeRsIFa10UNGSCBWtIkMFxMQ0WJiYhsQolSKI2iomwFCGp+SCBewwIAkBCjr4IU6lwcKpNCRGotwXMfjpydZlEEoux9uwH24j6Wibgg5+iCVpsLAkDYksyVrrUMTw18jwLymSXPZl0QZj3ZJF00rZjUULLiQIQMxIg4UZaUiMMtmqHR+IQAGdoEAZYZLLDMBrMdZJgJdYyjzAK7mIQGBCnEeDhfNopOA8GqpmY0VXc4sltdU4FsGRVg2CDOI5j7Pq20CYmDZhiohS/gOygkr5pRcSMiDOo8nCeTSZOY+oahqqZXgL5Qr/95H7Z3vHoiDDJJAhmvM4r74NhIxpE7KuMkQPSFlsiEovJGRAnEeThfNoyuQ8PjtsikIJi6BEyXnkQm2KWo2V2hQ9IIXaFJVeSGCAOI8mC+fRlMh5bD2jLSaEDK3aBBhKziOXtYio1VjXI6IHpKxJRKUXEhggzqPJwnk0JZ61HbSZCDK0puw0NOFMx00GBnYy9PQBicBQUDK0CXEcTRaOo8nMcdRoSCMTY82sb6EcUGJ/67R2RntJ/iiBCEqIZjnOq28TISNqQlbIiB6QAhlR6YWEDIjraLJwHU12rmNVwZauIt1S+AeBaQoEDEwAQzj7cUZ5GwgXzbRw0ZQKF81iwwXEjjRZ2JEmMzsSVW3bVpCeUxj8xtbp2VMh6xOaSvBCNGFyXnsbiBhRCzICRpReBl5EhRcSLiA+pcnCpzTZ+ZRVpJo2ti07L6wQsmShEawQzq6Mq25jgYJ97SJKLw8oirpyAXEuTRbOpcnOuawqKjKwopoK/9My9r/a18U4FToBCuEEzBnVbSBShM3HypcIkkthSwRlFxEmLIiRabIwMk32c76rCGkIW2oOB2R4bSfEnTAISgg/9DuuuU0FCXZvIkwuDSQK6ktYEAfTYuFgWswcTL2qq5ama8gis2wzD5wwxHgTJsEJ0QzMeeVtJlQY6fwJQ6I/YRTWn4C4lxYL99Ji515WFdMydMPAZi7TDkOMQ2ERoBBOwpxR3abCRCqPwpDoURiF9SggJqbFwsS0mJmYatW2dNuwNTuXtx57DdKARycigsRoNoEK0bTMefVtIFhMm5ARLqYPyACMaemFhAyIo2mxcDStNHEpNVUzVduw+AebI41nnh49FwEYurLT0CUEpowpbwPhYtqA7N5F8IAk/yIovZBwATE3LRbmpsXM3FSqyLQ0pGoq/4MyamdNIesVOiJQIZqzOaO4DUSKoPFYt5f7qaXsLfeLLiRAQDxNi4WnaUmMSUkbTMTqhI4JLJRxKXmBAfuKRJBaFhgUdT0CYmFaLCxMKwUL01SQaZoaPRqKf5SJ08P6ce34XETgOl0l4CCehjmrvg1EimkTMoLF9AEZeDEtvZCQATExLRYmpsXMxERVbGBDV23a523+kPHVWf24LmRBQiOIIZqMOa+9TUSMsAVZASNMLwUvwsILCRcQH9Ni4WNazHxMvWqrhqEhHeeyk/SgcSrqvAxdJ3ghmpM5r74NxItpEzICxvQBGYgxLb2IkGFD3EyLhZtppeBmKpqCbWSZOn8uReP4oHYsxL0wCFyIJ2fGVbeBYBE2H+tejyC5lK0eQdmFhAmInWmzsDNtZnamRvdMY023rXx2kB4fiJqImAQpRNMz57W3mViRaiISpZeEFsWdiNgQQ9NmYWjazAxNrYoUXbc1U83l2D6Eta3j2qmQpU6L4IVolua8+jYQL6ZNyAgY0wdkIMa09EJCBsTWtFnYmjYzW1OvWghh3TZy2f5B2+78kHaA/BHDJoghmqw5p70NBIxpC7IeCxw9IOVg4Kj0QgIGxNW0WbiaNjNXE1c1rJuqqdDTbflPSU5Pjr7aqp01BSCGoew0DNFszXn1bSBkTJuQ9e1I9ICU1yNR6YWEDIivabPwNe0UfE1FIZ4cslVF5b8Vnb4OPzkSsYhhIAIY4jmbM8rbRLwIGzAF+8JLL4t84RVeSLCAuJs2C3fTlnme+POjp7VnxyIAAhOAKNmbXGLvho3GGno3TC8l8m5YeCFBAeJw2iwcTlviOeOn9ePz2nFdBCioBBTK08a5eApho7F6CmF6KZ5CWHghQQFiadosLE1b4vnjh1jINEIjgFCeP84DELwGYwQDL60MIPAKLiQIQNxLm4V7aTNzL42qbRi6bli4vqXyp1IdPTsSdTqgoRNYEM29nFffBmLEtAmZjwoMH5BzVGBYehEhAykQ+dJmIV/azORLXMWaZllIQfUtzB8z6l+en4nCDINghmgC5rz6NhAzpk3IiBnTB2RgxrT0YmIGxMT0kGQlaJBUqYLUIFXBVj7xdI2tw/3PRWCGSTBDNBVzVnkbiBjTBkwTAs97QFoQPK/0YiIGRMb0cIQBMVIEzEQ20kwV5zAxOaatJyRSjWERvBAfMDOmug2Ei6j5WFlVYXoppKqw8GJiBcTC9BCEASvYzy+n3GOsIcPkH6LCbz8R4WsMm2CF8IPM46rbWKxgD2UTpZeHFQUNZ4MUiIDpIQgDVjBQMPkF0T3xu3buiGAqOw0zB5Ll8WBcabnjOVDINOTlhcMNGoM5Gm6QPo/xTfXaWRkQNxCgmGMcYkx6I59hjDNwJrktKRzWzkQMcEQGeA6kyA0a4H5LsK4LeIllDW2/9GKOa4jc6I12hnEdpzfqSPHH4lHzy7mXlYauVU1DNaZ7M5/3u+PRk97L7VdDMha8izQIQMuKD39SZDXofvmN/P3BiAx8TCw7Vn69QRvJ6Yy7b9zWK9clN1Rzp6GKXmCMq3Y95gA6jWWzHD+8DrISP3yIWHmYuP/QAnDoQUidvBz+oNwZyJgMrtuDG6rE0ZNnV9fbF87tI/r31fBRcBVdXHf79M/I7Tx6feXdIn/ILfJJb5E/A9Ibtm5dx/stSOdfjgf9vhu/7//gfT/aIhcjL8Pg66voR5oxGXH0njfw6Gfw2zQzckELI3+8y2YgeNOXvBlkNU0f/uJfBNk3/fybMzk3ozyBXGazifIJM5rLKZbVQkaxbObvTW/5GqNF+N9ehT9NU8eUGqk0VGikzrkSogJ2t+N9IYMtOeheu/0RHZZ05Gw9PTp5QTtd+KOHo+2zwddPaHePLu6bCYKotJ5hYjBBcTItVpTqF0et84N5C2Rhu6ooBCb1OQvUmVyO72iDaGGBDQrKFGaCiO+JEWSCLGKCRK9Zx3XL1wR9cXL0vFm/ixHCyjIjFHWRnG2QJ4VEG1Tbf9p89PJlz8Mu+pdAl9fh6XXQ8/2/FMu8LxT7O5PrIMW1n+A6uH8dgzp6FSb2frhyvPzpH8+CheW+DrN7HeT3OnzUv+895T/T835uhk82A5GbkczNUOhmJHUzzL4ZZN8Ms28GEjVDkZrTnKOsY3lPM4+eDB/NAc79vr0M0PE9BnSIBu3BPAOgx4nQmqJViaYWpxTI0HVkV03EEdBpYSGg+2UKA3RMAB1DgG4TQBf9YiGu23UBdI0uISUDethFcgZ0T4oS0EtALxygQ5R2D+YZAD1Oajcw/jJhlUjTDE3HVURJF3xWibzCZC0TqQTSVQDSNWWnoYkOvxHX7XosE9G2WYd1Il+OcqGoXCgqF4rW3gwhaJeEZ5wYzFB8nwTWdXheYWPVqKpYjwVsyb5QRAqTNK/QiBHSICOEiBESHdIlrtt1mVdgGvZf+rzCk6KcV5TziqLNKxC4hQUxbWFB8S0sGCkwoFs6wlVNs+z5WUUWQJ++fRYN6DoBdB0CdEwAXXQInrhu1wbQl75+Fgbokt8+l4BeArocQAd3GCGmHUYovsMImxgGdA1rtl5VFcQRz0lZkvDcIHhuQHiuEjwXHT0pptq1gXMTrwOcm7iE8xLOCwjn4CYwxLQJDAGbwEBEx9io6qqFdZMfpM9SxIWhOvAGlyC8KjxURUyj64LkK6nlosBcwG6wEs9LPF9PPAc36iGmjXoovlGv5Y7H3f7VqOpMxoO2+4YADKnjHEdndkcvxcYrd7gEuxPyFArXBK1F0234YXQMeud0mADKocqXwPJcRovgPM0jHT7PZRzgdBwz51LMbs9ZMphFDSZwRxxi2hGH4jvizrYQUqr7J/WnKBxBB+6oM+ze+N19MOrSLloZjQfdzqvu4NodD7udSmfgXl52O123P65cDoaVkdsjTeheVG6Gg4tJZ0wSXN+QAdIfV4nyYhnGIvsgTVexOiXRef2b6sz/wuJy7fUGndejql+JRp/6W15Vqqha228ctGR4XZpJps8ygv1E+sxhSPuKThzLXgMsGchB/1ocwCi2Z89rsemmvannpd7J1wpkSna1zlrnJ439REerdeN2upfdGT/LvXQmvfETVP81qufwcqX/NeMLoIz7+faOTmgQoeUWHkmx8OB2PsS0nQ/p6wFKiq5rpp4bKBE4OTw5koNLFsEl8UGFYiq9r7gUNFoJTfcYmsBtXohpmxcy1gKaTGQqimXhnKDp8/r5yXFdDjLZBJnEhzCKafSeIlPQZiUw3WNgArcrIabtSshcC2DCtqpZlmrk5jMd1A+/OqjLQCZd2WnoognzMyq9p8gUNloJTfcYmsCNN4hp4w2y1gKakK2puidMLtD07HmtUds/OZICTYhAk4STMacqvafQFDZaCU33F5owuBkDMW3GQPZaQBNWdWsmKAhfaGo9f3bUfCEFmDABJuEncsYVek+ByW+yEpbuMSyBWwow05YCrKwFLBmqahg2QvnB0qEkWFIJLAk/EzSu0PsLS4clLN1rWAKJ8ZiJGI/RWsAStrGCtLyWmI4a1PJu1aTgkkZwSfjRpDGN3lNYCtusBKZ7DEwgxRszUbwxXgtgUiwN2Ro9gCNPZNqTgkw6QSbRp6POqPR+Q9NeCU33GJpAtjJmYitjdT2gyVBNy7bycproCZi1/XMpyGQQZBK9sWVGo/cUmYI2K4HpHgMTyPzGTMxvvB7Mb6TRhVrLzM9nOpQ2mzMJMkkgf09Vek+RKWy0EpruMTSB/G/MxP/G68H/VlSkmt65cHlCk5zpnEWgSQL/e6rS+w1N5XTuPkMTyP/GTPxvvB78bzKQTAUbeU3njrf2T5qnUoDJJsAkgf49Veg9BSa/yUpYusewBLK/MRP7G68B+9uqGrah2PUtJTcekzRYMpSdhiGa+z2j0HsKS60Slu47LIHMb8zE/MazzG+M9So+PN9q1hrH1ebJUb39VaN+dACB1Fddt0eQxx1WJv3uuHLtjEaVwWVlPBg7vcqlS1CJXEWANKqMXznjijN0K/3BuNLrjihuOaNKg6hyPILxCleTt8954/UJUqJ/wRBOh2C0vgdEceEvUd19WJtqoHp6WD+WtBXY0Ai0wZyD8XCSjGz+zbuFhapK2mYX74DLDn2Idc1FeAvaKgZyEaYxnTCcDG2z4i3BuEC29BinlPg2j28qSB/HTPRxbK8xvilrhm5ICrrpBN1g3kJe6Kbce2xDJbZtCLaBHHSViYOurrPvtj7Ytv/Vvr5Vk4NtNsE2eK2sxLZFbAtaqsS2DcE2kMiuMhHZ1dJvY8Q2QxK2mWinYcI7mktsA7HNKLFtc7AN5MKrTFx4TSmxjRnbsBRswwTb4E3RJbYlYRsusW1DsA0k06tMZHoNldjGjG2qFGxTCbbBO6tLbEvCNrXEtg3BNpCPrzLx8TVcYhsDttXOmrKmpDqBtvJVAiu0+Q1VItuGIBtI51eZ6PyaWiIbK7LJmZAaBNngLZQlsiUgWzkf3RRkA3cDqEy7ATStRDZGZNuT47NZBNngfU4lssHItlf6bJuCbOCGApVpQ4GmrzGyoWrynkwp2CbHa7MJtomlf3iKv9/oVvptm4Ju4L4ElWlfgmasMbqtj9/ms0GlgJtBpqRGOSVNx9stsW1DsE0D9ySoTHsSNLPENmZsk/KO1DAJtsFxgUpsS8K28h3ppmAbuCdBY9qToK3zngRUTT5aSM6uBCngZhFwE7vi5in+3sKb31Qlum0IuoG7EjSmXQnaOu9KwFVtndDNkINuprLTMOE4IPltltfuN7oZJbptDLqB+xI0pn0J+jrvS1CryTGLpPBApICbRsBNbCQQT+/3Fty8liqxbUOwDdyXoDHtS9DLfQnM70qlIJtJkK1ccUv1orTEtQ3BNXBPgsa0J0GP70lQVeOgUW9Vm7VW6+lZbT+Es3mUYcCO1njoOtejapjlyWTsQUWQsw8R1Re18/pZnkBx0HVHT3vO6NUv1/BOQ/gxtfwQYs8h2nhC1be77X+Pg0ag7UTUCFphGVxETb4IFhE4BGARtBojWASpF8AikikZJZr00UbtKBEn9p1ehzb5DFDEECAoOxkUlIyg0Do/q9eaq1BBkYIKIJ9fY+Lz66pMVDjEgiBB3WkIPyJ2MyHhEDPjAU0qBQxowcVEApD/rjHx33VNJhKciEICbach/FDWzUSCE3YkOJGFBCeFRQKQL64x8cV1XSYSHItCAnoKaokEPJDgmB0JjmUhwXFhkQDkVmtM3GrdkIkENVELBpSfXCIBDySosa8W1GQtFdSKuk6gg0xkjYmJrJsykWD/RBAS0HcLJRLwQALaZIxIQJNKQQJacDGRAOTt6ky8Xd2SiwSipgfWTkP4oZqbCgXs84N9aUsF+4VdK9BBnqvOxHPVbZlo0KyfH9aO64IQwd5pCD/NcjMRIWo3VhpCmF4KMkSlFxMdQJ6ozsQTNRSZ6CAUHJCy00Awm7yEh5TwkBIdpIJDsbEB5FnqTDxLA8nEhtOzk1OB4IAIOMAnYJTgkBIcopZjRIcovRR4iEovJj6AfEWdia9oSOUrHm/tPT8XCBCYAERJWuTzNjJqOtZ3ktEDct5MRsUXEyNA9qLOxF40pLIXietXF4cQKkGIksPIa35RTze/qMucX9SLiw0gn1Fn4jMaUvmM1O8TCA4aAYeS1shtfpEGHaL00uYXBcYHkOWoM7EcDaksR0SdPoEAoROAKNmOXABi2nSMCDF9QApETIsvJkaA/Eedif9oSOU/toRxHZBB4KGkQHKBh1YKtkNLGtuhVVi2gwGyIHUmFqQhlQV5LA4PTIIHJRGSz3JkCjw4loYHx8XFA5ALaTBxIQ12LqRdNbCuq4qi1bcUK4fNEvuNg5YoeLAIPIgmR84rcBOxImhE1h0Ufmo5myj8souJGCBf0mDiSxrsfEmzalq2gpCWF2IcHdQPvzoQtgRhE9AQzZ+c1+FGgkbUjqy4ET0gBzqi4ouJHiCf0mDiU5rsfEqrammqYhg6qm+hHCYjn9fPT47rojwOrOw0sGh25bwKNxE8omZkxI4ovRToiEovJnKAbEuDiW1psrMt1aqtY9tEGiY208zD79g/OTw5EgYdiECHaO7lvA43ETqm7cjsd4QPSPI7wuKLiR4gF9Ng4mKa7FxMVMW2oWPPaCo6f/R49rzWqO2fHIlCDxpMUjQxc16Hm4ge03ZkRI/pA1LQY1p8MdEDZGkaTCxNk52lqVcVzTAs2zKJy50DerSePztqvhCFHSrBDtGUzXkNbiJ2hK3I+pY1SC7nRWtQeDFRA+RvGkz8TVMqf5M026E4oNAIUJT0TV7YcJgOGw5lYsNhcbEB5G4aTNxNk527aVWRrquaYmjEHqo5bAL58pxcnItCCp0ghWge57wKNxE2omZk3RMSppezKSQsvZjIATI6DSZGp8nO6MRVA6m2ZSErn7nIUYN6hvTQKTHQYRDoEM3xnNfhJkLHtB0ZsWP6gBTwmBZfSPQwQf6nwcT/NNn5n0ZVMTXTVrGez1uUoBX3RKGHSdBDNCN0XocbjB57adFjTy567BUVPUC2qMnEFjWlRs4kDXco0t2wCGCUATR5YcRhWg/jUK6HcVhkDwPkh5pM/FBTajzNoOGEORU2wYgypCZPjEjlRxzK9SMOi+xHgCxQk4kFarGzQHEVq0jVVVPNh41xvLV/0jwVdYifstNQRZNA5zW4idgRtiJzvCw/uaRoWX7hxUQNkAFqMjFALXYGKKYcAk2xbTrvNnJ4uSoUNRBBDdH8z3kNbiJqtNKhRksmarQKjRog89NkYn5aUqNwiuKIq5hgRBl+kw8ssCOCLDAoKg6AHE6TicNpSY20uS8KB+g54WWQTT6n/rCf+SPrxJ+i4gDIyjSZWJmWVFZmrXUoCgk0ggQlJZPPRjHaaqx7xGhaOdvDaMnFxAOQiWkyMTEtqVE0W7XjA1GAoBNAKCNo8pkieM3GOkvwEsuZKHhFFxMTQI6lycSxtNg5lqhqmYqiaxbKLyrWVuNYFD1bNQhIiOZYzutwExFj2o4pYmP5D0gLj+UXX0j0sECOpcnEsbTYOZZm1TSRqqo26fh2DqsOZ3vHIsHDJOAhmmI5p8JNxI5pM7KuR0QPyFmWiIovJnaADEuLiWFpyWVYPjtsisQLi+BFybDkw56Kmo6VPRU9IIc9FRVfTIwAGZYWE8PSksqwbD2jzSaMha3aBCNKhiWfVYuo6VhXLqIH5KxeRMUXEyNAhqXFxLC02RmW+WGEKBa2puw0NNG0ys3GCHYW9vQBmRhRVBa2BfIpLSY+pS31/PLW/tZp7az2VBRGIIIR5QHmfDAiajpWjIgekIMRUfHFxAiQPWkxsSftFOzJKkaKadsWyuE1SFMwWmCCFsLplHEFbiJuNNPiRlMubjQLjhsg29JiYlva7GxLtWogXTe8t38I8YeOxtbp2VNh6xWaSpBDNAFzXoWbCB5RMzJiR5ReCnREpRcTOUB+psXEz7RT8DOriqLoWFU1xQtskw9yCFvF0AhyCCdszqlwc5GDfUUjSi8ROQq7ngEyOS0mJqfNzuRUqzYysalgK5/YVvtf7eviXA6dAIdoYue8BjcROMJWZGVdBMnlcC6CwouJGiDX02LietrsXE+zqiPVVG3FzmdXudeGwtwNg6CGaKbnvAY3FjXYvY0wuTzUKKqvYYMcT4uJ42mzczytqmJibCAb5RO/m7ShIc7XMAlqiKZ4zmtwQ1HDSOdrGDJ9DaOwvoYNsjttJnannYLdSSbmhqpg27RyYYbTJhTmalgENITzPGcVuLGYkcrTMGR6GkZxPQ2Q7WkzsT3tFGzPKtKIc62qVg6B8vYapAmPTkQFtNFsghnCeZ9xBW4iYkwbkREzpg9IQY1p8cXEDZABarMwQLGSggFaVQwNkSdQHsBBWtA8PXouCjh0ZaehCyeDzmhwE5Fj2ors3kbwgCx/Iyi+mMgB8kJtFl4oVlLwQunrQ6TZhq3YSg5rG7WzprClDR0R4BDOEJ1T4CZCR9CIrPve/dRyNr37ZRcTMUCWqM3CEsWK1BibtNVELWXomIBEGWeTGy6wr14EqaXhQmHXLkAWqM3CAsUKOwvUrlqGpdkqNvN5t3p6WD+uHZ+Lir6nqwQnRNNA53W4iaAxbUdG3Jg+IAU6psUXEz1AJqjNwgTFCjsT1CSj3zQ108wnCNfpV2f147qwFQyNYIdoIuicBjcSOsJWZEWOML0c4AhLLyZugDxQm4UHipUUET2rCkKWQpfucnjJetA4FXlOiK4T3BAe4HNGg5sIG9NWZMSN6QNSgGNafDGRA+SC2ixcUKywc0Hpwh1SdUMxFIRz2HpyfFA7FuZwGAQ4RFNB5xS4icgRNiLrvpMguZxtJ0HhRcQMrIBMUJuFCYoVdiYo6fK6ZSNDy2F9g7SfyCmKSRBDNA00rr4NhYtU85MovSzAKO78BCsQC9TDEQbESMcCRYqODdXScqBmIKxtHddOhS2KWgQ1ZPBAYyrcROCYNiMjckwfkAId0+KLiR0QG9RDFAbsSMUGJX3eUDScAzGDNt/5Ie0DYpDDJsghgQ06VeAm4sa0EVnPTY4ekHNyclR8MXEDYoN6aLIaNxA7G1SrWpZtYAvnc+D66cnRV1u1s6Yg5DCUnYYhmg46p8JNxI5pM7K+TYkekPM6JSq+mNgB8UE9RGHAjjR8UIxU27ANNQ/kOKwfnxyJWuIwEAEO8XTQmP42EjbCNkzB3vDSSyNveKUXEzMgRqiHJAyYIffU9edHT2vPjkUhBSZIUXJC+YQWDluONbJwmF5OYOGw9GLiA8QM9VCDAR/YmaE54MNp/fi8dlwXhQ8qwQfRXNANxYeo5Vj9hzC9HP8hLL2Y+ABxPz3UYMAHqae0H2JhswyNYEN5SjsXbPBajREXvLRSMMEruZh4AHE6PZRgwAN2Tieq2lhRTYSM+hbKIbbn0bMjkYckGjpBCNGsznkdbiJcTNuR+cTE8AFJJyaGxRcTPSBep4cpDOiR5jx3pCq2rdo4n60k9S/Pz0Sih0HQQ/x57rM63ET0mLYjI3pMH5CCHtPiC4keCGJ4epjCgB7sDE+9inQN24qVX1xxY+tw/3NR6GES9BBN85zX4Saix7Qd08Tu8x6QF73PK76Y6AGyPRET2xOlY3vSPRGagmw9B474MW1CYfF0DIuAhwy2Z1yFmwgeUTOysrbC9HJIW2HpxUQOkOuJmLieiJ3rqVcVA2HD0PMJnuG3oagYO4ZNgEM02XNOg5uLG+wRd6L0EnGjoFF3MAK5noiJ64lTRP7Mi6WFBGGFqew0TOHRPjcTH6KWS8XNQlK5Waio+ADyORETnxNLPffdbzcsCh8QwYfy2HeO+IBT4gOWig+4qPgAcjcRE3cTS+Vu+u2misIHTPCh5G5yxAc1JT6oUvFBLSo+gNxNxMTdxFK5m/5Bl8LmFyrBh5K7yfE4Vfb5RZRe4oGqhZ1fgNxNxMTdxFK5m/7hdMLwQSP4UPI3OR6BmAofDKn4YBQYH0AuJ2LicuIU8Tnzwgdh6w86wQfhMTk3GR/Y1x+i9BLxobDrDyBbEzGxNXGKKJx54YOw9QeD4IPw0JubjA/s6w9Reon4UNT1BwzyMRETHxOniLiZ05FkwqYXJoEH4XE2NxMewoZLcw6ZrMlFWHgxsQFkW2ImtiVOwbbMCRuETS0sgg3C+ZUbjA3sM4swuTxsKOq8AoN8SszEp8QpYmfmdEqhML/BJtggPF7m5mLDXjq/YU+m37BXWL8B5ExiJs6kmoIzWUXI1hUdGTlsD/UaUJQHYSk7DUs4eTKuvo3Fi3S+xJ5MX2KvsL4EyKHETBxKlYVDyQ0V9honft8WAwuIwEIOnMnjwbjScsdzyJBp3Esb5FGLMI7yKH0uw5xqtrNiqEcSFHOsg3xIzMSHVFn4kPzePxzWzkQNdEwGeg7kx00a6H5zsL5R8BJLG+J+8cUc3yCfETPxGdUZPiM2WrWnSzZoa6pmaYZu3O28UD93Wb7/0+GPTsf5jfuVO7NjulsTz99rj3Vz/AOhSr8/J6wAuY2YiduoasxYkQ8+5LqCGOJDThOAe7J6yB0TeCweCsKEwq4dgnxGzMRnVHW5mJDvG8cQE6SsFW4sJnB52SgGE4r7rhHkMGImDqNqSMYEEX5Cwd8ycscEHuQkQZhQVD9BBXmLmIm3qJryMEEAqzkEhWLTkniCAkdCc/6wUGw+swpyFlUmzqJqycYFEROIglOZ+eMCl41QonChqHMIFeQrqkx8RdWWjQtCJhHF3gHFHxe4bKAWhQuFnUeAXEWViauoKVJxIe/oKyEuFHvnNGdc4BV4RQguFDjuigpyElUmTqKG5OGCgKhtIS4UO+IKT1zgGLAtf1wodrw2FeQvqkz8RQ3LxgUh6wvFjtTGHxe4BHoVhQuFXV8AeY8qE+9RY+c95oQLQuYRxY7wyh8XuASIF4ULhZ1HgBxHlYnjqM1wHJHxrNaqkqo2289PT2dxwcBVS1VU1ZzuhHze745J45Bx431JBRh+UQFghCVWDyxjCykBbpyfnNM+IWJ7xAneeSEaN+IK5QUgadDCa4ElaDHtBoto4bdTDC4i+PDB4knQdvTrMtQIki1iRiBcjpgRFD2DGJPBdXtwQ1VJnn/09NHnj852t+M/ZsCUg+612x/RVjqvN0/rZ7Xz52d1Wn74szec2meDr5/QoOzRxX0DI5BcqTKRKzWdFYxsXDU0zdBtPWcwsmWAkbrzQvTkJq7Q+whGdglGJRgtghHI6lSZWJ0aFJkSRiOsoqpJLLlmc0Gj2S2j8uFI23kheg02rlEZcLRyW6lUPBIQLKIEpFwASQMppSoTpVQzF72jL06Onh41v5yFI6QrVQsjWzXm4KgzuRxvvxpmd5GCYqtBx84NhbyxIAJv4irju5hDVPW8Wb/Tcs4qnyhq/JWrOT60rFrCCR6S4f8ERSfCTW3/afPRy5e97Qvn1vv7avjI6830OujW/t/rbt//MnI75Mt1kOLaT3Ad3L/eHpBesnXrOv6vYWLvhyvHy5/+oalfh+W+DrN7HeT3OnzUv+895T/T835uhk82A5GbkczNUOhmJHUzzL4ZZN8Ms28GEjVDkZrTnKOsY3lPM4+eDB/NAbD9Hr719OjkBQzY6D4DNsj11Zi4vhoUnxRGbAVXkanzxOtZJ3LzADvS2NrA9UqfURheC/APS8AuAXs9ARskYWtMJGzNBjzso9b5wQJea3oVq9i01dw8bL/Y3AH7SYO2jtMZd9+4rVeuKytiTFyja4PoKx3wsG+UDniJ5yWe54PnIHleYyLP6wB5HsRzjFDVwKpJI/5ww/MZSoxMPFcJnot+nxTX6Nrg+Sp+jDA8z58RU+J5iefriefgpgeNadODDgViBgHd1gj+mhq2eAL63JKKRETXCKKLfiUXV+naIPrqNRdRkF6uuZSYXlhMBzesaEwbVvT4hhV/vG+dDrsdt3p61tivh7B+4I46w+6Nj6z0dmVwWRm/cisj75EqUWosRRTC1zLn8P+T7V4q7HfHk5vqjFiNPkV/T7hqODEXCv46AX/he2U9TfKFfQLMZFSAsE+1ngj68dZYgvxB91nE/bDR0gF/+NQC8vvjcisoLhn+D2rntUTob924ne5ldwb53Utn0vMwJfw6Yw1CgRLNwSfbBPUefbLd6dAPAnbeHwKM9M+193l7Qf4Q0COfr/3Er/1br+l3+n/T/7kZPN/0bzf9Z669W2GSKE1wt9n0P59/HlyHX7y/yzAWZcLYoCUgkNX1FSA730hTiPV6afskkJfupHjUPDmqP/J78SP6f9CVo0QxWEZSYBncL6Qx7RfS1RxhOV9MDibXQjHZIJh87+OaSAPkoMVSAnLw1PoAciBQCcglICcAMrhRS2PaqKVrefrJ9jxzmTMmh7NjoaBsElAWHoTOU+WG4HLYaimBOXxsfZA5lKiE5sJB87lzFQzTOC5Pf4X4fYqPufG3h/7w9DvO9vTp1flDdBTk5x9fzd5z4Ozr3xAt9J0eUMbcLbgiKyzLQt1iZSuzkmzPlZdGNlgJLLLF9BITBq0SLewE50kG2btxJ5VNO0bMklL08+zMk/3BaPzLe9rOHgopNF4fPiSw7w7pUArswMxvNEUst9lkczd2n/a6N574AfwFKed/3q1NxoOng+G1M37yTc+TZPrL8YCa0ViK3b0BrX9tSIDCW+ScufbyetG9IMY7KG36w25Q6C1RNNHCeXccu6JV7PavoutGnyCFn7XX/WOXu013SETsX+y73sgfDyeknLkfQyNw8vkU/bdn2pS17e/UJaeDFmz7BR/kk9onaOeTxicq3BX8Kq51T8AieoIqtSeABBMWlzxNT6gZOw1k3NtuoInoBrrUbgC9l2Z5K62uMgY1pN/rtjdEtL0pte2h91csb6+0VBCA0U5DVe5tP7BE9ANbaj+AFsxZlsv1NP2giXaea/e2FyAxvqFc5xBap2NZpTOW9AM/RFnoEVoJs4P70AOE+IRIrlMIRbFhiWFjrvYG7J0Gvr/eABLiCiK5viAUNoQlaIiVcnKoahQLtPs7PURCnEMk1ztEUNAGlpANdsruoBm0Oxj310VEQnxEJNdJRNCyIWJZN0TLFg6hDmGotENExy7evw6BhXiLWK63iMC1RKbFxGWridMITBvgNGIhTiOW6zQiaCkRsawlomWLibGOcEI7wotP7u/0EQtxH7Fc9xFBa4mIZTERLVtNhCyE5QODeX87hBAPEgvxII+6o3Fip6A37/TC0Xvaf+sYfvVf8vsLT+HXXdJiJ5eXI9d77T+9mBOZipFW7Du9K1smtgqKjTiLfacXO8vENkGxMWex7/QiYpnYCii2ylnsO62hLxNbA8XWOIt9pyXfZWJjUGyds9h3WqFcJjYCxTY4i32nZbVlYlug2CZnse+0HrRMbAMU2+Is9t0WLkJhESC3LQS47zjDDqXFUPeG+zd3ye82FVwqOQwovK3OHecuSyWHzTxvw3NHb3up5GJsD4JsJmI2mqDksEfI2/wgyGwiZrsJSg5jIm8LhCDLiZhNJyg57BfyNkIIMp6I2XqCksPmk7sdguwnYjagoOSwJbJ5z3wgC4qYTSgkOYbdccR90gZGLmU2oiokuhgjisEQfsxGVIMkh40od8nBKSezEQUlh40ob/OP4bNoM0kOG1He5h/DwQcySQ4bUd7mH4P7c5mNKCg5bER5m38MbmRjNqKg5LAR5W3+MXg8EbMRBSUXMwfF4FkmzEYUlBw2orzNvwoeesBsRCHJVdiI8jb/KmRDVWYbqkOSi7GhKmRDVWYbCkouZiKqQjZUZbahoORiJqLgee6rj3MPxTUgyWFLxL23QDZ09YHTSyWHLRH33gLZ0NVH4i6VHLZE3HsLZENXH9q5VHLYEvH2W8Aj/laf8LdUctgS8fZbwPPAVh8HtkxyDbZEvP0W8OCg1ecGLZUctkS8/RbwBI3VB2gslRy2RLz9FjCU/OpI8kslhy0Rb78FDJq8OmbyUsnh2Rz3ZQswPujq8KBLRU8worytKBgGb3UUvKWiw1YUcX/nDJnR1ZGilooOm1HE246CQVVWx1RZKjpsRxFvQ6pBhlTLZEi1hDd0vC2pBllSLZMl1RMWRnmbUh0ypVomU6onTOp421IdsqV6JluqJ6yM8jamOmRM9UzGVE+gEfG2pjpkTfVM1lSHrSnmbU11yJrqmaypDltTzNua6pA11TNZUz1hTsrbmuogqSiTNdUTuGfcWVyQNdUzWVMdtqaYtzXVIWuqZ7KmOmxNMW9rqkPWVM9kTQ3YmmLe1tSArKmeyZoasDXFvK2pAVlTI5M1NRLWSHlbUwOypkYma2okvGjkbU0NyJoamaypkfCmkbc1NSBramSypgZsTVXe1tSArKmRyZoasDVVeVtTA7KmRiZraiQs8fK2pgZI081kTQ3YmqrcedGQNTUyWVMDtqYqb2tqQNbUyGRNzQQOPW9rakLW1MhkTU3Ymqq8rakJWVMzkzU1YWuq8ramJmRNzUzW1Ex45cjbmpqQNTUzWVMzgfzK25qakDU1M1lTM4G4w9uampA1NTNZUxO2phpva2pC1tTMZE1N2JpqvK2pCVlTM5M1NRPemPK2pia48SWTNTVha6px32kEWVMzkzW1YGuqcd9tBFlTM5M1tWBrqvG2phZkTa1M1tSCranG25pakDW1MllTC7amGm9rakHW1MpkTS3Ymuq8rakFWVMrkzW1EvaS8LamFmRNrUzW1ErgwfK2phZkTa1M1tSCranO25pakDW1MllTC7amOm9rakHW1MpkTa0EAhJva2qBW0kzWVMbtqY6b2tqQ9bUymRNbdia6tz370LW1M5kTe2Efd68rakNWVM7kzW1YWuq87amNmRN7UzW1IatqcHbmtqQNbUzWVMbtqYGb2tqQ9bUzmRN7YStmbytqQ1ZUzuTNbUTtpXwtqY2ZE3tTNbUhq2pwdua2pA1tTNZUxu2pgZva2pD1tTOZE2RkkDo5b4RWQGjM2Syp0hJCOPBfS+yAodoyGRSkQLbVIN/XAwwTIOSyaoiBTarBm+zSgoCpc9kWJECW1aTt2UlBYHSM9tWE5RezD4ZUg4oPLN1hYUXs1WGlAMKz2xfYeHF7JYh5YDCM1tYWHgxG2ZIOaDwzDYWFl7MnhlSDig8s5UFhUdits0gMASSV6UswovZOYPgOEjsgZAsUHhB8YQSQiEx21hQ+ASc5442cDQk9nBIsPAJr/i4Cw9aWPaISLDwCcuS3IUHLSx7UCRY+ISpFHfhQQvLHhcJFh7Gef5oA1pY9tBIMNrAOM/do4eDI7FHR4KFh3Geu0MPx0diD5AECS8oVg+CIySxh0iCogyihMhx3G0UGCMJsQdJskHhE3ZKchceNLDscZJg4RN2d3AXHg43yGxgYeETGKnchQcNLHu0JFj4BBYNd+FBA8seMAkWPuHNH3fhQQPLHjMJFj5htZK78KCBZQ+bBAqfEE6Ou3cABk5C7JGTYOFhI8XdOwBjJyH24Emw8PBEirt3AIZPQuzxk2DhE/ZOcl/uA0MoIfYYSrD0CSaWu40Fwygh9jhKsPQJi5X8Q/qCRpY9lhIsfUJIAu5WFgynhNjjKcHSJ0Ql4G5mwZBKiD2mEgKDtCfEmuPf70E7yx5XKUH6hO2U3KUHDS17bCVY+oRYHPz7PWhp2eMrJUgvyL0EQywh9hhLsPQJka24u2hgmCXEHmcpQXoxcRYRGGoJscdaSug5YmItIjDcEmKPt5QgfcI6CHdHB4y5hNiDLiWInxCegztmgnGXEHvgpQTxE9xM/mcAwKH0M5rbpKBX3Oe1YPwlxB6AKUH8BEeTP2yCBpc9CFOC+IIWFcAwTIg9DlOC9IKW7cFITIg9FBMsfVIwJu6eJhiNCbGHY0oQPwH1+Z/gAZpc9pBMCFz/TgrKxF160OSyR2VKkF7Q6j0YlwmxB2ZKkF5M2HoEhmZC7LGZEqQXE7oegdGZEHt4pgTpxYSvR2CAJsQeoSlBejEh7BEYowmxB2lKkF5MGHsEhmlC7HGaEqQXNMUCIzUh9lBNsPQJwZq4T7HAYE2IPVpTgvSiplhgwCbEHrEpQfwEY8vd2oJBmxB71KYE8ROmWNzNLRi4CbFHbkoQP2GKxd3egsGbEHv0pgTxE6ZY3A0uGMAJsUdwShA/YTGf/3lxoMVlj+KUIH7Caj53kwsGckLskZwSxE9Yzeduc8FgTog9mlOC+AmxhrkbXTCgE2KP6ASLnxDTiXv4WAQGdULsUZ0SxE+Iksjd6oKBnRB7ZKcE8RNoyNytLhjcCbFHd0oQP2GOy93qggGeEHuEpwTxE+IPc7e6YJAnxB7lKUH8BJYad6sLBnpC7JGeEsRP2PDD3eqCwZ4Qe7SnBPETYhHzP6oVtLrsEZ8SxE+IR8zd6oJBnxB71KcE8RNeonO3umDgJ8Qe+QkWPyH2E/cwswgM/oTYoz8liJ8QTZG71QUDQCH2CFAJ4idEVORudcEgUIg9ClSC+AlRFblbXTAQFGKPBJUgfsLSMnerCwaDQuzRoBLET9h8xd3qggGhEHtEqATxE/g73K0uGBQKsUeFShA/YaMtd6sLBoZC7JGhEsRPiFvM/5R00OqyR4dKED8hdjF3qwsGiELsEaJg8RNiRHEPR4vAIFGIPUpUgvgJURe5W10wUBRijxSVIH5C5EXuVhcMFoXYo0UliJ8QfZG71QUDRiH2iFEJ4ifEM+ZudcGgUYg9alSC+AlvdLlbXTBwFGKPHJUgfsKmZ+5WFwwehdijRyWIn0Cb5W51wQBSiD2CVIL4CQEuuFtdMIgUYo8ilSB+Qoxj7lYXDCSF2CNJgeLjhFBS3MPWYjCUFGKPJZUgfkJ0Rt5WF4PBpDB7MKkE8RMiNPK2uhiMJoXZo0kliJ8QpZG31cVgOCnMHk4qQfyEuMe8rS4G40lh9nhSCeInxD7mbXUxGFEKs0eUShA/gUjF2+piMKYUZo8plSB+QrAR3lYXg1GlMHtUqQTxE4jLvK0uBuNKYfa4UgniJwSW4m11MRhZCrNHloLFTwg5wj28LQZjS2H22FIJ4ieEcORudcHoUpg9ulSC+AkxHLlbXTC+FGaPL5UgfkIQR+5W</t>
  </si>
  <si>
    <t>F4wwhdkjTCWInxAfmbvVBWNMYfYYUwniJ8RI5m51wShTmD3KVIL4CXGSuVtdMM4UZo8zlSB+An+Zu9UFI01h9khTCeIn7BHlbnXBWFOYPdZUgvgJUUi4W10w2hRmjzYFi58Qh4R79FsMBpzCKQJOweInhHTkbnXBkFOYPeRUgviw1TW5W10w6BRmDzqVID5sdU3uVhcMO4XZw04liJ8QO5m71QUDT2H2wFMJ4sNW1+RudcHQU5g99FSC+LDVNblbXTD4FGYPPpUgPmx1Te5WFww/hdnDTyWIn7BtiLvVBQNQYfYAVAniJ+zS5W51wRBUmD0EFSy+mhD9i7vVBYNQYfYgVAniJ8T/4m51wShUmD0KVYL4sNW1uFtdMAwVZg9DBUX8xypsdHOQHjS67GGoYOlhm5tD1wFtLnsYKlj6BJPLf9yCJpc9DBUsfYLF5Q6aYBgqzB6GCpY+weByt1hgGCrMHoYKlj7B3nJ3F8AwVJg9DBUsfYK55e6rgWGoMHsYKlD6hEhI/B1lMAwVZg9DBUufMMXlPksBw1Bh9jBUsPQJM1zuU0QwDBVmD0MFS58wweVua8EoVDhFFCoMii8mpDUGg1DhFEGoYOnFxLTGYAwqnCIGFSy9mLCDGAxBhVOEoFJB6RP2iHKXHrS1KSJQgdInREHi33NAW5siAhUsfcJeFe7Sg7Y2RQQqWPoE0ixv6cEAVDhFACpY+gT2DnfpQVubIv4ULH3Ca0Q26Wvj8bD7cjJ2F0SP7kBSr5SZCEPGIxUpyufJF05v4u5uT3/Y3R/0Jtd9mjL4tnvoOhfd/lWYNrzcbVz1B0P34sml0xuR38PLSDfxyGKt8W3Ppb/4X4LKx4plrTnI0GaoOZqv+bFzzVpxPylzvdFCvVH2eoN+CUO9MXOLo+wtvlhznL3mkE+z0qMhEqjzNX/e745HUM3xYs2DtBlqrmavOeQPrfSGiATafM1bY2c8AauuLlY9TJyh7lr2ukPe1EpfikigL/b3YZdKlzTeNajb+49UMg98PbsiIMdspVvmz6NmFdE4QFD99cX6n7z8XbczrngPZKi8kb3ykF+30qtreMcOzlceQ5U3llQeZ6q8mb3ykFu40ilseMdZzVZ+f9AfO92+O4RUYC6qIJY+gwas7BoAGYIrPcuGd3ZBggra57c3IA5YS/QQPJRBGTYHZcBHRrP4PgtuX37OD150fjh4fQmHYbLUfcHxy9MBAmrPwfeDT9Nk8f7QgvuXpxME1J6D/wcfx8niAaIFFzBfRwioPwcvED7Rk8UPRAuOoEBnCFAGB7cQPiGUxTFEC55hzg4RoAAO7iB8yiiLQ4gAjzBXpwhQAAeXED6plMUpRAteoQjHCNACB98QPvKUxTtEye7hnXyjSkrfCNAHB08RPkaVxVVEC75ifs6Rulh3Do4hTIllcQwx+3ogB+dosfaYx4IgvI+FpfYLrmGezhFQew6uYQIhl6X2C65hvs4RUH8OziHM6GVxDvGCcyjQOQKUwcFThPnBLJ4iXvAUc3aOAAVw8A5hhjGLd4gB7zBX5whQAAfvEOYos3iHeME7FOEcAVrg4CLCVGcWFxEnu4hCnCNAHxycRZg7zeIs4gVnMT/nSFusOwfHECZesziGeMExzNM5AmrPwTUEeduradu0Jy64hnk6R4u1Vzm4hiDtezXrm9Z+wTXM1zkC6s/jnTHkHK7mjdP6A6+NhTlHgDI4eIogD301DZ0qY8FTzNk5AhTAwTsEqeyrmexUAYB3mKtzBCiAg3cIsuFXk+GpAha8QxHOEaAFDi4iyKpfTaqnWkh2EYU4R4A+ODiLIE9/NU2f6mPBWczPOdIX687BMQRZ/qtJ/rTuC45hns4RUHsOriG4S2D1JgFa+wXXME/nCKg9B9cQ3GWwepMBHYcLrmG+ztFi/TUOziG4T2H1NgVaf+CVsjDnCFAGB08R3PawetcDVcaCp5izcwQogAfJEPIOV2+coAoAvMNcnSNAARy8Q3Dzxeq9F1QBC96hCOcI0AIHFxHcxLF6DwfVQrKLKMQ5AvTBwVkEt4Ws3hVC9bHgLObnHBmLdefgGIKbSlbvKaF1X3AM83SOgNpzcA3BTSmr96TQ2i+4hnk6R0DtObiG4KaW1XtaaO0XXMN8nSOg/hycQ3BbzOpdMRSHgFfKwpyjRWXoHDxF8JT31Ye8U2UseIo5O0eAAjh4h+BB8avPiacKALzDXJ0jQAEcvEPwrPnVR81TBSx4hyKcI0ALPLajQC7i6iPrqRaSXUQhzhGgDw7Oog7uUWHapLLgLObnHJmLdefgGOqQY6izOIb6gmOYp3ME1J6Da6hDrqHO4hrqC65hns4RUHsOrqEOuYY6i2uoL7iG+TpHQP05OIcG5BzqLM6hDrxSFuYcAcrg4CkakKdosHiKxoKnmLNztKgAg4N3aEDeocHiHRqAd5ircwQogIN3aEDeocHiHRoL3qEI5wjQAgcX0YBcRIPFRTSSXUQhzhGgDw7OogE5iwaLs2gsOIv5OUfWYt157F2GHEODxTE0gO3L+TlHQO05uIYGuGOZacvygmuYp3ME1J6Da2hArqHB4hoaC65hvs4RUH8OzqEBOYcGi3NoAK+UhTlHgDI4eIom5CkaLJ6iseAp5uwcAQrg4B2akHdosniHJuAd5uocLSrA5OAdmpB3aLJ4h+aCdyjCOQK0wMFFNCEX0WRxEc1kF1GIcwTog4OzaELOosniLJoLzmJ+zpG9WHcOjqEJOYYmi2NoAtuZ83OOgNpzcA1NyDU0WVxDc8E1zNM5AmrPI5YN5BqaLK6hueAa5uscAfXn4ByaYDwbpoA2wCtlYc4RoAwOnqIJeYomi6doLniKOTtHgAI4eIcW5B2aLN6hCXiHuTpHgAI4eIcW5B1aLN6hteAdinCOFrVgcXARLchFtFhcRCvZRRTiHAH64OAsWpCzaLE4i9aCs5hjkMfF6JYWB8/QgjxDi8UztID9zDlGegSqz8E5tCDn0GJxDq0F5zDXcI9A9Tl4hxbkHVos3qG14B3mHPMRUAAHB9GCHESLxUG0gNfK4gI/AtrgEf0QchctFnfRAgIg5hv9EdAABx/RAmMgMgVBBHzEfENAAhrg4CTakJNosTiJVnIQxDzjQAJq4OAq2pCraLO4inayqyjESQIUYnPwGm3Ia7RZvEZbZChsIBImBxfRhlxEm8VFtMXGwwaqz8FJtCEn0WZxEm2xQbGB6nNwEm3ISbRZnERbdGRsQAEc3EQbchNtFjfRlhoeG9AGB5/RhnxGm8VntIXHyAY0wMFPtCE/0WbxE23hgbIBDfAIlQ35iTaLn2jLiZYNqIFLvGwwYDZTxGzOIbNTu0mARngEzVbgqNlsYbMFxs2eObzKr7VXfnYFgKGzFabY2YrQ4NmgCniEz1bA+NkKUwBtRWgEbVAFPGJoK2AQbYUpirYiOIw2qAQegbQVMJK2whRKW5EZSxvUCI9o2goYTlthiqetiA6oDWqBR0htBYyprTAF1VZER9UGtcAjrrYCBtZWmCJrK1JCa4Oq4BFcWwGjaytM4bUVyfG1QaXw8C3Bw1g8VTEoRWCQ7Zkj+UIFcDl/BXQl2U5gWTyCJVdPClABl2NYEs5hYTuIRWi4bVAFPJxJ+DAWttNYFo9jydmTgpTAw52Ez2RhO5Rl8VQWkZ4UpBEeviV8SgvbMS2L57Tk7UlBWuDhT8LHs7CdzwId0JKvJwVpgYc/CZ/RwnZIy+IpLUI8KUgVPJxK+LQWtuNalpzXIsaTgpSyxL3cG9DqeXfjGon9nPHY3iNSC7/wb3rR9+NBnwg/vbX7wu1evRqTJE33oju53t0OfqAqGgwb/Qv3G3JzelGbjAfXzrjb8VQXptjdjsnNUreMB/Oudd0yHr671nXLeLzuWtct4wG6a123jAfkrnXdMp55u9Z1y3ik7VrXLeOJtWtdt6xn0a535TKfLbve1ct8fOx6Vy/z+bDrXb3MB8Cud/Uyn++63tXLfGLrelcv83ms6129zKetrnf1Mh+jutbVy34q6npXL/PBp+tdvcwnm6539TIfXbre1ct8Mul6Vy/zWaPrXb3MJ4mud/UynxO63tXLfACoxOr57y8Wqhf7OeNrhO1YVizFZVzZT1tcxsX2tMVlXP9OW1zGJem0xWVcJU5bXMaF27TFZVxLTVtcxuXNtMVlXXFMXV7mRcDUJWZel0tdYualstQlZl69Sl1i5gWl1CVmXuNJXWLmZZfUJWZeCUldYubFidSWPvN6QeoSM0/hU5eYeVadusTME93UJWaee6YuMfN0MHWJmWdoqUvMPGlKXWLmeUzqEiHMwSyYg++IOSqEOZgFc/AdMUeFMEdlwRz1jpiT/SD61CVmPvo9dYmZz1dPXWLmA81Tl5j5BPHUJWY+rTt1iZnPw05dYuZTqFPP+TOf/Jy6xMynLacuMfP5xqlLzHyIcOoSM5/am7rEzMfkpi4x85G0qUvMfOhr6hIzH7WausTMx5umXvjLfKRo6hIzH+KZusTMJ2WmLjHz0ZSpS8x8FmTqEjOfu5i6xMwnG6YuMfN5gqlLzHyGX+oSM5+bl3r1P/NJdalLzHwcXOoSM5+/lrrEzAeepS4x8+FiqUvMfHxX6hIzH5qVusTMB1WlLjHz4VCpS8x8HFPqV4CZzzxKXWLmQ4ZSl5j5VJ/UJWY+QSd1iZnPqEldYuaTYVKXmPk0ltQlZj4BJXWJmc8cSV1i5oM9UvMAMp+kkbrEzEdXpC4x8zERqUvMfBBD6hIzn36QusTMBw6kLjFzjP/UJWYOqp+6xMyB61OXmDlQfGoyUObA7KlLzBwDPXWJmYOMpy4xc2Tv1CVmDqadusTM8atTl5g5YHTqEjMHZU5dYuYgyKlLzBx0OD0jMHN83/RFcgigm75QDkFr0xfKIUxs+kI5BGZNXyiHQKjpC+UQazR9oRxCe6YvlEMkzfSFcohZmZ4xzCEmZPpCOcRhTF8oh8iH6QvlEGswfaEcYvulL5RD+Lz0hXKIVpe+UA7B4dIXyiEM22yhLffGGTrjwXDU6F8O4uXO3rnTXqVnw8HkhuTz5NPd7ej77oHb6V47Pfq9ursdu9rdni2T/FBrvfjy6IAUS74HZfl/nOsn773/4MGDX6mNbtz+udt5VfXSVmniavQYDRo3HPR67vA7JPHD9uDrvjv86bYX8u0LZ+iFhZum+XH/xlF3NJ7+OE3dnU39S+3T4eCy23MTcvuFdqvj9sljg9Z4cnE7d/cn2+fO1eJDPxH8PCtDmLg7Ly/5GXvFx+WNfpzN5GemN+YKfTf276fnFfpiMHz9cjB4/TZR4KegthPq/3Zi8wDCrc69u5i7Cj6wvFXocwh8bllr0af+HPgU2Io0+a8uSb5Y92WZAzWH9Qr0hmS9JvQS+sDW8geAytL/P3iLfpj0w6IfNv3YoR+/Tj926cdn9OMJ/fgN+vHn6UeNfLz3Afn4+flizyikNJ2+c+WXEozfD9qjV647bjo3K7rrL8zfbNHnglxvZuXep1J8m3xU5h+qdTruaPTUdcaTIX1OJYm+V+uMu2+csdvqXk96zrg76H9Yu7iYvSIKI8lvuv2r4Oq3Jk6vO779ln81+g75Gzbv6HvRplJy6/kNgVr3uz6m1vtvusNB/9rtjz/0fzmb9GlDfOxfTQv9sf3Bza3fRANagHdNv5wPvF8/OnB77tgNVfRx/ZubwXA8ff7jxvXsD4/8H2gW3294uB4OEq8PfOT/Rm57l9+NLsMRESQIL79PpOhe3s7k8RP+b1Nd+Q9Gv8Yvw3y+2xy8cWdy+T79ZS6P7wS/TS/C53/s1JmMYnr7+Mzt9ruxen//zL2eL+Lj4Lf4U9czpU5/CBr6UfTD6KPoq1+D6DKSyf8l6g8fRdfe7Q9Jm8d6V+sVtcJXTr/7I3f4Eb2a3vyoNR7cTC9/5ouu+7XXXeM9iQ7679I7ZBxfdq8mQy/t+/SXowHpOfRL0M1o0u/R62me9KeP6U+ebMEI9dKE8vuD5vvxnwItvZv+38/ND0nPmfCLoCO4vF/eL++X98v75f273Kf/v/W//umf/umfkP/foRf/S3Dh3fmf4xf/U/zif4xf/A/xiz+O5/bfxy/+afziv4tf/Lfxi/8mfvFfx7P+r+IX/2X84r+IX/zn8Yv/LH7xn8Yv/pP4xX8cv/iP4hf/YfziP4hf/Pvxi38Sv/j34hd/FL/4x/HK/aP4xT+MJ/vD+MU/iF/8/fjF34tf/N34xd+JX/zt+MW/G7/4g7gEfyt+8fvxi78Zv/gb8Yt/J57bX4/f+bfjF38tfvFvxZ/5q/GLvxK7eJeuW/zxO63b0di9ru7TCVeHemCj6jOXTIW6nepB1/vBGd7+Dv7BD4KErfGQuFqfVq5HncGw1335aeULdzgiyT7Tqgr979PK/qRHJzSf9d3JeOj0Pq2cTl72up3P3dvzwWu3/9lL03T0jm4gW9VcxbJ/+OkP0krR6I9VnJMQ/lERfDP/IefsaDt/K8jn/f3B9Y0zdIfvHzqjVy3itz9458H7f/OtJToN/tZ/z59NhBn8Dsq1mX9Il9UefPD1A//ftz6kn3SK/DHtjj8zD6WN0L2nvfXDj7/1UZj8Xfr/AvI2ppMIb+79Hn3qne/ckj+f9wZXWt8dTyuBSRWQxlILw7Bd5eLiUnn5EjkOdt778QfAMkZcyfU3ZBbUJAaATF1qw6FzSxvrYduhXx+2O4NJf/xBuzMZHrlv3N67D979xfnM4hn84Ie0Mu9/L6gBKWjoVr0nbwPz8sGPyMev0C//PPl47yfIx+OFhYZWozpVz74zch+RZN9tnwy7V92+03va7bmnzvjVo3b9+qV7QRN82Kaf4Y2f8K7o9J70ioPukNR1MLz9qB3o8+TGmx6Gl37n+bE2nWiOyTf/9ofR9SmZ+X83ujocjMZ959p9RAs7cvtX41dvPXiL/iP1e+v9D7z1mb9IPv65g53frpOOe3VL10epiaV/6WD97cNbMs/+ba/av316Oxz0bkfdUfs3B3131NZN1P66O341mIyfkjlqvTPoD667nVH7aP/kyhkNet2+W335+ubBB7SQh/8C+dBXlkSURov47fA2Xcd6+C+SRx/V+reBGj74Ls3vX6JN0+gHCWkffhQMgAcfI5qA/v8v06vmFyfVlkv7kXtx1O2/fvivPACW754OhtcjcO3y4b9KRWdPX/Xm2PTMKPfhv0Ye/Y2ExTmS6Ny9viGdx92bdHsX7nB2Yba6PxkOSZd9+K+TTGp3zSS8O3r4b2SR5cC9dMiQ/hiHqv1L5OMnfY/sL3pJK9FKyAd/mbbNv0mb5IO/Qj/fpStwHwUQGLTiu97obTq/OxiSP90+/eMV/QHpwW+6NAlty/fJv7eDdv3T4N97dMky9cr2t9pjT7pgTfKdd38eQHIK9V4y5tcU0aLkX6UfFIrfo4upzOvobz2IlknfTV+oV569Uh3AgvSj9puwvfLSyF+LJKSLyndd+8+73f56JCVd9b7bm4a8ZfwbkYy7EHYtf6+Rt3C/HwlHXxawv0Xh0POfrNDGXL/nUOJvJI5t4F0Oh/L+fOLYTngdxKHMGuSKrXyjlHc3+4NIPvrmZ/mborc8gOv2iRy0xHeWiuLl/rep80td6HV08Knx+9aPQj+dOurvLrx6i3u3Xo3+Dv34u/Tj79GPv08//gH9+EP68Q/pxz+iH/+Yfvz/7J11QBRr+/5ZyQEDuxWxA6QFA1kapEHKWBdYQpeQBQH12N3did2B3d3H7u6uY7e/uZ6dB9mZJVzO1/f3x+F9vc7ecz1zf+6Z2ZjZ2Zl7PiQbsgCyELIIshiyBLIUsgyyHLICshKyCrIasgayFrIOsh6SA9kA2QjZBNkM2QLZCtkG2Q7ZAdkJ2QXZjd2Gy+x+vi72wdXsrOMQoGSiRI7HpFerERegO2U57rFrgoLdscnCJHb/1wA7+E7sitDbg1Xp5efuz+CRLnZaBKcSPVITYsienK8MJ2GS9QFkk7E7veyWlkkTDYKSM1xw7FGS7mKyExSlZZkp0qQYWQz53kphFJKcwk4md50t5Z4cna5gDwbIjzqMuYh1PdkZ5DJtLX0wKtEDcn9zlsweE3A0A7o/xOxlBeuH2QfZzwq2lwn7D5tHF3tfbdTvszqzhxxYLu411pS8ln24Zfq1qKCUZT+eU2SpaVkYH5YQwx6x5J0Syu6mReGFwO6niTD+Dp6euiMKeM/Ks6P56wVGDkVUjuR0tOoVnoA7iCOr44CWcr9UB7thBb7csXoNfZKlMe5SHG0JDveNMdKFfZNjl7RHQkye438d9iWq0CPPM/aAQ1tbS1fXyEAdy4vmqqfOFOR/HmjfFsc0hob1sSgHIYfwYscOFJYHA0qJMGANq8xhDDiCAWPzDNAiGfCKYI5CjmHAePUDjkNOYMBE9QP+hpzEgMnqB5yCnMaAqXkG6JIBWMPMGchZPB3wRlTo25WeRIYpBpJE5TQdUVXVl3tyHHtIHUdmyz1EPwfBmhPhfY684V3InTSDTrqE9JdZaWjm+Oto3SRaKo/mHitMotkNhjPtMSbm5uaimXTWK5j16u/MOovOei23kNl00o3cSXPopFu5k+bSSXdyJ82jk+7lTppPJz3InZRNJz1CsY9ZaWli0qRJExOTMGlqErvOGikam2TIUmUmCQpFOltmTDo+oky8klLS00xCUqVJCm6x2JlEC2i2J8j2tJjZFtJsz5DtOSutuWwu8bLobiZp8TKToPQkE2WDZZMgmYL9bFSYxCanmrBvejIT/KgsNfFXvkU03wvke1nsfItpvle5q3MJnfRP7qSldNLb3EnL6KT3uZOW00kfUdsnVmxNVP9IocHpiYnS1CyT5FiTPM8ot9TU5FQFGSJaQRN9RqIvmidaSRN9zS1yFZ30PXfSajrpJ3DYw6huIvwLiM9SJLDPe9EaOlzEjtQrUdjwtXS4NobriMgWEw7nPlRyJyjfN3Oj3OUTraP5dJFPr9j51tN8+shnwIq9iUmILDUR39/lrk38WfAYgliUQ3PhB0p6hsXKtYHmMkKukspcbOXsuyT7PP6dXJaijTQXPkP0Shcr1yaaqwxyGdNc3N/v5LITbaa5yiJXuWLl2kJzlUeuCiq5uHeuIuWytLQRbaW5KiJXpWLl2kZzVRbRF9x2Oqlq7qQddFJ1EGuwUsXMkRxsSPFVrkkq90aGT5iddGxNjK1V4NhddGztXNRuOqkOnaSDXcl8djjxnaq+JCo9NlaWqi9JJt9rM5KUZEUCXj367A42vldmJNHSFGk0uyNoJFHu+WJHi5FkpCaQXS5DTE1WkL0vSYLCn90VqOkrTVXES+XOWUGyWOWpoaYSCbs7lJSGH9xpcX8lSmCHF19aM3VFWrl/e5tpaVk4aZGvsw3LYA8YpgHegsvs58YY6GOfkBhkx1Dw7b1wh5LsVNTDeqkPaQBpCGkEacyKMXbOcMbEwKAU0ZJEjYgaEmWIGhDVJ6pHVJeoDlFtomTv1YBUTk7hGB/ikjNNwGsKaQYxg5hDmkMsIJYQK4g1xAZiC7GDtECt2E/8SLL/IPqd6DeiX4l+IfqZ6CeiyvEfiL4n+o7oW6JviP5D9DXRV0RfEn1B9DnRZ0SfEn1C9DHRR0QfEn1A9D7Re0TvEr1D9DbRW0RvEr1B9DrRa0SvEr1C9DLRS0QvEr1A9DzRc0TPEj1D9DTRU0RPEv2b6Amix4keI3qU6BGih4keInqQ6AGi+4nuI7qX6B6iu4nuIrqT6A6i24luI7qV6Baim4luIrqR6AaiOUTXE11HdC3RNURXE11FdCXRFUSXE11GdCnRJUQXE11EdCHRBUSzic4nOo/oXKJziM4mOovoTKIziE4nOo3oVKJTiE4mOonoRKITiI4nOo7oWKJjiI4mOoroSKIjiPYn2o9oX6J9iP5FtDfRXkR7Es0imkk0g2gPoulE04gqiKYS7U40hWgy0SSiiUTlRLsR7Uo0gWg80TiisURlRGOIRhONIiol2oWohGhnop2IdiTagWgk0Qii4UTDiIYSbU80hGgw0SCigUQDiPoT9SPqS9SHaDui3kS9iHoS9SDqTtSNqCtRF6LORMVEnYi2JepItA3R1kRbEW1J1IGoPdEWRO2I2hK1IWpN1IqoJVELos2JmhM1I9qMaFOiTYg2JtqIaEOiDYjWJ1qPaF2ipkTrEDUhWptoLaI1idYgWp1oNaJViVYhWploJaIViVYgWp5oOaJliRoTLUP0/+wTAm9CeItm7PEu7wBpCWkFaQ1pA3GEtIU4QcQQZ4gLxBXiBnGHeEA8IV4Qb0g7iA/EF+IH8YcEQAIhQZBgSAikPSQUEgYJh0RAIiEdIB0hnSCdIRJIF4gUEgWJhsRAZJBYSBwkHpIA6QrpBpFDEiFJkGQIvvplukPwTTijgKRB0iE9IBmQTEgWpCekF6Q35C9IH0hfSD9If8gAyEDIIMhgyBDIUMgwyHDICMhIyCjIaMgYyFjIOMh4yATIRMgkyGTIFMhUyDTIdMgMyEzILMhsyBzIXMg8yHxINmQBZCFkEWQxZAlkKWQZZDlkBWQlZBVkNYR8t7QWsg6yHpID2QDZCNkE2QzZAtkK2QbZDtkB2QnZBdkN2QPZC9kH2Q85ADkIOQQ5DDkCOQo5BjkOOQH5G3IScgpyGnIGchZyDnIecgFyEXIJchlyBXIVcg1yHXIDchNyC3IbcgdyF3IPch/yAPIQ8gjyGPIE8hTyDPIc8gLyEvIK8hryD+QN5C3kHeQ95APkI+QT5DPkC+Qr5BvkO+QH5CcEX3Qx+G6VKQHRhuhAdCF6EH0I3ioY/KaDMYQYQUpCSkFKQ8pAjCFlIeUg5SEVIBUhlSCVIVUgVSHVINUhNSA1IbUgtSEmkDoQU0hdSD1IfUgDSENII0hjSBNIU0gziBnEnBVj7GaRN7lj9MFx+uAEffA3fXCSPjhFH5ymD7B7hzdRpjlSW0AsIVaAnKWmNSbZQGwhdqzoYicx/68d8RZuiAmyVJxL0CVnIPS57zANQ+LZ46UYGExIQiJ+/pGYUtInOZp8zYDvnQzaK5QzlnHLjJaRn+4oTxYZct9WJMgUeq7JidKEJAMv7jhIpCMSabH/2P/n81OlUvx6fwFh16Fu+7QEufkv0K9f/2EU/um1YNdAKXFwnt97kV8+KX9t0xLrKDQ4RCzxZesbdGuzwf35N4YxrdjJeq2xXj0j3Lz8zNwC3HyUP+UhszGO8Nuy0sqlJX7Tg8tATfB7JEXH3KMx5aO832HRy51MQvFbso7K41bszJPve1Hnr8oYVJZbjxt47vnX44l525bg5hVdEuTU8y1R9C97CVuht0XJ9gc7IH92kCr7inB5wFbNGYGckfnn7Kia81oB6yg3ZzRyxuSfM1Y1542i5ExEzqT8c6ao5rxVlJwZyJmZf86eqjnvFCVnf+QckH/OQao57xWQs6sZl3Mkco7KP+cY1ZwPipJzMnJOyT/nNNWcj4TP49klivXNvWo5c1HOvPzLyVYt54lwEWeX4C/iMuRcnn/Olao5nwkXcV2JYn79r1pQDgrakH9Bm1QLeiFcyHV0IWNCuJw7kXNX/jn3qOZ8VcBzIzfnYeQ8kn/OY6o5/ylKzjPIeTb/nOdVc74tSs5ryHk9/5w3VXO+L0rOB8j5MP+cj1VzfhQ+aV6U0PR0imolr1DJ6/wreaNayWfh0r2gz5bgXlzOz8j5Jf+c31Rzfi1gjeXm1NbGaRftfHPqaavk/F6UnKWQs3T+OY1Vc/4UboWK2gWfNlLlVQavSv68aqo8dpeJvwzgqeasg5ym+eesp5pTW5BTr7F2Mc89kYI8s7mCmqKgZvkXZK5akK5wIRvThczNaYucdvnntFfNqS9cyDbaxTiJpVpMWxTjlH8xzqrFMMIFbCNYQC/k9M4/p49qTiPhAgZqF+NsmGoxwSgmJP9iQlWLKSVcwEDBAuKKFL3O+efsopqzjHABZdrFOK1GinE8yhUTh2Li8y+mq2oxZYULKKMLmJuzO3Km5p8zTTVneeECZmkX4/ycajG9UEzv/Ivpo1pMReECZtEFtLrG5RyMnEPyzzlMNWdlYc7cN+Bq7mJDknMsco7LP+cE1ZxVC8hpnMjlnI6cM/LPOUs1Z3XhhpivXcCpSFXYAsAW5g9brAqrKVyA+dr8BViFnKvzz7lWNWftoqyUzci5Jf+c21Rz1ilKzr3IuS//nAdUcpbBaU+c6izxavvu1uFpqdJgWWqCVI7bSJj04H5aamppbmFqIk1JkScoD//bmOI+DqaOpQxNTFqn0A8kXA3UxrSu8qd+3M/eTE2aqx2l/HmiwpQ9WOgmy2pjmpaaLjM16YHfvpGeVGQm4Wxe7CedJWZKSpfL6Vx5U3DzCecMTk5Nw0+LTR1d0hVpyYmtm9MB+c6i/PmhjPys0tTRouhzmDqiliKMJz95NHW0QsfLQgfjux1TRzxWrjzBLMIJatae1Z9ae9yyod1EERctRqaITk0g31wVZwmt/zfPD8v/u+dHi6I895TrkLyCirP2bP43a8/q/27t4RbyRVx76UkJaYrirD3b/83aK8oSarj2bIu+9hTka5HirD67P/zmRO6BWNSl+3UhbjGWsMUfXkKborwtKRcwDtcSFGfZ7DVaNlpo0T8n2ImJKWnFqdThT2+Fory9KRdOnpwhSy3OsuF+uf+/PsXSU1KKuXB/bOePWzh0Wy7iwqVlpRTrk9fyj+2aKeuNTpZ7uWpY6h/bx8otFbcz0LDYP7ZLk1ssuU5QoWG5f2wfIrdcH/KeI5cmpmhY8h/73M4tuT15JylGyX/sgzi3ZJfkpBjuPpAa1qzZB2xxayYXpGlY8R/7oP310pNJY/yT5BquYqs/9uH568WXkNQNq5n84l3Dqv/Yp2Ju1c5SRYKGb3BWf/5zTnkBQAj7Aa1hyX/+805ZMkINS/4fHcjb/B8ciuauFHrLhWKslv/REbrt/+Vq8XIV7oIXbW38sQ9u1bVRlJ3qYqwN4dFW0dbGn98n8HIVfr1StFr//L6Al6vwtV20Wv/8XoCXq/AFV7Qvj//8DoCXq/DlULRa//zHvo80SibXsNo/9rGv+l5TlG/4NH6vwT0upAlJslQN18n/6FxFUb5rK/46kWi+w2X954/ZuTvQaVjvnz9oz3PbGQ1r/vNH7enJiZJkcoJPw2MH6//BYbs0SeKWlMY+nb1iNCz6f3DcHp8gj5GQGwdpWPOf/8x2TUiUJSk0Pgi2+fOf3O2TEtIkQckZGhb85z++f701u0jTZHHJqRp+TWLz5w/hyRcOEv/ivHnY/Pmj+Nw3Dw0r/vMfg55ShYS8e6TKNH0h/vnPQi+FXCaN1bDcP/8xqHx39oop8vOZH/ISK5v5uCfI2Sea8povU8cOKt8rdjJpY9LQWRrT8DcyuSXhq5YYtTuA/Pm45SC/Cit8bfLnVp41Q78r7qxbrFSuECALrsA3qL2ybIWpYx/8jq0u7kNnZyMWu4nFYtfm+BMHiumfrziOVfc0t8jwSHeZp3NWZLhfTx95vEV0ortndKK8m09ShLVPV1+Fl3ukPDrJLyXKysbBL8ump0/X6HRfl4y4QOtQRYxnaFZkiGV6ZHgo5lP4uDgHxoR5K6Rhfj6R4fL2UVZp8qiuFrYRXd2sfcN8bSMTA638PILifcMCM50DUZfYKsgj1CooPD4jOjG0Z3SWbUSMp3d8kLV3SqSLbZg0LNSaneYSEe4n9+lmGRwaGpkSGR7jIQ3LtIgM93aNsspURIb5WUjDHNLJsjn7qUwLTHTvGRmcppCG+1mIMzNDZOx/I8Ms0gOtHBRRHqFdYzzkPaKSfNMDw72zIsLlvmQc1ou4myvUmV1N7F90e2t5zxiP0DSfbn49ojwy5RHWQez6sO3p0809i11u2xAP1leO9Qi3krMMy57OoQ49peEpchd3Byu21p6ox5mt0UUc5+1MNoEXJAriptwwZIW4BLbHf7ydSR0WLq7iaFQSzltPbhHhQfH/99uI1JJS5G0kz7t9vFzICvGI9GfXFbaLZVSYbe62Y59j+G9KRFD+24xd/93VLne3yJQozyA5myM9Msv2V672Dhnsf+NjPByynDOw2n5nmyd7k4LFbh5k2wdy05SbhmwscQZ5brQjjwOVLyMMdfn12NslI3dTuiofJefZtsT0E2eKfZTPL5LPjwwO9PV1RR3O8YW9Jt1JYle//McptwP7/PSOj7Zqnx6aKJfHWLDPXc/QtCi67rqx6y7RniyyM50WF8ltJxs3cXBm/vm7cbmwHtn1GhNmmR6UKFewr5Gs4DDbxKgMG6T1Vy6zPXkakBXg7NyVze8rDbNNZedLj/SQc69di9wV6BJERnoTFbcPgPq4BcljuoXaRHt6y6OtfdPDPIOyItrHZEnDAnP57HOD/xzzjkqM7KHcjkHtZeHOcme3tJSoxECfIPb1Gu2RGS8LDZLLPAN9ae3trYPYnLZJzqGR8ezyyckmCvRin8g2vzYXyRcRonwbjSAvEHfLNMEyhQeLHbxcYlwiwgKTXOLcgsgm+/XccFYuq/I9w51s95go9n0kXYrtlBiUQp6ncou4gGBxEvua6Oadkeyj8hHQurnqr5Vxz5D//v77++/vv7///v77++/vv7///v77++/vv7///v77++/vv7///v77++/v3/nTxY3Mi3DTc9wNUVeCkzRovkJa/+hKcK2UvkSRnJ4aLRPp6Ojk19UtT548bYPqqB/NDcSvjjCqboGjggkb4/BP77C2llYtnKAzI5c7mJFLSxRmOMOvMFPe74s5gk5RLb79/Fk4n101WvrkWmyJRCu3waSuHTtzUcoSzo4pItw1Hmtd7zhu75CnWlImc4KdKrJmEagRPJEV+wBMMncDOvcpdlxl/tx0IU8jSfO8SczzJmlIk5xjx9XIJ4kZLtZiziNT07yZmuTN1IhmuoTVSpIw6MUlaph3lgZ5Z2lMZ7nGjjPKu+jXMWPdvDOa5plRF/e7V9/hNJ/GkE1VpoelSnG5kbKlKOk+V1bZjI5c56X8pb6RJDp37lJKF4Cg5Az26a1VhQ+n96DEtq3IN0laOL/dhFTZrArLzNzGfT5we2zcJlrUlJ1G7vpPvHvUw82jRc1UvIfUw/1IRWYq3hPqGZInhor3nHq4/bSouYr3inq4y7TIQsV7Qz3cqlpkqeK9p54eeTareJ+oh9tai6xVvK/UwyYT2ah4P6hHmq7bqngiHc4jLzk7FU+HeuSp2ELF06ceeZXj3tnq24vR6xfyPKFKB+BGKQp6vxTa3VCSEKOnbDDILoOOwW+3XzUQFIBm0uw/F2l0vCxvi2767sLgtupo5MAYsnWJcO9vLEiuRTr6lITVkm+h5QNTGlYrvkVaAxnDas230ByCKQerDd/C7eyYCrAc+RbaSDCVYLXlW+TG5VVgOfEtNJxgqsES8y3SYakGLGe+hdYUTC1YLnyLtGoygeXKt9DEgjGF5ca3SM+nerDc+RbaXTANYHnwLdI8qhEsT76FxhhME1hefAs3kGSawfLmW2ihwZjDase3cB9MxgKWD99Csw3GCpYv38IdORkbWH58C205GDtY/nwLtxVl7GEF8C008GBawgrkW6QzWWtYQXwLrT4YR1jBfIu0OHOCFcK37uKBM6z2fOsOHrjCCuVbt/HAHVYY3yJN1zxhhfMtNBphvGFF8C3Svc0HViTfQksSxg9WB75F2sAFwOrIt9C8hAmC1Ylv4ebATAisznwLbU6YUFgSvoXbGTPhsLrwLTREYSJhSfkW6ZjXEVYU30LrFKYzrGi+RW5z1QVWDN/CLbaZKFgyvoVbczMxsGL5Fm7fzcTCiuNbpNdgPKx4voXbgDNdYSXwLdLCUA6rK9/C7cQZdCAXdeNbpDNiCiw538JtyRl8JogS+RZpuJgGK4lvoWMD0wNWMt8ifRwzYaXwLTSYYXrC6s63SHvI3rBS+RZa0TB9YCn4FvrTMP1gpfGtfXgwAFY639qLB4Ng9eBbe/BgCKwMvkXakg6Dlcm3SFvXEbCy+BZp+zoKVk++RdrCjoHVi2+RtrHjYPXmW6St7ARYf/Et0nZ2Eqw+fIu0pZ0Cqy/fIm1rp8Hqx7dIW9sZsPrzLdL2dhasAXyLtMWdA2sg3yJtc+fBGsS3SFvdbFiD+RY6AzELYQ3hW6Qt72JYQ/kWadu7FNYwvkXa+i6HNZxvkba/K2GN4FukLfBqWCP5FmkbvBbWKL5F2gqvhzWab5G2wxtgjeFbpC3xJlhj+RZpW7wF1ji+Rdoab4M1nm+Rtsc7YE3gW6Qt8i5YE/kWaZu8B9YkvpWNB/tgTeZb8/HgAKwpfGseHhyCNZVvkbbNR2BN41ukrfMxWNP5Fmn7fALWDL5F2kKfhDWTb5G20adhzeJbpK30WViz+RZpO30e1hy+RXrPXYQ1l2+hdxRzGdY8voWGUsxVWPP5FukLfh1WNt9C6ynmJqwFfIs0rb8NayHfQpMq5i6sRXwLnauY+7AW8y20s2IewlrCt9DjinkMaynfQuMr5imsZXwL3bCY57CW8y20yGJewlrBt9A3i3kNayXfQjMt5g2sVXyrPx68g7Wab/XDgw+w1vAt9OJiPsFay7fQoIv5Amsd30LXLuYbrPV8C628mB+wcvgWuZkmDiVFG/gWmn4xJWBt5FtZeKADaxPfQnswRg/WZr6FnmEMujGJtvAtNBJjDGFt5VvoLsaUhLWNb6HlGFMa1na+hT5kjDGsHXwLzcmYcrB28i10LGMqwNrFt9DGjKkEazffQm8zpgqsPXwLDc+YarD28i10QWNqwNrHt9AajakFaz/fQr80xgTWAb6FJmqMKayDfAud1Zh6sA7xLbRbYxrAOsy30IONaQTrCN9CYzamCayjfAvd2phmsI7xrRg8MId1nG+hrxtjAesE34rCAytYf/MtKR7YwDrJt7rggR2sU3wLveIYe1in+RYayDEtYZ3hW+gqx7SGdZZvodUc4wjrHN9C/znGCdZ5voWmdIwzrAt8KwIPXGFd5FtoX8e4w7rEt9DTjvGEdZlvodEd4w3rCt9C9zvGB9ZVvoWWeIwfrGt8C33ymABY1/kWmucxQbBu8C101GNCYN3kW2izx4TCusW30HuPCYd1m2+hIR8TCesO30KXPqYjrLt8C637mM6w7vEt9PNjusC6z7fQ5I+JgvWAb6HzHxMD6yHfQjtAJhbWI76FHoFMPKzHfAuNA5musJ7wLXQTZOSwnvItVzxIgvWMb6HvIJMC6znfcsaDVFgv+JYYD9JgveRbTnjQA9YrvoVehkwmrNd8Cz9WZnrC+odvoesh0xvWG76FVohMH1hv+Rb6IzL9YL3jW2iayAyA9Z5v4R8zCNYHvoX2iswQWB/5FvmSdxisT3wLjRiZEbA+8y10Z2RGwfrCt9CykRkD6yvfQh9HZhysb3wLzR2ZCbC+8y10fGQmwfrBt9AGkpkC6yffQm9IZhosfCmqYqFhJDMDlohvoYskMwtWCb6F1pLMHFjafAv9Jpl5sHT4FppQMtmwdPkWOlMyC2Hp8S20q2QWw9LnW+hhySyFZcC30NiSWQ6L4VvodsmshGXIt+rhwWpYRnwLfTGZtbBK8i1TPFgPqxTfqoMHG2CV5lsmeLAJVhm+hV6bzBZYxnwLDTiZbbDK8i105WR2wCrHt9Cqk9kFqzzfQv9OZg+sCnwLTT2ZfbAq8q2qeHAAViW+hfafzCFYlfkWeoIyR2BV4VtoFMocg1WVb6F7KHMCVjW+hZaizElY1fkW+owyp2HV4FtoPsqchVWTbymb9sCqxbfQppS5CKs230LvUuYyLBO+RbpSX4VVh2/h9BVzHZYp38LZK+YmrLp8CyevmNuw6vEtnLti7sKqz7dw6oq5D6sB38KZK+YhrIZ8CyeumMewGvEtnLdinsJqzLdw2op5DqsJ39LBg5ewmvItnLRiXsNqxrfIqb83sMz4FnnwDpY538If84G1dNHOsKq685SKeJkMfTLoyU/l2XxDSa6nIxIVeIIz96Sk3ieA3FN7BqQxeChC90TSRpG4X9hJOi7JijQGj0SWKuY3dpKxF66llpKLVINBZjBVZKUy8Ac7iXFNkCnc5VJFPINQF90YBWfE2iclJCeRc60uOG9GOhaSHwNIpKmp0iw9STTun6CjVVnt+dkOnX6dcP2pq1yjIjR8JJ0fseWVJxjpFJEed/rTjk4poadcNbpoc5h/n0U8h4wSJdHs0ihwwt0wURKboLwHWslEiTwhSeaXnhglS2WDRFlafHIMHZQul2P+UokSRZo0upt7KjtdgZb2Ip2aKrTgXBsXRHfohMNa/NPTZtmitgz+wxNDXfReLLz9I4qvxI2SZFpYWIsltE+ltp+rC6PcloqERN4gT/ZZgEG8ybRxpUEG9/QiiyMix+HoE8mQ9zO8B+npo8p49L0wk6XI5Mo+kww7sUZAVmqyPAu3E/BOTpIpJLZ29hJ2w5pnyhWZIrR4xPZQt9DKJRehyyOWnnFXITIgKntsACPyLzxTEM0UUGCmiMIzdaSZIgvMFF14pliaKabATImFZ0qhmZIKzJRReKaeNFNmgZn6F55pEM00oMBMIwvPNIZmGlVgpsmFZ5pGM00pMNPcwjNl00zzCsy0rPBMK2mm5QVmyik80yaaaUOBmXYWnmkPzbSrwEyHC890jGY6UmCmM4VnOk8znS0w07XCM92kma4XmOlB4Zke00wPC8z0qvBMb2im1wVm+lx4pm8005cCM6GdYCGZ0FGQZELXwfwzlSo8kzHNVLrATJULz1SNZqpSYKY6hWeqRzOZFpipaeGZzGmmZgVmsi08kz3NZFdgpraFZ3KmmZwKzORVeCYfmsm7wEzBhWcKpZlCCszUqfBMXWimzgVmiis8U1eaKb7ATN0Lz5RGM6UWmKlX4Zn60Ey9C8w0uPBMw2imIQVmGlt4pgk007gCM00vPNMsmmlGgZkWFJ5pMc20sMBMqwrPtJZmWl1gps2FZ9pGM20pMNPewjMdoJn2FZRJFz+VLvpvuvG9i7EkVp6QQlzlj4hLSuKlipCENLksKDlDXxIvk8bgl7XsRE/ykJ1KhpAfALNBeQS4548L+4/76W0ZTPPyd5bih5R0hqAQ5f2GGElSsn8sO1VRSpKWwB774Niyh1RuSCKS1kgiTUtLTYhKT5MpDCVSeoOikhL/1AS2cHKIZiTBjYvcSeNnQ4kPezgWnJYll5WSOCensmWGyRLi4tOMJCwzOZXcfrOMxAvl5I4sp4zzDjdWTvo1DyPx7yFLTU2IkRkpf1tM5mQfY/1wPKyhhKQ4ElVgDwVT42TipBgXGRaLrEdGksIujiw1SVFWokiPUrAzp2MJQqWpCuXxK/5EOlo69A+9brW1lcdYIgM9M/4W/XXcrDB3TkgCXvlraJ8ERVoJJDPhz0K2cJ7Vh1EWvgnRqcmK5Ng0c//Y2IRomTnZFskp5m6Z0TK5ebiyocav9YyZmhQ6U+4axnCzQofn3QCYo2mhc/zaPv9fFqT+SgP6RFLesotspL7KFsIqm5O02UyINseW7GLZoQM3RHl7sWYmiYro5FR5QlQzE+6Hy21szC3wv2YmLunytPRUWZskWXpaqlTezCQgPUqeEN1OlhWS3E2W1CaqRQupbbStnaWDtY3Mwt6hU6floiIUoHZhglWfxuRHzc0EzzlxDPvMzFMpKdTcsgi1Wkijo22to9kqY60s7GNiO5EvfbREetX1tbQq5GnkTeEK+jLK/VO+K9Zkx4t07376+bPQVwQyCC/+0L3DzvvbLxRhrkOvfv7Uvc3m+o2nqzDLWWS5xWb5vWexMNFFJLrJJvqdJ7cwzUc2jegGmwZLhuJE19kHKBAA0TX2ASAYpnv1U34X4ai+NISUX5szV0RMI3bLMo2xeXH9zRHypZ9ek/yeHvxnB5eqGeYXnWMrw1OEfJV4ln2AbY4NJjqTd9FO5120U3kWTXQy77C/8w47kXfYcfYB1oLa5WmB5bFHPad/LY/Dby5PK7I8B/Iuz/68y7Mvb6F78xa6J2+hu/MO25V32M68w3YUtDzuWB4P1HP+1/J4/ubL15ssz8a8y7Mh7/Lk5C10fd5C1+UtdG3eYWvyDludd9iqgpanPZYnFPVcpsujtPLZFOHkupoleUtfzJVOyliUt6aFeWtakLem7LzD5ucdNi/vsLkFlR6N0mNQ+vXc0vVkv7kp4simmJZ3eabm3RRT8hY6OW+hk/IWOjHvsAl5h43PO2xcQcuTiuVRsKKLi63UX8aFhTSQSGNiUmUKBXcCxUiSSi4cw2ORjk6B506Kf9kasuCfXhpbaRX+GZQ6YnvLll72LZQXMuGSJhGuDsMC6WWwM5TJPZNSx9+yZZiNchwuJxM9pON6suOMf40TI6GVciCuLRM9oQP/Ul+BnXVLrxYOyhlwwZnoOZ2hn/oZbOxaetlZKGfAVWiiV3SGgepnsLZp6WVjrZwBl6aJ3tAZhrAzlMQ5J7Zsh5ZeVnbKQbhGTfSeDhqOQeS0lcrC4WI10Sc6aBQ7qJIA7WvZsj230nD9mugrHT5WfaVWbH5rbtFwUZvoB51hQp5KbVt6WXKV4uo2ES5cI4Mms4Mqq1nDv8bjijeRDh0/TW3RWEhubeEiOJE+HT6THW5EanC2aelsya0HXAyni6vGinTRmZ7yFaFIYo9G2EOpaHL7XJw7Yo/D2NmjE6Ry7PMpcs82xqUnxOhIWMGVwtrCiyLz7jUq909/nX/CE9+yKFU1Dc6DxlyCi3y5uX69VWGUEbfn6sGWpzwXSH4BMRdvCl3Y943fZ6vsdpShL14Gp4tFndmM//z8+dNjm27iQ6fqzoMjfa2jfpZrdboxa+LaPGwEhvxWYSHeJjuw41HFrwwRXIaWNt8cGhi+cR52beeWkwOHLjiFDKVpBvILhGXIECrIEMJlqL7/xpKduo4+m5dvOBlb6q8uJ5HBmMugt4qd2TKE3Xtj34LImxK2jEyaqDC3trZz9XILNvdPT0tJTzMP9QkOcfUNN/f1CndzZVaDGShg+nPMKhOOh7bd/91znMgqu7xNkHNvMMtR5np2Zgv1TCu7YLG7emQOkD4CpDeHrJqxY4l+bwevNT6uJ7t8/OKVAWQFitycP9LSzkOcz1JuAdJDgHTjkGk3Pjo+8kzxXlmn66Myow9JXjdizUoUuaPIa9bfx90nl7kTTGcB04lj2g9Zu2KH0XCXxV5vHksf3HjyCswqlLm3qIupgtwHZBsBshWHNMvRnjf4mpnrym+j3aaMfLE6HshqFHmInbltURYzOCTIV9I+IMDc1d7OzMFCyTYP8Q8R+zCHUYG9oAI7roK2P5vYR29Y7zr8yeawGfZ2aZYNWLMGreA4O7NjERa6oAJOoABrQQGWXAETH86YLyqR4jnlcMOAAyX1pzdCAbVoAac1KcBStYAzKMBcUEAzrgBvg0k3K33Y7TVrrVXcUwOj1g1RgAkt4AI7s0MRXlC+4uBg9yCxC0cO8HTz8/exZC6C3Zhja+WyG9LtP8Xy9hGfWLeRnv4pu2tXPDGjPmuaUvbV4rCtmGtg1xOwTTl25JiW9fs99Wm3YmHcnpzBiROmg12Psm8Vh23N3Aa7toBdk2MPDbqUcEevmcecEc9sPRb+bTwN7AaUfV8ztkuEi62Z2JJ5AHY1AbsKx55ru91gwJVe3rvaV063trSdPBXsRpT9RGO2HdhPwa4oYJfn2DLDnakXNmd75pj7n+h7IP34FLCbUPbL4rCtmFdgGwvYpTm2T9lvss/7jnst+Rz/aXX5ba0ng92Mst8Wh23NvAPbSMBmOHaJLQ2bZQ3b5TTy7rKK2572Hj4JbHPK/sTObP/7bHGQL1b5Z6D1BGgdDi0+uvDmqoi1Tiu6H9qYk1Svx0SgLSj6ezHQVswPchwmQP/8qER3aTpzouOVZKc5M15IFp8vZTsBaCuKLmGgMdrZktFm5xZ9+8hHf+HQEVeGHL0+MsBp4tvdzeL2dK87HmgbitYvBtqKMQD6owD9nkNnN7i0rn+QrufuJtoLrrVf6TcOaDuKLsnO3KIon2n8J5qnOIgpBfIbAfk1Rz7qPUw26nPpdhPqP3g74/Xmefvr4aOPksuyM7fUgOzs5Y8pTDnAXwjgzzi4xaCLr1+dmOO+9PHn0ocbnZi/D/CWFF7JIN+XV4FwbpVXBvuxgP2QY1d+Xibu5dTuzhNHGI32VPjF7QW7NWVXLw7bkqkB9j0B+w7HNtj9KTZz3iHxks0W20cPeR+zB2xHyjYpBpt9gdUB+6aAfZ1jaw/teX3U0Raeu3c8e9tvzbGXu8F2ouz6xWFbMg3AviJgX+LYNUoYDv+78w3x/HKbL5TLmaK9C2xnym6i4ZONvp82Bfy8AH6Wgx87ErD585oVHusm/eM6ukRSv52Au1J482LBrRgLwE8J4H9z8E4fPD50/lneY4S08tIaD6tO2gG4O4XbFAtuydgCfkwAP8LBd4SVPH797Gm/XVUzY+5HbHi9HXBPCnfQHE52HVoCflAA38/BR43YWOvBhdpuy364iOrtl33YBrg3hTtqCKf7TG0B3yOA7+Lg43zmjtpx9pTvwKtHuix7+bn0VsB9KNylWHArxhXw7QL4Vg5+5Ot9yxePhzrtqhm6OyDsQ+IWwP0o3LNYcEvGC/BNAvgGDh52qfXLh726+UwxSmzpZDBv/2bAAyjcV0O4n5mnSzszZ8YP8HUC+BoO7rnIyjbFx7Ddwv5WnZ/rmLXYBHgQhQcVCy5mggFfKYAv5+BaT+432t7wtd+iz/KBrex1S24EPITCw9iZW2n6UmP5TDjoSwT0RRy9/tel0gqV7DyX9g5raNv6Sr8NoIdSekcN6W7hIUFmXn4hTCfQswX0eRy9sb24p+K5druxNRbWb/54W8cc0MMpXaoh3cfDx5fQo0CfLaDP5OgZoxuufZw003W9ffSpVrEbxOtBj6T0WHZmOw3onlbBTBzA0wTgKRzYfFrttlYXp7bbWKXrwKXaAZbrAO5Iwd00faW5+YWI/dwYOeATBfDxHHzOSrcFijnnnfsbG/U65nDwwlrAO1N4iobw4PY+7mIPP6Y74GME8FEcvNvRY5er/1XXa42vT0BY9wdd1wDehcLTi/UeE8z0AHy4AD6Ug58c4rWr/ffdntO0v09WWFy5shrwKArvqeGzLcDfJ8KM3Z9geoE+SEAfwNGXHrza743da/GaratktfdPr7UK9BhK76sh3U8c4BniKfZh+oHeV0D/i6MPPZbc9PL0NNfBvUx2XXUdc2Yl6LGUPkhDuqWVjRkqYAaD3lNAz+TorZffq/jDZJ/zBr2x4w5Na8CsAD2e0odruNm9/Fzd/NyCmRGApwvgCg7+Znpbg6Yr6/vvfHms2pqQ+7OXA96VwsdouAfJwsV+wcxYsFME7CSOfcPEItN5/DLfWYMisx5ccnJfBracsidquNpdvQLMXPx9A5hJoHcT0BM4+tnkqLe9shzcl8ifzfypCGm3FPQkSp+m6astIois9umAxwrgMRx8gW/JK/dvDHafULPHPL9OR/svATyFwmdr+mpjX+pivxBPZg7oUgFdwtH1Hp68HDIozGX1mWHPrsovTFsMeiqlZ+d/cFz44RKzAOiOAnQkh568YKCf8+45fnMe6Gnv379YfxHQaRS9pBhoMbMU6DABuj2HfqZrW7Zjx5mu64yXDe2VfO/iQqB7UPRKzfclWgT4tA9mVoEeJKAHcPTFB0eevKezwWlRYn3FMscQvQWgZ1L6Og3pzl4s38c/mFkPuq+A3o6jr7lxpPnKgdH+K23CNx070ntnNug9KX2Thi9zsh/lzGwG21PAdufYI96YpTnN2Om6+/Df53qvu9RhPti9KXt7cdhiZgfYLgK2mGP7bo1vEXOunkdO7SpLRIGybfPA7kPZezRn27LLvRdsRwG7NcdesvhEUMspy1w3JI4wKjWoY/pcsPtR9sHisMXMIbAdBOwW9M3N6l5lh47ObhtnzZvh+POswRywB1D2MU0/U8wCgtzZBT8OuI0AbsXBXQM6NHAcU9tnqlmziFRF6TezAR9E4aeKBRczpwFvLoCbcfAp0weta/p0qfPC9Zve1VJs2zoL8CEUfl7D15mvi1mAOEjszlwAvYmA3oijd5zr7nTytLtTTl/zs2v1pveaCfowSr+iIT2Y0q+CXl9Ar8vRj6+K9ms761q7iXc36rz5PL/hDNBHUPpNTekeOF5gN/st0E0E9Foc3Wzwk0qzchyd+x2cad7xdPSX6aCPovR7xaOLmfugVxfQq3L0uqdqPBwYv9Bzp/WA0y0PRoyZBvoYSn+s8dGSp/Jo6QnolQT0Chw9Oad2aJdvkz2W7k3Suuaw+8dU0MdR+gtNP1uCnP0I/SXoZQX0Mhy9qmvdKZOSNnoO3ru9gnjwxEZTQJ9A6W80pItdvFwJ/S3oJQV0Q/qKEz85blOvn+fKb5FG/ZrElZgM+iRK/6jh993BYj9X5hPI+gKyLke2Wxn35N3p3q7rfT2Tt1jvlkwCeQolf9PwGFUc7Ml8B7iEAKzFgScudbxa580uryl+VcudywgbOBHgaRQsYrS0bDTZ3EwJdk7R9w987NcPSuz7vrcbrCizpN2k9x/GVsiIc58A7AyK1dMQG8zoA/tJgP3AYWdNiVg7pVcb790lryTWNp45YzywsyjWiNHsgyxYuZdeEuy3AvY/HLvahXflmmw65zL4seXXHuvruI8Dew5lG2vI9lOyy4L9UsB+zrG/1rowwGd4pXYLPN68/RraqsdYsOdRdkVGw7cUL/Y9JYx9O60E+hMB/RFHn1M5/t3Sbld9lyQ/evtystbIMaBnU3q14tHFTHXQ7wvodzl6xxrTqqbUr+u2/oT5vTY7blmMBn0hpdfWnO5Dlt0E9FsC+g2OHtS84s3MDrs9h935kNWnzbOwUaAvpvR6xaOLmfqgXxXQL3P0qOdN0rTGm3ls+Bm4p9O6jpVHgr6U0hszmu2/4Gs/sUsI0wTwCwL4OQ6+adYDcWDHGa45b4d22Lrr2u4RgC+ncHNNX2ztsdmZ5mCfFrBPcuyPnlalHy666D9lf9MLU11PHRkO9krKttacza52xgbs4wL2UY59u+WLcqsedxYPqH39Xo/at2cOA3s1ZdtruMk92ou9xC7+PowD6IcE9AMcPfvzkrmhFUb5j5psM2Fou1oTh4K+ltLbaEgX+7j4e+K7N0fQ9wrouzm617fJlzp7nvGfbP131PO2xveHgL6e0p01fMK1cwvxx1cRLoDvEMC3cfCqN+aMuj2gnsuQy9nOcU3KGQ0GfAOFe2i86K5unhGubown6JsF9I0cPbhW6+Mvf9b2ntUtyK7PyKffB4G+idJ9GA2/D2B3XYIZX6DXC9BrObRTwu5yvmvLeW2ukh6cmtzBdCDQWyg6kNFs78HP34oJAniVALyCA889Jw7oZJzotdxw9+ip6VezBgC8jYJDNQQHs+AwgJcKwIs58NOK3+9vvtDea/KH/cPLmy+b1R/gHRTcQcNNbWnm3D7Ezc+N6Qj6AgF9Pkfv7dXtSNTZbM+JN0SVRfr+8f1A30XpXTR8lgcE+QcALgV8jgA+i4PvrnMtx7eczGfz7DKPPbdsWtQX8D0ULtPwrc0txBPsWLCnC9hTOXb6hp0rGj8e7rQofcaHCU3NO/cBex9ld9VwtfthteOURjfQJwnoEzj6/D06foEeh3yWh9k0bJspbvIX6AcoPbkYqx3wFMDHCuCjOfiAHoPOXfa+4Ls84tv4k95PtvUG/BCFp2m+2sFOB3uEgD2M7r5ZNui8W/7ddUW5mu9ONdN92QvsI5SdpeGC+3LwnoAPFsAHcvB1g1Neee8Z7bXm9bz+6w6+dewJ+DEK76Pha9yFfY33BbifANyHA4+cOXbZh86T3KeldPHdO7aFSRbAJyh4IDuzrUZgZhC4vQTcLI6bttRtwI9Gd13nrduwx2jxX98ywT1JucM05IqDmOHg9hBw0ziuIrjE1eZWKV7z+4ZP3NvBs3cGuKcpd7SGXD8rZgy43QXcZI47PvhIjeFrH3pMPHDU+qRp36o9wD1LuRM05LLbdyK4cgG3K8c9LJveLaxaa6e5BpPXt0zZWyEd3POUO1VDrqcVMw3cOAFXxnEjvzbJSXn9xGdgRkrM486lO6WBe5FyZ2n4QR0mDnELYmYDHSVAd+HQgyrN3i962s1pmpbNHcdnsc8UQF+m6PnszO1U0M7y5OhuCvMgMysrW+WlUtwUK88QM1+xl5+5VxKpxd/HTRLh5ebDnbvgfrKejWo6CarpwFUjevvUrNfwxk6TN5o3sTp8J2ehKQ4maDWL/61qxFw1S1BNuKCaUK4ac3ml3t7PMny2DO77OavvmyoLUM11Ws0Kdmaf4laj/KadK2clygkWlBPIldPYxD785sWXngMj53Q5o2s5NBvl3KTlrP2XyrHNLWcdyvETlOPDlTP5coPvfp8M3TfMWTM79kzVCfNRzm1azkZ2Zt/ilsP9eImrZxPq8RLU48HVI017Vy7y4Gvx0OtlrjsrholnoZ67tJ5t/149Vlw921GPq6AeZ64ecfvqGUPMnJ1XzR5/8AbjUmIm6rlP69n9b2wu5Q84uXL2oJy2gnLacOXMdBswJOPcXr/17un6V7Lils9AOQ9pOQf+tXIsuXIOopyWgnLsuXIM2y6t1FYvxnlZ7yfudgmVV01HOY9pOUf/rXLEdO0cQzm2gnKs6ZciG+tMOdfsq9+09Yke/Rva9JiGcp7Sck7+a+XQtXMK5VgIyjHnyimV8iPgQYVFfkP63Ewv06+85VSU85yWc+7feC5zPwbl6jmPepoK6mnM1fP6zJZmXuIs56mVV5QcWPpMzhTU85LWc/nfq4duriuop4GgnnpcPVN09D7J/La6zLvfYfDlg/PeTUY9r2k9N/69euj2uol66gjqqU33SKOdYu91uSCeZzWvclSF0PGTUM8bWs/df6ke21/13EM9NQT1VOPqqVxJ71WJuJHe02sExV90WLZsIup5R+t59O+9F9J6HqOeyoJ6KtLP9R3vD3wZHuCxaYnJ9s3ZTT971WLND7Se5/9ePcFcPS9QTzlBPcZcPZtTPOOkd7c4bdsXf77160eDPVHPJ1rPP4Iv+3PrsbS04NAu/m7uluaW3FftHPYNsKUEWCMO2+L550ta20q5jBlQpvMsm07DDlZlzS8U++F3sH55sR+BNRBg9TisW2/XmUHnbdxXbDQ4sfTo11UHgP1GsV8Fx0sFYOkX7Bz4G8DaArCIA4+VVu4dc1DcbvqD9POWVypb7Qf4BwXjRtG/C6b7JiJDZHrPB397z1142CyzTuDJ0k6zzoiGJA0YemsfwLgjNAHrGvJ35AsAc18tc1w9cD8LuB85rkfLgw5V5CNcNty8eG7k6n2994JbgnINf3OBffKsaSOA3wnAbzhwxefJ1V1vpvrPXdohMm3Zmxd7ANah4DIagOmaNgb4lQD8ggO/XL9+wfL4ROdBGWV8Ax+e7rwbYD0KrmD4O68k8j06h60I7FMB9jGH3b/u64M24hD/uUZi8YgNV9/uAtaAYqv+JtYnF1sN2AcC7D0O+9Qya+2G+Lmuu8tM/T6rn6XLTmANKbbW76xm+u05B64N8G0B+CYH3uf7qU2r85/dZy1KCljk3PvKDoBLUnDd3wHTb485cD2ArwnAVziwQ0bntiH/xHmMzSx1uURsr07bAS5NwY1+55XEfWfOcRuDe1HAPc9xr9lnHDr3Wu61brNiys3BjrJt4BpTrtnvLbDyTAEHNgf4jAB8igPPCKp5qL/bTafFPd1O13rfYO1WgMtRsBU7s3WRwfimnKNag3pCQD3GUbs823Kt7uRpPguqf9l6ZGvi3i2gVqDUFuzMdVW/AZClpSUkxSnMcc88iQy3M5CmyRh7UA6/51+NfJCj3NKxm1113WX/pU8OR8+/fzT1dmXWrEQprQ2LeHm/ykXobYDcJ0Du4ZCNNh8Z2co31m/x9Ka+2xpUvnQLyCoUKWZnNlOLtGphpZ7nDN5OAW87x5ue7Ng3fPVsz1Gfw8PKPV9Q8yp41SjPPX8eu/XU8jzA2yLgbeJ4OTsky/av3uc67FFXaWRJJ4dg8GpQXrv8eba26nk+4OUIeOs4XquE1RUX7ooVD526o9syo0PWJyqxZi3KC2Bnbq6WZ2dlFa7yPdEvYiCIqwXElRxx6+O2S05t3+2+etyLBVfDg+a4gWhCie3zXUIbCxv1SxgK3jIBbwnHMzP2ta16r4HToAXfLKtYno3bVZE1TSkvMv81avFrC6rcDaIDeAsFvGyONy9Fy/Z5S4l4VcVOJbS/RLRsAV49ypOwM5ur5dn+esbwVmgXAOcKgLM5YHqtejYTT370HDLncQWt016T11bAsQ4Fxgje2op2rTQuYZUBPEPwJjONA3+vUNKl3NLJLhssK1ndHlnCtDHAjSg4wVCji7TpFaxdwZ4sYE/k2KObxD/bYx8lHneh3P5Rw/bIG4HdhLKTNGPTq6ySwR4nYI/h2DHTzpV2rW/isWJW15zO9w4faQh2M8pWFIctZtLAHilgD+fY96rMn+u47ZbrjrPVWreKmrilAdjmlJ1pmO+JkkIvjMc1VlmADxHAB9Hd0YD+DatsLe81fU47jwqPfavWB9yCwv/SDJ57iVUfwPsL4H05eIuov10efuzgmt3N6aDLfQfzeoBbUfgAzeC5V1gNBLy3AN6Tg7+5WefEgiatnDZ20T/GpJZ4VxdwGwofKthtKRIcF1gNAzdDwE3nuOJQRWDii02e246VMe7VeHmiKbh2lDtKs6cavb5qNNipAnYKx9a6V+FYlCzaafL6tsYGIyfE1AHbnrLHa8aml1dNADtRwO7GsXWnjTawjqjdblJKWYeAa0EWJmC3pOwpGi43d3XVVLDjBexYjr1zQelEo631nLfse9Sqw/7mE2uD3ZqyZ2r2RMu9uGoW4NECuJSDn/vbuu3k1mYeMw7d7hg+1+x6LcAdKXyeZvDca6vmA95ZAO/Iwa/Mad1kxskwnxybjEl9fV3v1ATcicIXaQbPvbRqMeARAngYB1/f++LPM5tfu446dnnigMUN02sA7kzhyzXb5PTKqhVghwjYQRw7+Gv2FlkdH49+c1xnme+6/6462K6UvcZQoztQcBdWrQXaX4D25dBJrZt277Vjvu/c5Dtl9XausaoGtDtFb9BsnedeV7URcG8B3JODDzjxbfqd+6s8x9U4tbTTD8mZqoB7UvhWDV9m3GVV28B2E7BdOHbXDlorrKxKuAxbel1L3+eBQRWwvSl7l4YvM3pV1W7AnQRwRw5+zLZnjG/Dn74r282b9mrkxn2VAfeh8P2G+f4OutBbjjAHQG4lIDtw5PgdHT8P/8vGfUK/BtvbtWy+vBLIfpR8RHOymDkKsp2AbMORDy0zTUjt3NNr5/c15Z9Vr9+zIsgBlPy3xrsOykuqTgJuKYA35+BjJ/98u3i8pfPCuCoT5EdOdawAeBCFn9UMnntF1TnAmwngTeiXDjOHdZz8bqLn5hq94hyqltUrD3gIhV/S7OXNXVB1GeiGAnR9Dm3rHuTt7vDaKafy8UG7Fw+oXg7oUIq+Xgy0mLkBtKkAbcKhPcsO8vQq881752b7EO1yS16VBTqcou9ojMblVHeBrilAV+fQdSdGxh/+Yui+uNfwsndHVxxjDHQkRT8sBlrMPAK6igBdiUObWIfsHf5phtv4dRu7Xqpx/ksZoDtS9DMNP0a4i6meg11ewC7LsSO6HDTcHmjvPXVa+ZJmtkampcHuTNmvi8MWM/+AXVrALsmxm2S1O7b4022PofOT9kdINi4uBXYXyn6v2Qss91KqD4AzArg+Bx/mUb7FqbZ1ncZLhvQxG689pCTgURT+RTN47pVUXwHXEcBLcPBF5lfKZt476tbvuF+/a8y1BUaAx1D4Tw3h9EIqdKYU/XzHh39/x+05rKniOCpos9PuQVsMm9qkhxgCHkvhOkbFgYsZXcC/COCfOLjX5tenV00z8R8QGWxW5ofhAAbweApnNIPnXkZlCPh7AfwtB7ed0fzZmeij7fqb3LZY+8bZ3gDwrhReWjN47lVUZQB/LYC/5OB/3TP4a2D1G65j5fM2DTx5U6IPuJzCy2sGz72IqgLgzwTwJxx8oE5zSd31nZ1Ge9+f5L4pZaAe4EkUXsVIoy9cyDVUVQF+KADf58D99n3qfMx1lP/WKF+zzQvbZegCnELBNY00OgrFJVS1wL0j4N7iuBdTlx+aVS3bZe29+Ue1W1WdpgNuKuWaGvG/wy7apmbqgnpdQL3KUZe2eN29y8geHsPL3Gx8MNV1rzaoaZTaUDNqMNMI1EsC6gWOOmrIA7u1Gc3dJ8nu17wxwbNOCVB7UGozI40+urjrp8yAPitAn+bQbzPOrO+7cofPrG2Bs4bWP64tAjqToi01Q3OXT1kB/bcAfZxDD55ar0lp18ru8726JlxatJVBC2JRT4q20/CdhF491QLwIwL4IQ7ebsS7ZzPLB3osunMtPmDYzh8/y+O7GApvVSy4mGkN+H4BfC8HX1viunTMu3HOs89sbt37WfbeH4D3oXAnjeHKa6fEgO8SwHdw8CrjfkyY2eqT88wMrY9pR2X1vwPej8LdigUXM+6AbxXAN3NwT6dGt5I+DPeYK72rlyp27vYN8AEU7m2k0d4KvXKqHdgbBOz1HHvYhxl7J22t0m6VSddBm25dNvwK9iDK9tfwVaa8cCoA6DUC9CoOPfPyoSqD9Ve754zYElvWoKLoC9BDKDpEYzSum2oP9HIBeimHNsxsm5RQZZHn9HCdQ/0v3dj2</t>
  </si>
  <si>
    <t>GehhFB2h2ebOvWwqEvBFAvgCDi5pcctWcWWB35TVsrFfbNM+fwJ8BIV31vAjk141JQF8ngA+h4NPM93lM6BTH/+laxL/epY+1vIj4KMoPFqz5xq9aCoG7JkC9nSO3fSu+f2H/0h9dnxuc7PyyBFzPoA9hrLjNV1w7pqpBMCnCOCTOLhH/XMuR0ZcES8NOKw3J+lFxHvAx1F4opFmh/vkkqkkkMcLyGM58oZP31xmeE/yzTHQYfo1yVn8DuQJlJyq2c4CrphSgDtKwB3BcSvtuT9+X1qY2xz9WFEpw6j+b8GdRLkZmnFxwVQmuEMF3MEct4HZ4H0H0hjXgfpptQ9/1b3+BtwplNtbs82ce73UX4APEMD7cfDux5pPUty/47kgOWrj/Cq7rP4BfBqF99fs+U0vlxoA9l8Cdi+Ondq/y9qgjC2uI0Mv3nYMOT/sNdgzKHuIZm9o3NVSQ4HOFKB7cGgf32o/O/1c6TXz5bivzk9ujn4F9CyKHqnZOs+9WGoU4AoBvDsH73UwI7xBQnenHY16jT++8KHNS8DnUPg4zdc52OPBThKw5Ry7tlPNmjVFMp/Rq59N/fjIf+sLsOdR9mSN1znQU4BOEKDjOLSiS+qHcU3fuK78fmHgmsEXWj4HOpuiZ2i22PRKqZlgxwjYURy7mnyzxVermy47y6c07z/n/rxnYC+k7LmavbZxodQ8cCUCbieO2/yvyK2RAXpegzq5ms26pffwKbiLKXehUb43UyiYyywCNlKADeewD6Y8/dF+hbfzlNJ9z9XaVeHmE2CXUuwyzbDiIGY5sO0F2GAOG+5h936HXj23bb3mRg8KeHbrMbDLKXa1Zlg/K2YNsAECrB+Hnb3Q5l3wuEriQWYlkoc//6vcI2BXUmyOZlh2224Atp0A68Vhr9/rHji5ZUP/oav6xA4Z1MD3IbCrKXaLZlhPK2YrsO4CrCuHLT1msn4TR0vvNQs7X3k+uar1A2DXUuxOzT6YlZdI7QJZLCC35chNfvacEXRykU/2y7el7p3VyrgP8npK3sfObFUEMq+JBLMf0Nbv+D8SafmOXk58xyzLfqjHxKSHrYbsDeswHdANFHrYKN/mHeqhyuXmfozGta44ggpaCBbblqvAzOzvtf2StrtkW5YRd9sae28qKthEKzjBztz6dyoI9jALUsH/DbyVAG/B4Rf3DNk+eaOD84j4lafr3uxUaxLwWyj+DDuz0+/gfTxDfYPNLG1VSjiLEswE26ApV8LBVSW3SQdauO6YXP1Uj9aZi8ajhG20hIvszB6/UwL5VZK7ykrIPfd2CZU0EqyMBlwlWv3dyzaM8fZZlP6p6Ym40h3HoJIdtJJr7Myexa6EnvC+jlLqCkqpQ3cXfe+mPPnHxn32tfL/rA1NOz0apeyipdz+V1YKd97/DiqpJaikBldJ36s15vxtGus6ZYXvg64XrpYZhUr20Eoe/CsrhZ6efIhSqgpKqUz3ZY9eM5q+o4TnnCyHR+e+rnk3EqXso6U8/TdKyf1NwDOUUkFQSjmulJcbEjYF3RH5LRu4qn0Lrcc/R6CUA7SUV//G9qEn6V+jkjKCSkpxlbhlL2ix2qu1d86MQ6k6Xk8HD0clh2gl79iZ3f+FSnDK/j0KMRQUYsAVcu3ENMtblVu4DXma3dDNPydnGAo5Qgv5zM7sVtxClKeSv6AOXUEd2vRL8CuD54vv9PRed8ZMv12f+NtDUccxWsePf6sOMfMTdWgJ6vjxVlnHEc93n++ffOI38+sESfdgG6chqOMEVwfTFON1SrKTvr7lvzN+5jLUXTyx5d0hq/yGnOpX5uSorM/65VjzJF0SA3bmRup+JB1iZm1NfyTtjFZvkqAghgHqw1t+se841NN+3a/WdIl2yV5Rhbk460fJ9WVZ8zRFlSrJ/3mmGpS7m5urJDhE7OFmzk5kSgP4jwD4igPGLmx8zkv7nniHa2xrj8r9aq8D8CwFlmNnblAY0I/AmPIAPReAnnKggKrdq0n7VPPYfuXaibO16qSuAeg8BVUuYCVaCVZiFaAeCVAP6Bav+PW046wr7qNyAvfpuLUpuw7DL1JUjQJWopW6lWhlxdREhrsC4G0OeKZen+Wj40e2G91aWqHMjVnn12L4ZQqsU8BKtOKtRFPMeUMAusaBDG/N3/Wk7Uavsd+/t/k88XrMagy/SkENCliJloKV2JAUKUBd5FDV38Xorx8Y77r15akBsd+Pd1lLGq1SVNOS/F/Pq0HlXYmWFmaWTDMgzwmQZzikm/Mbq0pbHzrlZA4+v1gcv2ENkDcp0qKA1WjJW42WAJ0UgE5woB+9j87Us6rsNPpR54OdO2YYor2g6DYF2Zbk7225y5MzFGhlmZAUZ6Js56wwd5UpEuKSzNBsETs2/rmX6bmFBwRZMXYo4aighMNcCe7eX5fVyF7jteTEp4pDo+ruWFMCzzBaQkt2ZhP1l0DIknERhELaQ8a0AuKA4G1rH4eI/Npoe8uodNch+qIGzXqIr8Wi9+Z9imgrWJ2/ENHJScmJCdEKibKLJ+ME0G4BaCcHatDE5uWWmBSfqeu9tpx4mnpaRtq50ndYM4x3Q4ZtgrWxhcswYmzmtpJnq/oMjWgz+0n5fg0ZmI9phsYY740MGwUZcrgMO8cltnqaedR/6wLbz0FlDQ7rkPcemqEOxvsjw1pBhtVchj4tDnd8fbi639SRNypumr0bl7Cw72c0Q1WMD0GGFYIMy7gM4dfL2Dl8G+Y0c+iJrctbt6pBmq2/pBmaY3wEMiwWZFjIZfj8McxtjqPIbUt2372NvJ5WRHNT0WuaoT7Gd0aG+YIMc7kM5xfd+fZT8tBteuXzXUMdGj8iDarf0Aw1MT4aGWYJMszgMrww7VzaYeJel5V2O0f3812+ljR8fkczNMT4eGSYKsgwmcuw+aLdkfUNHPwHLWn1pm7UsDIGMD/QDLUxPhEZJggyjOMyzP/UP5vZd91zgXFs9xBRJr5L0dL/SYaw/4zZfzrq+yOTJyca7ZYqo6+lV8Tx6EfLoDEugz6+pUrpi4o6JxrlMujBy6BvL4O+wQya4TJoOcygUTGDRrelDPRLFDUl2iAz6JlcqrRuTXbdmxXUn9Y5ISmGfcn6R3Vlp6DfK+nMLJGmpkqz9CTRyelJabrKZvNM35JaZIXooMN8X67PbN5cHrIkWWpCtDnSdLHs0IEbEkxa4DYzSVREJ6fKE6KamYTKUhXsHG1szC3wv2YmLunytPRUWZskWXpaqlTezCQgPUqeEN1OlhWS3E2W1CaqRQupbbStnaWDtY3Mwt6hUydtUmYCm1+hK1Ek9JQZSHoos7IlGhgw/Upq5f7pNGYLXi4qQsVqe1sHp0cp0hLS0jEL7ZDbzETQRzeGXY95Fo0smbllERbOQhodbWsdzS5WrJWFfUxsQQvHPjOaFrnIDp2w3diV0T/PyhA1Y1cGnhbMAHYqeXG3YCNsU5WVJrJnp2DFqc7dis49mJ1K3iLd1c7toXZubzr3MHYqeTG2Vzt3qNq5w+ncI0sqXwmiaLVzx6idO47OPaaksoWxKFXt3Ap1c+uigfJvNXpGfYaShCT2CeYpVcRr11Dz9IORhi1FXl/jsVRokwwWMwHRMhpNRLSaRpMQ5dBoMqItNJqCaCeNpiLaR6NpiA7TaDqiEzSagegMjWaSHV4azUJ0jUazEd2m0RxED2g0F9FTGs1D9IpG8xG9o1E2os80WoDoB40WIkJTRRItQmRAo8WIStFoCaJyNFqKqDKNliGqQaPliOrQaAWiBjRaiagpjVYhsqAR2UG2pdEaRC1pRPbS29KIHCS40mg9Ii8a5SDyo9EGRME02ogonEabEHWi0WZEUTTagiiORlsRyWm0DVF3Gm1H1INGOxD1otFORP1otAvRYBrtRjSCRnsQjaXRXkSTaLQP0XQa7Uc0h0YHEC2g0UFES2l0CNEqGh1GtJ5GRxBtptFRRDtodAzRXhodR3SIRicQHafR34hO0+gkogs0OkUOd2h0GtEtGp1BdJ9GZxE9odE5RC9pdB7RWxpdQPSJRhcRfafRJUS4kzaJLiPSp9EVRCVpdBVRWRpdQ1SJRtcRVafRDUQmNLqJqD6NbiFqQqPbiJrT6A4iGxrdReRAo3uIHGl0H5ELjR4g8qTRQ0S+NHqEKIhGjxGF0egJoo40eopISqNniGJp9BxRNxq9QJRCo5eI0mn0ClFPGr1G1JdG/yAaRKM3iIbT6C2iMTR6h2gijd4jmkajD4hm0+gjomwafUK0hEafEa2k0RdE62j0FdEmGn1DtJ1G3xHtodEPRAdp9BPRMRpplWKjUzQSITpPoxKIrtBIG9FNGukgukcjXUSPaaSH6AWN9BG9oZEBoo80YhB9o5EhItxGhERGiPRoVBKREY1KITKmUWlEFWlUBlE1Ghkjqk2jsojq0agcosY0Ko/InEYVEFnTqCIiexpVQtSGRpUROdOoCiIPGlVF5EOjaogCaVQdUSiNaiDqQKOaiLrQqBYiGY1qI+pKIxNEyTSqgyiNRqaIsmhUF1EfGtVDNJBG9RENo1EDRKNp1BDRBBo1QjSVRo0RzaJRE0TzadQU0WIaNUO0gkZmiNbSyBzRRho1R7SNRhaIdtPIEtEBGlkhOkoja0QnaWSD6ByNbBFdppEdohs0aoHoLo3sET2ikQOi5zRqiegfGrVC9IFGrRF9pVEbRPjZO4kcEenSqC0iQxo5ISpDIzGiCjRyRlSVRi6IatHIFVFdGrkhakQjd0RmNPJAZEUjT0QtaOSFqDWNvBGJadQOkTuNfBC1o5EvogAa+SFqTyN/RJE0CkAkoVEgohgaBSFKoFEwoiQahSBS0Kg9okwahSL6i0ZhiAbQKBzRUBpFIBpFo0hE42nUAdEUGnVENJNGnRDNo1FnRItoJEG0nEZdEK2hkRTRBhpFIdpKo2hEu2gUg2g/jWSIjtAoFtHfNIpDdJZG8Ygu0SgB0XUadUV0h0bdED2kkRzRMxolInpNoyRE72mUjOgLjVIQ/aRRd0Q4EUGiVEQMjRSIStMoDVF5GqUjqkKjHohq0igDkSmNMhE1pFEWomY06onIkka9ENnRqDeiVjT6C5ETjfogcqNRX0TeNOqHyJ9G/RGF0GgAoggaDUTUmUaDEEXTaDCieBoNQZRIo6FsZIwvNvClCjOMjZjhkBGQkZBRkNGslDIsS48T9cmhoSj364UiH5HjOM94AMWNQeqxkHHIX8p4MHXGY+IEyETIJNgljYdRezImToFMhUyDTMcYI+ORdMwMxGWMx9B4JgbNwsTSIhxpjmQnPg+0b1sWx6mG5IvB2Rgyh3yiqB8wFwPmYcBE9QPmY0A2BkxSP2ABBizEgMnqByzCgMXk1a9+wBIMWEo+6NQPWIYByzFgmvoBKzBgJQZMVz9gFQasxoAZ6geswYC15E1J/YB1GLAeA2apH5CDARswYLb6ARsxYBMGzFE/YDMGbMGAueoHbMWAbeS9Uv2A7RiwAwPmqx+wEwN2YUC2+gG7MWAPBixQP2AvBuzDgIXqB+zHgAPkLVz9gIMYcAgDFqsfcBgDjmDAEvUDjmLAMQxYqn7AcQw4gQHL1A/4GwNOkk8W9QNOYcBpDFihfsAZDDiLASvVDziHAecxYJX6ARcw4CIGrFY/4BIGXCYfeOoHXMGAqxiwVv2AaxhwHQPWqR9wAwNuYsB69QNuYcBtDMhRP+AOBtzFgA3qB9zDgPsYsFH9gAcY8BADNqkf8AgDHmPAZvUDnmDAUwzYon7AMwx4jgFb1Q94gQEvMWCb+gGvMOA1BmxXP+AfDHiDATvUD3iLAe8wYKf6Ae8x4AMG7FI/4CMGfMKA3eoHfMaALxiwR/2ArxjwDQP2qh/wHQN+YMA+9QN+YoBWaexMqR8gYj2mBAYcUD9AGwN0MOCg+gH/j7X7AI+qaBs+Th2yoQ2hppEKiBgkgdAFlyRAICQhBbBADLBAIBAgQQi9iV2kiWJXRHqxi9KL2AXpRRRFVHoVBeQ795a573N2zjwv3zXPdb2+u5v/vZnf7EkgYfdsRQgYBDvlQSUIAiD4Qh44IAiEYJc8qAxBFQi+lAdVIagGwVfyoDoEHIKv5UENCIIg+EYe1ISgFgTfyoPaENSB4Dt5UBeCehB8Lw+CIQiB4Ad5EApBGAS75UE4BPUh2CMPIiCIhOBHeRAFQTQEe+VBDASxEOyTBw0gaAjBfnnQCIK7IDggDxpDcDcEB+VBEwjugeCQPIiDoCkEh+XBvRA0g+CIPIiHIAGCo/KgOQQtIDgmDxIhaAnBT/KgFQStITguD9pA0BaCn+VBOwjaQ/CLPLgPgg4QnJAHHSG4H4Jf5YETgk4Q/CYPkiBIhuCkPEiBoDMEv8uDLhB0heCUPEiFoBsEf8iD7hCkQfCnPOgBQToEf8mDDAgyITgtD3pCkAXBGXmQDUEOBGflQS4EvSA4Jw96Q9AHgvPy4AEIHoTggjx4CIKHIbgoD/pC0A+CS/IgD4JHILgsD/Ih6A/BFXkwAIKBEFyVBy4IBkFwTR4MhmAIBH/LgwIIhkJwXR4Mg6AQgn/kwXAIRkDwrzwogmAkBDfkwSgIRkNwUx4UQ1ACwS15MAaCRyH4Tx6MhWAcBLflQSkE4yGAX1NLggkQTISgrDyYBMFkCMrJgykQTIWgvDyYBsF0CCrIgxkQzISgojx4DIJZEDB58DgET0BQSR48CcFTEATIg6cheAYChzx4FoLnIAiUB7MheB6CyvJgDgRzIagiD+ZBMB+CqvJgAQQvQFBNHiyE4EUIqsuDlyBYBAGXBy9D8AoENeTBqxC8BkGQPHgdgjcgqCkP3oTgLQhqyYO3IVgMQW158A4ESyCoIw/ehWApBHXlwTIIlkNQTx6sgGAlBMHyYBUEqyEIkQdrIFgLQag8WAfBexCEyYP3IfgAgnB58CEEH0FQXx58DMEnEETIg08hWA9BpDz4DILPIYiSBxsg2AhBtDzYBMFmCGLkwRYItkIQKw+2QbAdggbyYAcEOyFoKA++gGAXBI3kwZcQfAXBXfLgawi+gaCxPPgWgu8guFsefA/BDxA0kQe7IdgDwT3y4EcI9kIQJw/2QbAfgqby4AAEByG4Vx4cguAwBM3kwREIjkIQLw+OQfATBAny4DgEP0PQXB78AsEJCFrIg18h+A2CRHlwEoLfIWgpD05B8AcEreTBnxD8BUFreXAagjMQtJEHZyE4B0FbeXAeggsQtJMHFyG4BEF7eXAZgisQ3CcPrkJwDYIO8uBvCK5D0FEe/APBvxDcLw9uQHATAqc8uAXBfxB0kge3IShT3QiS5EFZ42OOchAky4PyEFSAIEUeVISAQdBZHlSCIACCLvLAAUEgBF3lQWUIqkCQKg+qQlANgm7yoDoEHILu8qAGBEEQpMmDmhDUgqCHPKgNQR0I0uVBXQjqQZAhD4IhCIEgUx6EQhAGQU95EA5BfQiy5EEEBJEQZMuDKAiiIciRBzEQxEKQKw8aQNAQgl7yoBEEd0HQWx40huBuCPrIgyYQ3APBA/IgDoKmEDwoD+6FoBkED8mDeAgSIHhYHjSHoAUEfeVBIgQtIegnD1pB0BqCPHnQBoK2EDwiD9pB0B6CfHlwHwQdIOgvDzpCcD8EA+SBE4JOEAyUB0kQJEPgkgcpEHSGYJA86AJBVwgGy4NUCLpBMEQedIcgDYICedADgnQIhsqDDAgyIRgmD3pCkAVBoTzIhiAHguHyIBeCXhCMkAe9IegDQZE8eACCByEYKQ8eguBhCEbJg74Q9INgtDzIg+ARCIrlQT4E/SEoIUFNDAZAMBCCMfJ7cEEwCIJH5cFgCIZAMFb+KQogGArBOPk9DIOgEIJSeTAcghEQjJcHRRCMhGCCPBgFwWgIJsqDYghKIJgkD8ZA8CgEk+XBWAjGQTBFHpRCMB6CqTa/f4BgIgTTbH7/AMFkCKbb/P4BgqkQzLD5/QME0yGYafP7BwhmQvCYze8fIJgFwSyb3z9A8AQEj9v8/gGCp4z/VISnLzSUPhehU36xy1lSMrqg/5gSV2qJazi8jqNSXtGgQcWukoC8Ia58eBFIYF6+rwnIG5DvfpUayysuKS10wf/LL3GVKWv8r0JA4v/tkzQR17JhGJ78AP8H/2NPGwuukJ4/3MWeEZee9V1yAK/iqAu3b///fSZ4ZkYleI8fV16e58Ur7lcLwDM7YI/gCnsedqwXNGwOXpwrLrrXULbQWAOswz3/lHfe/RKZBUZZOa1orGt0ZFJh/vCR7AXjhkD3DZ7rCy2B5w4H0zt82nuH7td7LII+d+RIcYcvwx26b/Bcf8USeO6wP73DZ7x3CC/MYK+DJXdEQUkxewMvvikueub70vlnvfMVYX6xUTLYzzHF7B1yeQle9txFH3oXz3nvwv0oLxOP7XJxaYXpUS6bTYdn00doNT4sa/DiWssjlE7nn6eP0PuI/gAvfmjxp9L5OXTxn4glfyourTcvPpkOz6WL34Ar3ogXN1kW35HOz6OL34or3oYXt1sW35bOz6dH0xfkAdtFLn9pffAS6V0soP5vhPpbcek7s78ZHX6B+ncjeg9e/NHib0LnF1L/fkQfwIsHLf6GdP5F6j9CzEfJ5WNWfxS9i5fo18/PYM3MLxnCfhGXTvgueYbD6PAiunknEf07Xjxl8del8y/T+b9w6DRePGOZD6Lzr9D9P4+bdgEvXrTsX1Uyz+HpX9Vg9opRlU9Nbs6uwnecQvgWlldYMLyghF0TB8LfxqWALOPPjYwRhaXsOoRj4FuTN/wHvnd5XlSYUzrSxf7F6+7xG55PkcBuei7Es1vGhSq+58m5m/88H2rJbnsuJDJ4JptxoQUra1yoMrCgeGRhfmneCCPmr3kX73Y5ynM4ObXxnyDPOSHiMkcXDHA1zcxKTUoJKOv9ODP+UzHbVTJmJKsE90dT990wh3FzJe+bxrNAyN334Pkc4j+sCsn4676FwC46YAcdsGsO2DAH7JMD9sYBG+KAXXDADjhA7wCwA7AOgDoAyd/wd4X/D1cEuiLlrmjIPGfJYDG2rAZY8Tf1qt7yV7X8H6rWqGojV7Vzrze+ZRdnNmtvq+qAFX9br2oxVQWydOO26t7DwvcWawYnkGXA8eI9WQnLJAePZ4VZsHb3SUpYNnzQO2qF5IqMv6PXscTscBm3VfOeU4UyBlHGYDxYPMsrQMVQhaIQFe/qVSw1Kya6Fe7H3aSYRBWT8eDwLG8qKqYpFDNQsUyvYrlZMc90THneJtDNmE8ZC/yOqYXoeNHt8IxaHYvQsUKvY6XZsZw+GoSxgjJWWh+N1ahYo1CsQ8UqvYrVvj8iN8OncJ9CKJBtgY/4HhPf2Ybcmq1Us43+YbIdJTtACSe5a9OM7TQuB/juwsraJT4nX6OXtdbHOkBYB92HmuchMqkOUdVh8k33CKKOEtQxFeo4otbpRb3nQ50jqPN2qAsUdZGgLiHqsg8V34xdUaGuIep9vagPzF9GrAZwPN+afadqdHMq1SCcgBr4xz0MVvK+Fz0LrCFslY2LAb67sHqqkiH+oV7RR2ZRuJ2oPhVFEFEkLi6BRaEoWiWKJUP8Y72iT8yiFnaiRCpqSUStcHHNWWsUtVGJ2pEh/qle0XqzqLudKI2KehBROnzA8/5G8SwDRZkqURYZ4p/pFX1uFvW3Ew2gooFE5PIuriWIBqFosEpUQIb4Br2ijWZRqZ1oPBVNIKKJuLgENglFk1WiqWSIb9Ir2mwWPW8nmkNFc4loHi6uOZuPogUq0UIyxLfoFW01i961Ey2lomVEtBwuu89ZGM9WIGilCrQaZ/g2vZ7tZs9GO88m6tlMPFvE2hLYVvRsU3l24Azfodez0+zZZ+fZTz0HiOegb22d4tkh9BxWeY7iDP9Cr2eX2XPGznOWes4Rz3mxtgR2AT0XVZ7LOMO/1Ov5yuwpH0T+4m0CVQgioIpB5C/ezLhSAd78m8E5OL2egCCFJ9A3wb/Wq/nGrAmx1YRSTRjVhMMV7zuKs/oIilCBosgQ/1av6TuzKd7WlEBNzampRRAec4lIaqkitcYZ/r1e0Q9mUVdbUSoVdaOi7kH4XSENRT1Uogyc4bv1ivaYRXm2okeoKJ+K+gfh9+0BKBqoEg3CGf6jXtFes+hRW9FYKhpHRaVB+CfreBRNUIkm4Qzfp1e03yx61lb0HBXNpqLng8jffuYgaa6KNJ8M8QN6TQfNpsW2pneoaQk1vRtE/o66FE3LVKYVZIgf0ms6bDZ9Zmv6nJo2UNNGXF4824SmzSrTVjLEj+g1HTWb9tiafqSmvdS0L4j8vLcfTQdUpkNkiB/Ta/rJbPrT1vQXNZ2mpjNB5Kfys2g6pzJdIEP8uF7Tz2ZTmZp2prI1ialcTWIqX5P87qRCTWGqWFNhqkSG+C96TSfMprq2pnrUFExNIbi8eBaKpjCVqT4Z4r/qNf1mNjW1Nd1LTc2oKR6upMd1Teoe14kloKm5ypRIhvhJvabfzaYUW1NnaupCTV1xeU6WiqZuKlMaGeKn9Jr+MJsetjX1paZ+1JQHa3d/WzZWyB5BVL4KNYBO8T/1qv4yq4ptVSVUNYaqHoX1wRtfwpsHs7GoGqdSjadT/LRe1Rmz6ilb1dNU9QxVwRuxBKR1SXO/GTR7DlWzVao5dIqf1as6Z1a9aat6i6repqrFxpXyXROy2TsIWqICLfUO8PN6LRfMlk9sLZ9Sy3pq+cz9TTklHd4sj32Ong0qzyYyxC/qNV0ym763Nf1ATbupaY/7I7lpnZ1d0tmPaNqrMu0nQ/yyXtMVs+l3W9MpavqDmv7EPzyz2V9oOq0ynSVD/Kpe0zWz6Zat6T9quk1N8AbRAb73eGLwTtVeFLxfti2qAp3if+tVXTeratWyU9WuRVR1ahFVXVif752RWD1UBatUoXSK/6NX9a9Z1cRWdQ9VxVFVU1hffEKLOFgjuxdVzVSqBDrFb+hV3TSrOtmqkqgqmapS4Ir3raNYZ0R1UaFSyRC/pdf0n9n0gK3pQWp6iJoergVrdL8JFeuLpH4q0iM4w2/rFcF9EdFIW9EoKhpNRcWw9OTUTPe70LMSNI1RmcbSKV62mlZVObPqcVvVE1T1JFU9BVe877XHnkbUMyrUc2SIl9drqmA2vWZrep2a3qCmN93fm71vUMfeQtTbKtQ7dIpX1KtiZtWHtqqPqOpjqvoEHO7fE7NPkbReRfpcjPBKej0BZs83tp5vqec76vnetzgn+wE9u1WeH8UId+j1BJo9v9p6fqOek9Tzey3Pz3atMtNys9kpJP2hIv1Fp3hlvaoqZtW/tqobVHWTqm7B+jqlGitMy8hm/6HqtkpVtjaZ4lX1qqqZVTVq26mCahNVzdpEVcu4wtw/h3ditWsLU53aClM9nOHV9Yq4WXSXragxFd1NRU3E6pzsHhTFqUT34gyvoVcUZBZ1tBXdT0VOKurkXV2i8RgloShZJeqMM7ymXlEts6iXrag3FfWhogfE6pzsQRQ9pBL1xRleW6+ojlk03FY0goqKqGgkXEmNy8zqbDxIo5A0WkUqIUO8rl5TPbNppq3pMWqaRU2P4/Kc7Ak0PakyPU2GeLBeU4jZ9LKt6RVqepWaXnOvPSku05nl7MxeR9QbKtRbdIqH6lWFmVXv2arep6oPqOpDWF+2T/URqj5WqT6lUzxcr6q+WfWlreorqvqaqr5xr68L/NbR+KL6FlXfqVQ/0CkeoVcVaVb9bKv6hapOUNWvZH1O9huqTqpUp+gUj9Krijar/rZVXaeqf6jq39ru3xF39fxm+QaqbqpU/9EpHqNXFWtWVatjp6peh6h4HaKqUQf+TprVKd2tCqojVDXrKFS16RRvoFfV0KxqYKtqSFWNqOouWJ8zKTXZrWqMqrtVqnvoFG+kV3WXWdXeVnUfVXWgqo7GlQrZzvRkdj+KnCpRkm+CN9arudusybbV5FBNLtX0Mq6Ud2Z3Zb0R00eFedA7wJvotdxjtgy1tQyjlkJqGV4HzkbFRqCkSCUZ5c55nF5HU7Njmq1jOnXMoI6ZsLBs9hg6ZqkcT7hzfq9eRzOz40Vbx0vUsYg6XjausGzPb+9eQcyrKszrOMPj9YoSzKI1tqK1VLSOit6D1aV7RO+j6AOV6COc4c31ilqYRTttRV9Q0S4q+hKWnpZq/NHY2/i7z1do+lpl+pZO8US9qpZm1TFb1U9UdZyqfibrc7JfUHVCpfqNTvFWelWtzaortqqrVHWNqv72ri/N/VhdR9U/KtUNOsXb6FW1Nasq17VTValLVFXrElW1urg+J6teV6h4XYUqiE7xdnpV7c2qaFtVDFXFUlUDuALP0HAm5bCGiGqkQjUmQ/w+vaYOZlMbW1NbampHTe3rwvfmXPj6YPchqYOKdD/O8I56RfebRZm2op5UlEVF2d7VGUcRy0FRrkrUG2e4U6+ok1k02FY0hIoKqGgoLL1LrjPVmZSRxoahqVBlGkGneJJeVbJZNdlWNYWqplLVNFifMy0poys8DWI6qmaoVI/RKZ6iV9XZrFpgq3qBqhZS1YtwpXtKTgb8S+BLiFqkQr1ChngXvaauZtNKW9MqalpNTWs8e56c0vWB5BS2FlHrVKj36RRP1avqZlZts1Vtp6odVLUTHPAzaTb7Akm7VKSvxAjvrteTZvYctvUcoZ6j1HPMuFI+PSOB/YSa4yrNL94B3kOvJd1suWhruUQtl6nlCiwt27BcRcs1leW6d4Bn6LVkmi0B9ewsjnrEEliPWCrXg+fNxHXKzUlJT2FV6glQ1XoKUHU6xXvqVWWZVRG2qkiqiqKqaLiSmZWRCagYRMWqUA3JEM/Wa8oxm1ramlpRU2tqamNcYSk5XYHUFkntVKT7cIbn6hX1Mot62IrSqSiDijJh6elwFMFTQnuiKUtlyqFTvLdeVR+zaqCtykVVg6hqsO8wAtQQRBWoUMPIEH9Ar+lBs2mCrWkiNU2ipsne4whIU5A0VUWajjP8Ib2ih82iubaieVQ0n4oWwJUeXtILSFqoIr1EhnhfvaZ+ZtMyW9NyalpBTSuNK+WTjD+XVqFntcqz1jvA8/RaHjFbNttatlDLVmrZZlwpl5TBtiNlh4ryhafn+Xol/c2SA7aSg1RyiEoOw8qcWewISo6qJD95ej5Ar2SgWXLOVnKeSi5QyUVYWXoCu4SSyyrJVU/PXXolg8ySisF2EhZMJJWCiSTAuFLO+EJxBAtJYLBCUsXT88F6JUPMkjBbSTiV1KeSCFhZ1wQWiZIolSTG0/MCvZKhZklzW0kLKkmkkpYg6O3MSclirRDTWoVpK0b4ML2eQuoJgPNru//HuhmfMTgrLiEhsWlC15y4Hs7U9KY9MtJS8h5ITUlLNoTuNjLvjXKdWHejZZ0KiwYMK2ZpxuVq5jnWA5XpweJ5nxnGxUC8Syu5pxjiw/WSR9iQ8++A3J+QB0jIA5Hs8pGdbJCaPATJRXrJI23I4+6AXErI4yXkCUieGIzP35ukNk9B8yi95tE25tl3YH6emOdIzHPRPC8Ynw83X21+Ac3Fes0lNuYld2B+l5iXSszL0Lwcvq35Xlu+Qo1ehegxetGP2qA33AF6I0FvkqA3I3oLohPYVjV6O6LH6kWPs0HvvQP0PoLeL0EfQPTB4DLi7DaH1OYjaC7Vax5vYz59B+YzxHxWYj6H5vPCHM8uqM2X0DxBr3mijblcyP/dXD4EzRVC/M0VQ4SZhZQRZ8ipFKI0O8QUn6TXPNnGHHwH5hBiDpWYw9AcLszxrL7aHInmKXrNU23Mze7AHE/MCRJzczS3MC6Ks+wkqtGtED1NL3q6DbrLHaC7EnSqBN0N0d0RncDS1Oh0RM/Qi55pg+53B+g8gn5Egs5HdH9Ex7MBarQL0Y/pRc+yQY+5A/SjBD1Wgh6H6FIv2n0in/Fq9EREP+5dJZsUYnkHickhvneQmBJifkuIqcZ1fEeJaSGWd5SYjrn7HSVmhHjfpGJmiPetJB4L8b6VxKwQ61tJPB7ifSuJJ0K8byXxZIj3rSSeCrG+lcQT3sWT3X1aubvsGf9NNO/4s7jjnr2ajVv8fEgZPF/NHPUWz8MtftJ3IMAWO2BbHbCjDthGB+yeA3bMAdvkgC1ywPY4YGscsBsO2AkH7IIDdoA/5Y9+S41++3+hF1vRSxD9LqKz2VI1ejmin/YdVyt8j/5K6wG2Shxgq00H1BrrAbXWckCtsxyP7/mOq/d9x9UHfsfVh77j6iPfcfWx77j6xO+4esa3+E8FiOz2elhfVlx8fLOmSRkpnePFG198Tr5aN8CkO2IbQ/CJi5uMy2Xj2Wb4qHvYuoVbcQuf9R03sIUO2D4HbJkDdssBm+SAjXHAbjhgCxzAdwDdAVoHSB2gdICQP+dD7Zah9tih9hLUPkTtD8HnLh7woA7aog4jarZe1PM+1J8y1F92qDMEdRZR50Lo0xfPe1gXbFmXkDVHL2uuj1U2VMIqF2rDqhCKrIqhgsVC6fMXK4W6WQGhdqxA8Tn5PL2s+T5WsIwVYscKI6xwZNUPJU+Ki/CoIm1V0ahaoFf1gk8VL1Ml2KlaEFUiqlqG0qdltvKwWtuy2iJroV7Wiz5WqozVzY6VRlg9kJVOWE6W4WFl2rKykPWSXtYiHytfxupvxxpIWC5kDQoVT0hkgz2oIbaooYh6WS/qFR+qVIYab4eaSFCTEDXZi4LnMU7xoKbaoqYj6lW9qNd8qDky1Fw71HyCWoCoF0LpUxkXelgv2rIWIet1vaw3fKxlMtZyO9ZKwlqFrNWh9Blyazystbas95D1pl7WWz7WFhlrqx1rO2HtQNbOUPJkxi88ql22qq9Q9bZe1WKf6pBMddhOdZSojqHqp1D6xNPjHtbPtqwTyHpHL2uJj3VRxrpkx7pCWFeRdS1UPJ/xb4/puq3pXzS961vEjVDLTwY3Q30/GdwKNf9V/79Q+pPC7VDLTwplwsw/KZQN8/7wUS7M+yNC+TDvjwgVwqw/IlQM8/6IwMK8PyJUCvP+iBAQZv0RYal38YHMYXysTrarpKRgxODipvljSoryXPCOtvklLhYYBq9/9X7M/W+klY1bqpoisjlVac6qKVJPz/0Kvsx3oMCmsqAw30bWDDNtpAM20gH7x+pY9qyub8/q+fYs2LdnIX57FurbszDfnoV798wBe8aXi22KMK6K96bzvBsYizRu876BgXtzosLwH5Dpv2uH4ZP8oLB5M7GGIuMr6C44YBccsAGodoDaAVQHMB1AdADPASIHaBwg8ShWCkWicbVyQqsEQWgJXOMGzxP85Otvg+tvq1h/e1z/Kr3rXy3W3929fuML27f+NPf645u5199Dvv4MXH+mYv1ZuP41ete/Vqw/373+xESx/v7u9Scmet4DSL5+F65/kGL9Q3D96/Su/z2x/rHwFdsyIaGP55kTIBgHX6Nwk5tQKidMQMLEMN+zJiSGyWh4X6/hA2F4Fh6DFs1aiMfgOXgMjBvcgNlywBwEzFU8BvNx/R/qXf9HYv1vu4+hZs18by7JFruPoWaer4F35Ot/F9e/1L1++dtLLsf1f6x3/Z+I9X8K34UTja9hcQitB0Ci94v4MzlgAwI2qo6gzSj4VK9gvRB8H+b/9jbshzDzHwa7rQ72Y5jvHWH2ImZfmOJJRAd8E/wzvZbPheV3meWUxfKHn+UvuMX3fjCnkXNGxTlHhvgGvaKNQnRLJvrPIrrtJyobXgbPfF4uXIjKhytEFckQ36RXtFmIaoVLRLXDzaI64VZRPVyckwWjKEQlCiNDfIte0VYhaiIT3WMRxfmJ7g0vQ8563gxJ8SpSczrFt+k1bRemTjJTksWU7GfqDKsT5zzvgqauKlM3OsV36DXtFKYHZKYHLaaH/Ex9w8uQM573Q1OeypRPp/gXek27hGmkzDTKYhrtZyoJ957vfAxyHlVxxnkH+Jd6JV8JyeMyyRMWyZN+kqfhFt/Zzp9BzbMqzWwyxL/WK/pGiF6TiV63iN7wE73lvsV7rvO3UbRYJVpChvi3ekXfCdGHMtFHFtHHfqJPw8k/W65H0Wcq0QYyxL/XK/pBiL6Rib61iL7zE/0AKxfnOd+NpD0q0l46xXfrNe0Rpl9lpt8sppN+plOwOnGW8z/Q9KfKdJpO8R/1mvYK078y0w2L6aaf6T9YnTjH+W00lamvMJWrT6b4Pr2m/cJUo77EFFTfbKpZ32qqDbf4znBep74g1VWRgskQP6BXdFCI7pKJGltEd/uJ7oHCe37zOAQ1VYGa4Qw/pNdzWHg6yjz3WzxOP08SLFyc3TwZRSkqURc6xY/oNR0Vpl4yU2+LqY+f6UG4xXdu84eQ9LCK1I8M8WN6RT8J0XCZaIRFVOQnGgUrF2c2H42kYhVpDJ3ix/WafhammTLTYxbTLD/TE/XF61ueRNBTKtAzYoT/oldzQmhelmlesWhe9dO87luak72BmjdVmrfFCP9Vr+Y3oXlPpnnfovnAT/NR/TLknOYfI+gTFWg9neIn9Zp+F6YvZaavLKav/UzfwurEGc2/Q9P3KtNuOsVP6TX9IUw/y0y/WEwn/Ey/QeE9n/lJFP2uEv2BM/xPvZ6/hOdvmee6xfOPn+eGWJuT3UTPLZXnNs7w03o9Z4SnWoTEUz3C7OERVk9QRBlxLvOaEcJTK0LhqYMz/KxezznhaSDzNLR4Gvl5Gou1Odnd6Gmi8sThDD+v13NBeNrLPPdZPB38PPfDLb7zmDsR1EkFSiZD/KJe0SUhypaJciyiXD9Rb1yck/VB0QMq0UNkiF/WK7oiRENlomEWUaGfaIR75b6zfRchaaSKNJpO8at6TdeEaZrMNN1imuFnegxWJ85gPgtNj6tMT9Ip/rde03VhelFmesliWuRnesW9Ot/5y19F02sq0xt0iv+j1/SvMK2RmdZaTOv8TO+T1TnZB2j6UGX6mE7xG3pNN4Vpp8z0hcW0y8/0VUQZcu7yr9H0jcr0HZ3it/Sa/hOmYzLTTxbTcT/TL7A6cebyE2j6VWU6Saf4bb2mMtV9pisy01WL6Zqf6TqsTpy3/B80/asy3aRTvGx1raZywlQ5UmKqEmk2VY20mqpH+s5aziOFp0akwlPTN8HL67VUEJZomSXGYon1szSM9J6zvBFS7lJR7vYO8Ip6JUxI2sgkbS2Sdn6S+yLdZyzvgI6OKofTnfNKehUBQpEpU/S0KLL8FDmR7vOV56Kil0rRx51zh15FoFAMlimGWBQFfophUHhf9FOIlOEqShHO8Mp6PVWEZ7LMM8XimernmQ6F9/U+M9AzU+WZhTO8ql5PNeFZIPO8YPEs9PO8FElf6rMIRS+rRK/SKV5dr4kL00qZaZXFtNrPtJaszsnWoek9lekDOsVr6DUFCdM2mWm7xbTDz/RFJH05zC40fakyfU2neE29plrCdFhmOmIxHfUz/URW52TH0fSzynSCTvHaek11hOmizHTJYrrsZ7oaSV6MdQ1Jf6tI/5AhXlevqJ4QBURJRI4osygwyiqqAoX3pT1VowSoWpQCxHGGB+v1hAhPhMwTafFE+XlivGuDV/XEoqeBytMIZ3ioXk+Y8LSUeVpZPK39PG2j6At62qGovUrUgU7xcL2m+sLUQ2ZKt5gy/Ew9o+gLRLLQlK0y5dIpHqHXFClMA2Uml8U0yM80JIq8lKcASUNVpEIyxKP0iqKFaIJMNNEimuQnmhJFX3M1FUnTVKQZdIrH6DXFCtNcmWmexTTfz/RClHgNz0IEvagCLRIjvIFeTUOhWSbTLLdoVvhpVkV5z0i+Gi1rVJZ13gHeSK/kLiHZLJNssUi2+km2R3nPR74DJTtVkl3eAd5Yr+RuITkgkxy0SA75SY7AqsXZyI8i55iKc5xO8SZ6TfcI0zmZ6bzFdMHPdAlu8Z2L/DKSrqhI18gQj9MraipEFaMlIhZtFlWKtoocUHjPRB4YLUCVoxWgqjjD79XraSY8YTJPuMVT388TCQsX5yGPQlG0ShRLp3i8XlOCMDWXmVpYTIl+plbRZfAs5K2R1EZFakeGeHO9ohZC1E0m6m4RpfmJ0r1HEIAyEJSpAmXhDE/U62kpPPkyT3+LZ4CfxwW3+M5APghBg1WgAjLEW+kVtRaicTJRqUU03k80Mdp7/vFJqJms0kz1DvA2eiVthWS2TPK8RTLHTzIv2nP28fkIWaCCLPT0vJ1eR3vhWCJzvGtxLPVzLI/2nHt8BTpWqhyrPT2/T6+jg3BskDk2Whyb/Bxboj1nHt+Kjm0qxw5PzzvqddwvHHtljn0Wx34/x8Foz3nHD6HjsMpx1NNzp15HJ+E4LXOcsTjO+jnOR3vOOn4BHRdVjsuenifpdSQLR7kYiaN8jNlRIcbqYMYt3nOOV4oRlIAYBSVQjPAUvZrOQhNMNNk5WT3ycjMzWYhFE2rVeNYXDlly65ZxcPYjgPjuwAqJxJB30SvpKiT3yiTNLJJ4ImEJsL85GTnONNYcH5IWkHgekmyWqGK1EvM8Va+qm1B1lqm6WFRdqSoVVd1Q1T0G/sGzS1wWS1OR0pHUXS8pTZD6ykj9LKQ8SnoESflI6g+QtK69emTHxSeyASqWC1k99LLSBatExhpjYT1KWWORNQ5ZpTG+13N3zmLj5So2MYY8F30SucIz9Poyhe8Zme9Zi+856puNvufRN4f65tr45sfQVxctoNd4T73CLCFcLBO+YxEuocJ3UbgUhcuocLmNcGUMeUXYKnKFZ+v15Qjf5zLfBotvI/VtQt9m9G2hvq02vu0x9LUFO+g1nqtX2Av/riQT7rMI91PhARQeROEhKjxsIzwaQ18tdoxe4731CvsI4RmZ8KxFeI4Kz6PwAgovUuElG+GVGPI6q6vkCn9Ar+9B4asQK/FVjDX7WCzxVYoVvoBY4XPEEl9grNxXBe7X+6qrqniZP6RX9zD+1kimC7fo6lNdBOoiURdFddE2uthY8UqYBuIi76vX1k/YWshsiRZbS2prhbbWaGtDbW1tbO19ICe7T1zkeXptjwhbmvE5aueWFBQWlJTGZY8Z3tRYdW5OUkZ2DuthfKgy+ZCbmQ57keUqHlNYUhxp3Dg8f3Sp9e8kmUbjEPfj9+sk00d5vl5Zf+/dBbA6vU69tqb8nvYs3/iE1XLimjdv1rSTMzs1Oy8ri/V3P0Bwm/kEzQPgUSUnaKZ/04IHzHcH1g8Oph/kA/SaBvruzv2pxsbCH31uTueUlOS87BxnlxQ2zgQKqA1lqQzDJhi3ljc6NtG4EIh3YSVN9nbcpVczyPcIBZSDT/Os8WmqeDjpHspzZkr1RkY12/5xmQMfSpcS5uGH+GC9iiH+x9lb3uMsgRxnb3stCZbjbLG9Z4nqOFtqOs4K9JqGmo6zT7zHWYLpOPvUBPIcZ+ulx9nn7uMnIYFtUB9nm7wdH6ZXU2g+zr7zHmcJ4jj73kxxH2c/2D8ue+yPs73kOBuuVzHC/zj71XucxZPj7DevJd5ynJ2095xSHWd/mo6zIr2mkeKRKQuf67r3QIs3HWj/mEQBEVD+Kz3QbkJpdHHx7Jb6ULstSj5KL2m0+WCr1sBzsMWLg616AxPHfbDxBrYPTlAD24OtFn6IF+tVlPjuzn0S0lhAGD98Z6SmN03pk5mVwBrAp/bcIk5V2si4rXKyq7hg8Ii47JGuAdblNga4e9z6kSbiI3yMyQFnJXXACUmJA0446oCzjDrgDKMOOLuoA84s6oCTiTrgRKKOSsLxqPjrTVvjc9QU5wx1FcE5PIvzH3Wxdg3KWE4Y2t64JRALstAOtGUd7TpP7DR/mI/VSxuHz/o2PlEw0gYUjSgaXjCgOC9/QEmBAezpB8wybuHWjqw8x8TMVdeekd6yiJfqJY8X5EHGp2uUXTDeWGBk/oiBkUlFxbDYpkn5IwtK8gvhqvuvpCUFRSPYYCMO8o/dWzHE+Fgt2RSxDZXPs2H/e9ZzB8PtQj5B7wZNFBs00fiUsanpvVKyc3qkpOe0bZpTZHzyyKz8sZE98ktcowvyC4vdEDYJvmxJ6d6WycaN9WxHpthsyFQ4CFLGuQaMgUff+zMBm2b5BGy66s6tezdTFfNJevdvsti/ecanbSg5wJILRrsGlJiPr/mK42sBfNuRDBHhQpvdfPF/jnrmF9l0fIrezZmKTxGDzfE/uDJHF8EpjSO9R7rnWFkuO7xWGDeGKIZW2mzJKukBttp6gK1R3711A9epcz5N7z5OxyeoGZ840n8fPT9pF7i8X21bZDu4Fb6lSPNtNnu3Xbp3O6x7t9Pujq27tssu5DP07tdMfBqcfL8yRrpG54PRswEHZft1CFdryQ/b7NcR6X4dte7XMbs7tu7XcbuQP6Z3v2bhU+yMTxlN9wv+djbaNdD4TlriiiwaFJnlKhkzegQ7L9uxC8aNdWwGLtrs2SXpnl227tkV+7u27to1+5Q/rnffnsAn8jWE87M3jcw0/qgpGhjNmHG9bIbn6XvGxQDxgYCGFpnDuKFcdCYLdE+wyrT2gKo2lG9dtYayrasOnyCzqVgLf1Kv+Slhrm98pgjp9/SBY4xviNn5ha5iFtFQcqBEGjfWlNVRNtRoKTXGupexNvdrPUQa2nQV4KeSiOzS4hLX8Ka5IwpKSrPdf3UoGO/+47FrUeFA1+jyxj1USM4vyXe4CzgdfxVncbFreP/CUjjdftkyZQMCy/k+V+X/BwAA//8DAFBLAQItABQAAAAIALt1wlq3H+Sh4O8AAL3rCAAYAGAAAAAAAAAAAAAAAAAAAABBc3BlblRlY2guQVNXWEwuV29ya2Jvb2tOVTgATlVDWBgAAABBAHMAcABlAG4AVABlAGMAaAAuAEEAUwBXAFgATAAuAFcAbwByAGsAYgBvAG8AawAKACAAAAAAAAEAGABRAhObgdPbAVECE5uB09sB87kQm4HT2wFQSwUGAAAAAAEAAQCmAAAAWPAAAB8AQVNXWEwgU3RvcmFnZSBWZXJzaW9uIDQwLjAuMC4xM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</si>
</sst>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_(* #,##0.00_);_(* \(#,##0.00\);_(* &quot;-&quot;??_);_(@_)"/>
  </numFmts>
  <fonts count="2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3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9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34" borderId="0" xfId="0" applyFill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19" fillId="0" borderId="0" xfId="0" applyFont="1">
      <alignment vertical="center"/>
    </xf>
    <xf numFmtId="176" fontId="0" fillId="0" borderId="0" xfId="1" applyFont="1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4" borderId="0" xfId="0" applyFill="1" applyBorder="1">
      <alignment vertical="center"/>
    </xf>
    <xf numFmtId="0" fontId="20" fillId="34" borderId="0" xfId="0" applyFont="1" applyFill="1">
      <alignment vertical="center"/>
    </xf>
    <xf numFmtId="0" fontId="0" fillId="35" borderId="0" xfId="0" applyFill="1">
      <alignment vertical="center"/>
    </xf>
    <xf numFmtId="0" fontId="0" fillId="36" borderId="0" xfId="0" applyFill="1" applyBorder="1">
      <alignment vertical="center"/>
    </xf>
    <xf numFmtId="0" fontId="0" fillId="36" borderId="0" xfId="0" applyFill="1">
      <alignment vertical="center"/>
    </xf>
    <xf numFmtId="0" fontId="0" fillId="37" borderId="0" xfId="0" applyFill="1" applyBorder="1">
      <alignment vertical="center"/>
    </xf>
    <xf numFmtId="49" fontId="1" fillId="0" borderId="2" xfId="0" applyNumberFormat="1" applyFont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CAFE-7431-4332-AFE3-BE5165437FCC}">
  <dimension ref="A1:B4"/>
  <sheetViews>
    <sheetView workbookViewId="0"/>
  </sheetViews>
  <sheetFormatPr defaultRowHeight="16.5"/>
  <sheetData>
    <row r="1" spans="1:2">
      <c r="A1" t="s">
        <v>25</v>
      </c>
      <c r="B1" t="s">
        <v>155</v>
      </c>
    </row>
    <row r="2" spans="1:2">
      <c r="A2" s="20" t="s">
        <v>396</v>
      </c>
    </row>
    <row r="3" spans="1:2">
      <c r="A3" s="20" t="s">
        <v>397</v>
      </c>
    </row>
    <row r="4" spans="1:2">
      <c r="A4" s="20" t="s">
        <v>398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0116-21B6-4B10-96CD-67D4F512EA0F}">
  <dimension ref="A1:AF125"/>
  <sheetViews>
    <sheetView workbookViewId="0">
      <selection activeCell="E16" sqref="E16"/>
    </sheetView>
  </sheetViews>
  <sheetFormatPr defaultRowHeight="16.5"/>
  <sheetData>
    <row r="1" spans="1:32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156</v>
      </c>
      <c r="Q1" t="s">
        <v>209</v>
      </c>
      <c r="R1" t="s">
        <v>186</v>
      </c>
      <c r="S1" t="s">
        <v>187</v>
      </c>
      <c r="T1" t="s">
        <v>188</v>
      </c>
      <c r="U1" t="s">
        <v>189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</row>
    <row r="2" spans="1:32">
      <c r="A2">
        <v>930</v>
      </c>
      <c r="B2">
        <v>30</v>
      </c>
      <c r="C2">
        <v>15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11</v>
      </c>
      <c r="J2">
        <v>0.7</v>
      </c>
      <c r="K2">
        <v>610865858.04124916</v>
      </c>
      <c r="L2">
        <v>49299900</v>
      </c>
      <c r="M2">
        <v>79696320.939287394</v>
      </c>
      <c r="N2">
        <v>73520700</v>
      </c>
      <c r="O2">
        <v>17282674.399999999</v>
      </c>
      <c r="P2">
        <v>227.47242399999999</v>
      </c>
      <c r="Q2">
        <v>1.35300161339671</v>
      </c>
      <c r="R2">
        <v>43.783614</v>
      </c>
      <c r="S2">
        <v>782.84949400000005</v>
      </c>
      <c r="T2">
        <v>1.26003497E-16</v>
      </c>
      <c r="U2">
        <v>23.5451485665204</v>
      </c>
      <c r="V2">
        <v>91.850000000000009</v>
      </c>
      <c r="W2">
        <v>-238.4252927984536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910</v>
      </c>
      <c r="B3">
        <v>30</v>
      </c>
      <c r="C3">
        <v>15</v>
      </c>
      <c r="D3">
        <v>2.95</v>
      </c>
      <c r="E3">
        <v>20</v>
      </c>
      <c r="F3">
        <v>12</v>
      </c>
      <c r="G3">
        <v>0.56747999999999998</v>
      </c>
      <c r="H3">
        <v>20</v>
      </c>
      <c r="I3">
        <v>12</v>
      </c>
      <c r="J3">
        <v>0.7</v>
      </c>
      <c r="K3">
        <v>610755158.20858347</v>
      </c>
      <c r="L3">
        <v>49392500</v>
      </c>
      <c r="M3">
        <v>79675747.863817215</v>
      </c>
      <c r="N3">
        <v>73048600</v>
      </c>
      <c r="O3">
        <v>17286537.440000001</v>
      </c>
      <c r="P3">
        <v>226.18490600000001</v>
      </c>
      <c r="Q3">
        <v>1.3713920665663102</v>
      </c>
      <c r="R3">
        <v>43.784049199999998</v>
      </c>
      <c r="S3">
        <v>782.81451300000003</v>
      </c>
      <c r="T3">
        <v>1.2661918599999999E-16</v>
      </c>
      <c r="U3">
        <v>23.538142035215305</v>
      </c>
      <c r="V3">
        <v>91.850000000000009</v>
      </c>
      <c r="W3">
        <v>-238.4252927984536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915</v>
      </c>
      <c r="B4">
        <v>30</v>
      </c>
      <c r="C4">
        <v>15</v>
      </c>
      <c r="D4">
        <v>2.95</v>
      </c>
      <c r="E4">
        <v>20</v>
      </c>
      <c r="F4">
        <v>12</v>
      </c>
      <c r="G4">
        <v>0.56747999999999998</v>
      </c>
      <c r="H4">
        <v>20</v>
      </c>
      <c r="I4">
        <v>12</v>
      </c>
      <c r="J4">
        <v>0.7</v>
      </c>
      <c r="K4">
        <v>610917229.67561448</v>
      </c>
      <c r="L4">
        <v>49398800</v>
      </c>
      <c r="M4">
        <v>79681640.188527584</v>
      </c>
      <c r="N4">
        <v>73184500</v>
      </c>
      <c r="O4">
        <v>17288107.759999998</v>
      </c>
      <c r="P4">
        <v>226.55227400000001</v>
      </c>
      <c r="Q4">
        <v>1.3671286749874856</v>
      </c>
      <c r="R4">
        <v>43.783925099999998</v>
      </c>
      <c r="S4">
        <v>782.82450800000004</v>
      </c>
      <c r="T4">
        <v>1.26439679E-16</v>
      </c>
      <c r="U4">
        <v>23.540098996047703</v>
      </c>
      <c r="V4">
        <v>91.850000000000009</v>
      </c>
      <c r="W4">
        <v>-238.4252927984536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920</v>
      </c>
      <c r="B5">
        <v>30</v>
      </c>
      <c r="C5">
        <v>15</v>
      </c>
      <c r="D5">
        <v>2.95</v>
      </c>
      <c r="E5">
        <v>20</v>
      </c>
      <c r="F5">
        <v>12</v>
      </c>
      <c r="G5">
        <v>0.56747999999999998</v>
      </c>
      <c r="H5">
        <v>20</v>
      </c>
      <c r="I5">
        <v>12</v>
      </c>
      <c r="J5">
        <v>0.7</v>
      </c>
      <c r="K5">
        <v>610868753.02845705</v>
      </c>
      <c r="L5">
        <v>49502300</v>
      </c>
      <c r="M5">
        <v>79687532.356486171</v>
      </c>
      <c r="N5">
        <v>73323100</v>
      </c>
      <c r="O5">
        <v>17289931.359999999</v>
      </c>
      <c r="P5">
        <v>226.92684800000001</v>
      </c>
      <c r="Q5">
        <v>1.3640442324107134</v>
      </c>
      <c r="R5">
        <v>43.783797800000002</v>
      </c>
      <c r="S5">
        <v>782.834745</v>
      </c>
      <c r="T5">
        <v>1.26257019E-16</v>
      </c>
      <c r="U5">
        <v>23.542081815210398</v>
      </c>
      <c r="V5">
        <v>91.850000000000009</v>
      </c>
      <c r="W5">
        <v>-238.4252927984536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925</v>
      </c>
      <c r="B6">
        <v>30</v>
      </c>
      <c r="C6">
        <v>15</v>
      </c>
      <c r="D6">
        <v>2.95</v>
      </c>
      <c r="E6">
        <v>20</v>
      </c>
      <c r="F6">
        <v>12</v>
      </c>
      <c r="G6">
        <v>0.56747999999999998</v>
      </c>
      <c r="H6">
        <v>20</v>
      </c>
      <c r="I6">
        <v>12</v>
      </c>
      <c r="J6">
        <v>0.7</v>
      </c>
      <c r="K6">
        <v>610545526.22201097</v>
      </c>
      <c r="L6">
        <v>49505100</v>
      </c>
      <c r="M6">
        <v>79690228.950884566</v>
      </c>
      <c r="N6">
        <v>73384000</v>
      </c>
      <c r="O6">
        <v>17280331.199999999</v>
      </c>
      <c r="P6">
        <v>227.09143599999999</v>
      </c>
      <c r="Q6">
        <v>1.3609600004063611</v>
      </c>
      <c r="R6">
        <v>43.783745099999997</v>
      </c>
      <c r="S6">
        <v>782.83899399999996</v>
      </c>
      <c r="T6">
        <v>1.2618192899999999E-16</v>
      </c>
      <c r="U6">
        <v>23.5429245572479</v>
      </c>
      <c r="V6">
        <v>91.850000000000009</v>
      </c>
      <c r="W6">
        <v>-238.4252927984536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930</v>
      </c>
      <c r="B7">
        <v>30</v>
      </c>
      <c r="C7">
        <v>15</v>
      </c>
      <c r="D7">
        <v>2.95</v>
      </c>
      <c r="E7">
        <v>20</v>
      </c>
      <c r="F7">
        <v>12</v>
      </c>
      <c r="G7">
        <v>0.56747999999999998</v>
      </c>
      <c r="H7">
        <v>20</v>
      </c>
      <c r="I7">
        <v>12</v>
      </c>
      <c r="J7">
        <v>0.7</v>
      </c>
      <c r="K7">
        <v>610865372.05522203</v>
      </c>
      <c r="L7">
        <v>49299900</v>
      </c>
      <c r="M7">
        <v>79696320.939287394</v>
      </c>
      <c r="N7">
        <v>73525800</v>
      </c>
      <c r="O7">
        <v>17282674.399999999</v>
      </c>
      <c r="P7">
        <v>227.47461899999999</v>
      </c>
      <c r="Q7">
        <v>1.3528881374852568</v>
      </c>
      <c r="R7">
        <v>43.783614</v>
      </c>
      <c r="S7">
        <v>782.84949400000005</v>
      </c>
      <c r="T7">
        <v>1.2599722000000001E-16</v>
      </c>
      <c r="U7">
        <v>23.5449387781536</v>
      </c>
      <c r="V7">
        <v>91.850000000000009</v>
      </c>
      <c r="W7">
        <v>-238.4252927984536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935</v>
      </c>
      <c r="B8">
        <v>30</v>
      </c>
      <c r="C8">
        <v>15</v>
      </c>
      <c r="D8">
        <v>2.95</v>
      </c>
      <c r="E8">
        <v>20</v>
      </c>
      <c r="F8">
        <v>12</v>
      </c>
      <c r="G8">
        <v>0.56747999999999998</v>
      </c>
      <c r="H8">
        <v>20</v>
      </c>
      <c r="I8">
        <v>12</v>
      </c>
      <c r="J8">
        <v>0.7</v>
      </c>
      <c r="K8">
        <v>610927984.25061572</v>
      </c>
      <c r="L8">
        <v>49306600</v>
      </c>
      <c r="M8">
        <v>79702512.755530372</v>
      </c>
      <c r="N8">
        <v>73670400</v>
      </c>
      <c r="O8">
        <v>17285331.199999999</v>
      </c>
      <c r="P8">
        <v>227.86654100000001</v>
      </c>
      <c r="Q8">
        <v>1.3480762876218164</v>
      </c>
      <c r="R8">
        <v>43.783481199999997</v>
      </c>
      <c r="S8">
        <v>782.86022700000001</v>
      </c>
      <c r="T8">
        <v>1.25801441E-16</v>
      </c>
      <c r="U8">
        <v>23.546894757193101</v>
      </c>
      <c r="V8">
        <v>91.850000000000009</v>
      </c>
      <c r="W8">
        <v>-238.4252927984536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940</v>
      </c>
      <c r="B9">
        <v>30</v>
      </c>
      <c r="C9">
        <v>15</v>
      </c>
      <c r="D9">
        <v>2.95</v>
      </c>
      <c r="E9">
        <v>20</v>
      </c>
      <c r="F9">
        <v>12</v>
      </c>
      <c r="G9">
        <v>0.56747999999999998</v>
      </c>
      <c r="H9">
        <v>20</v>
      </c>
      <c r="I9">
        <v>12</v>
      </c>
      <c r="J9">
        <v>0.7</v>
      </c>
      <c r="K9">
        <v>611002475.51623356</v>
      </c>
      <c r="L9">
        <v>49325000</v>
      </c>
      <c r="M9">
        <v>79708904.397148177</v>
      </c>
      <c r="N9">
        <v>73818200</v>
      </c>
      <c r="O9">
        <v>17288288.240000002</v>
      </c>
      <c r="P9">
        <v>228.26524699999999</v>
      </c>
      <c r="Q9">
        <v>1.3434407462286413</v>
      </c>
      <c r="R9">
        <v>43.783341800000002</v>
      </c>
      <c r="S9">
        <v>782.87127899999996</v>
      </c>
      <c r="T9">
        <v>1.2561418E-16</v>
      </c>
      <c r="U9">
        <v>23.549006360364906</v>
      </c>
      <c r="V9">
        <v>91.850000000000009</v>
      </c>
      <c r="W9">
        <v>-238.4252927984536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945</v>
      </c>
      <c r="B10">
        <v>30</v>
      </c>
      <c r="C10">
        <v>15</v>
      </c>
      <c r="D10">
        <v>2.95</v>
      </c>
      <c r="E10">
        <v>20</v>
      </c>
      <c r="F10">
        <v>12</v>
      </c>
      <c r="G10">
        <v>0.56747999999999998</v>
      </c>
      <c r="H10">
        <v>20</v>
      </c>
      <c r="I10">
        <v>12</v>
      </c>
      <c r="J10">
        <v>0.7</v>
      </c>
      <c r="K10">
        <v>609193981.27420497</v>
      </c>
      <c r="L10">
        <v>49395800</v>
      </c>
      <c r="M10">
        <v>79715295.858799338</v>
      </c>
      <c r="N10">
        <v>73969000</v>
      </c>
      <c r="O10">
        <v>17291503.600000001</v>
      </c>
      <c r="P10">
        <v>228.67315199999999</v>
      </c>
      <c r="Q10">
        <v>1.3341311748624802</v>
      </c>
      <c r="R10">
        <v>43.783200299999997</v>
      </c>
      <c r="S10">
        <v>782.88259100000005</v>
      </c>
      <c r="T10">
        <v>1.2541618700000001E-16</v>
      </c>
      <c r="U10">
        <v>23.551065386132304</v>
      </c>
      <c r="V10">
        <v>91.850000000000009</v>
      </c>
      <c r="W10">
        <v>-238.4252927984536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950</v>
      </c>
      <c r="B11">
        <v>30</v>
      </c>
      <c r="C11">
        <v>15</v>
      </c>
      <c r="D11">
        <v>2.95</v>
      </c>
      <c r="E11">
        <v>20</v>
      </c>
      <c r="F11">
        <v>12</v>
      </c>
      <c r="G11">
        <v>0.56747999999999998</v>
      </c>
      <c r="H11">
        <v>20</v>
      </c>
      <c r="I11">
        <v>12</v>
      </c>
      <c r="J11">
        <v>0.7</v>
      </c>
      <c r="K11">
        <v>609336530.0401727</v>
      </c>
      <c r="L11">
        <v>49402900</v>
      </c>
      <c r="M11">
        <v>79721987.138840318</v>
      </c>
      <c r="N11">
        <v>74123000</v>
      </c>
      <c r="O11">
        <v>17294440.719999999</v>
      </c>
      <c r="P11">
        <v>229.089663</v>
      </c>
      <c r="Q11">
        <v>1.3292973601465317</v>
      </c>
      <c r="R11">
        <v>43.783054900000003</v>
      </c>
      <c r="S11">
        <v>782.89419800000007</v>
      </c>
      <c r="T11">
        <v>1.2521347299999999E-16</v>
      </c>
      <c r="U11">
        <v>23.553136944934803</v>
      </c>
      <c r="V11">
        <v>91.850000000000009</v>
      </c>
      <c r="W11">
        <v>-238.4252927984536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955</v>
      </c>
      <c r="B12">
        <v>30</v>
      </c>
      <c r="C12">
        <v>15</v>
      </c>
      <c r="D12">
        <v>2.95</v>
      </c>
      <c r="E12">
        <v>20</v>
      </c>
      <c r="F12">
        <v>12</v>
      </c>
      <c r="G12">
        <v>0.56747999999999998</v>
      </c>
      <c r="H12">
        <v>20</v>
      </c>
      <c r="I12">
        <v>12</v>
      </c>
      <c r="J12">
        <v>0.7</v>
      </c>
      <c r="K12">
        <v>609534875.5781399</v>
      </c>
      <c r="L12">
        <v>49411300</v>
      </c>
      <c r="M12">
        <v>79729779.216404721</v>
      </c>
      <c r="N12">
        <v>74287900</v>
      </c>
      <c r="O12">
        <v>17281592.48</v>
      </c>
      <c r="P12">
        <v>229.536293</v>
      </c>
      <c r="Q12">
        <v>1.3242876926787763</v>
      </c>
      <c r="R12">
        <v>43.782975700000001</v>
      </c>
      <c r="S12">
        <v>782.90049900000008</v>
      </c>
      <c r="T12">
        <v>1.2514662399999999E-16</v>
      </c>
      <c r="U12">
        <v>23.554624337912102</v>
      </c>
      <c r="V12">
        <v>91.850000000000009</v>
      </c>
      <c r="W12">
        <v>-238.4252927984536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960</v>
      </c>
      <c r="B13">
        <v>30</v>
      </c>
      <c r="C13">
        <v>15</v>
      </c>
      <c r="D13">
        <v>2.95</v>
      </c>
      <c r="E13">
        <v>20</v>
      </c>
      <c r="F13">
        <v>12</v>
      </c>
      <c r="G13">
        <v>0.56747999999999998</v>
      </c>
      <c r="H13">
        <v>20</v>
      </c>
      <c r="I13">
        <v>12</v>
      </c>
      <c r="J13">
        <v>0.7</v>
      </c>
      <c r="K13">
        <v>604113954.39081156</v>
      </c>
      <c r="L13">
        <v>49411300</v>
      </c>
      <c r="M13">
        <v>79729904.466407552</v>
      </c>
      <c r="N13">
        <v>74287900</v>
      </c>
      <c r="O13">
        <v>17763050.640000001</v>
      </c>
      <c r="P13">
        <v>220.915583</v>
      </c>
      <c r="Q13">
        <v>1.359306861211149</v>
      </c>
      <c r="R13">
        <v>43.782975700000001</v>
      </c>
      <c r="S13">
        <v>782.901612</v>
      </c>
      <c r="T13">
        <v>1.23598919E-16</v>
      </c>
      <c r="U13">
        <v>23.539530210841406</v>
      </c>
      <c r="V13">
        <v>91.850000000000009</v>
      </c>
      <c r="W13">
        <v>-238.4252927984536</v>
      </c>
      <c r="X13">
        <v>100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910</v>
      </c>
      <c r="B14">
        <v>30</v>
      </c>
      <c r="C14">
        <v>15</v>
      </c>
      <c r="D14">
        <v>2.95</v>
      </c>
      <c r="E14">
        <v>20</v>
      </c>
      <c r="F14">
        <v>12</v>
      </c>
      <c r="G14">
        <v>0.56747999999999998</v>
      </c>
      <c r="H14">
        <v>20</v>
      </c>
      <c r="I14">
        <v>12</v>
      </c>
      <c r="J14">
        <v>0.7</v>
      </c>
      <c r="K14">
        <v>610755158.20858347</v>
      </c>
      <c r="L14">
        <v>49392500</v>
      </c>
      <c r="M14">
        <v>79675747.863817215</v>
      </c>
      <c r="N14">
        <v>73048600</v>
      </c>
      <c r="O14">
        <v>17286537.440000001</v>
      </c>
      <c r="P14">
        <v>226.18490600000001</v>
      </c>
      <c r="Q14">
        <v>1.3713920665663102</v>
      </c>
      <c r="R14">
        <v>43.784049199999998</v>
      </c>
      <c r="S14">
        <v>782.81451300000003</v>
      </c>
      <c r="T14">
        <v>1.2661918599999999E-16</v>
      </c>
      <c r="U14">
        <v>23.538142035215305</v>
      </c>
      <c r="V14">
        <v>91.850000000000009</v>
      </c>
      <c r="W14">
        <v>-238.4252927984536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915</v>
      </c>
      <c r="B15">
        <v>30</v>
      </c>
      <c r="C15">
        <v>15</v>
      </c>
      <c r="D15">
        <v>2.95</v>
      </c>
      <c r="E15">
        <v>20</v>
      </c>
      <c r="F15">
        <v>12</v>
      </c>
      <c r="G15">
        <v>0.56747999999999998</v>
      </c>
      <c r="H15">
        <v>20</v>
      </c>
      <c r="I15">
        <v>12</v>
      </c>
      <c r="J15">
        <v>0.7</v>
      </c>
      <c r="K15">
        <v>610917229.67561448</v>
      </c>
      <c r="L15">
        <v>49398800</v>
      </c>
      <c r="M15">
        <v>79681640.188527584</v>
      </c>
      <c r="N15">
        <v>73184500</v>
      </c>
      <c r="O15">
        <v>17288107.759999998</v>
      </c>
      <c r="P15">
        <v>226.55227400000001</v>
      </c>
      <c r="Q15">
        <v>1.3671286749874856</v>
      </c>
      <c r="R15">
        <v>43.783925099999998</v>
      </c>
      <c r="S15">
        <v>782.82450800000004</v>
      </c>
      <c r="T15">
        <v>1.26439679E-16</v>
      </c>
      <c r="U15">
        <v>23.540098996047703</v>
      </c>
      <c r="V15">
        <v>91.850000000000009</v>
      </c>
      <c r="W15">
        <v>-238.4252927984536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920</v>
      </c>
      <c r="B16">
        <v>30</v>
      </c>
      <c r="C16">
        <v>15</v>
      </c>
      <c r="D16">
        <v>2.95</v>
      </c>
      <c r="E16">
        <v>20</v>
      </c>
      <c r="F16">
        <v>12</v>
      </c>
      <c r="G16">
        <v>0.56747999999999998</v>
      </c>
      <c r="H16">
        <v>20</v>
      </c>
      <c r="I16">
        <v>12</v>
      </c>
      <c r="J16">
        <v>0.7</v>
      </c>
      <c r="K16">
        <v>610868753.02845705</v>
      </c>
      <c r="L16">
        <v>49502300</v>
      </c>
      <c r="M16">
        <v>79687532.356486171</v>
      </c>
      <c r="N16">
        <v>73323100</v>
      </c>
      <c r="O16">
        <v>17289931.359999999</v>
      </c>
      <c r="P16">
        <v>226.92684800000001</v>
      </c>
      <c r="Q16">
        <v>1.3640442324107134</v>
      </c>
      <c r="R16">
        <v>43.783797800000002</v>
      </c>
      <c r="S16">
        <v>782.834745</v>
      </c>
      <c r="T16">
        <v>1.26257019E-16</v>
      </c>
      <c r="U16">
        <v>23.542081815210398</v>
      </c>
      <c r="V16">
        <v>91.850000000000009</v>
      </c>
      <c r="W16">
        <v>-238.4252927984536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925</v>
      </c>
      <c r="B17">
        <v>30</v>
      </c>
      <c r="C17">
        <v>15</v>
      </c>
      <c r="D17">
        <v>2.95</v>
      </c>
      <c r="E17">
        <v>20</v>
      </c>
      <c r="F17">
        <v>12</v>
      </c>
      <c r="G17">
        <v>0.56747999999999998</v>
      </c>
      <c r="H17">
        <v>20</v>
      </c>
      <c r="I17">
        <v>12</v>
      </c>
      <c r="J17">
        <v>0.7</v>
      </c>
      <c r="K17">
        <v>610545526.22201097</v>
      </c>
      <c r="L17">
        <v>49505100</v>
      </c>
      <c r="M17">
        <v>79690228.950884566</v>
      </c>
      <c r="N17">
        <v>73384000</v>
      </c>
      <c r="O17">
        <v>17280331.199999999</v>
      </c>
      <c r="P17">
        <v>227.09143599999999</v>
      </c>
      <c r="Q17">
        <v>1.3609600004063611</v>
      </c>
      <c r="R17">
        <v>43.783745099999997</v>
      </c>
      <c r="S17">
        <v>782.83899399999996</v>
      </c>
      <c r="T17">
        <v>1.2618192899999999E-16</v>
      </c>
      <c r="U17">
        <v>23.5429245572479</v>
      </c>
      <c r="V17">
        <v>91.850000000000009</v>
      </c>
      <c r="W17">
        <v>-238.4252927984536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930</v>
      </c>
      <c r="B18">
        <v>30</v>
      </c>
      <c r="C18">
        <v>15</v>
      </c>
      <c r="D18">
        <v>2.95</v>
      </c>
      <c r="E18">
        <v>20</v>
      </c>
      <c r="F18">
        <v>12</v>
      </c>
      <c r="G18">
        <v>0.56747999999999998</v>
      </c>
      <c r="H18">
        <v>20</v>
      </c>
      <c r="I18">
        <v>12</v>
      </c>
      <c r="J18">
        <v>0.7</v>
      </c>
      <c r="K18">
        <v>610865372.05522203</v>
      </c>
      <c r="L18">
        <v>49299900</v>
      </c>
      <c r="M18">
        <v>79696320.939287394</v>
      </c>
      <c r="N18">
        <v>73525800</v>
      </c>
      <c r="O18">
        <v>17282674.399999999</v>
      </c>
      <c r="P18">
        <v>227.47461899999999</v>
      </c>
      <c r="Q18">
        <v>1.3528881374852568</v>
      </c>
      <c r="R18">
        <v>43.783614</v>
      </c>
      <c r="S18">
        <v>782.84949400000005</v>
      </c>
      <c r="T18">
        <v>1.2599722000000001E-16</v>
      </c>
      <c r="U18">
        <v>23.5449387781536</v>
      </c>
      <c r="V18">
        <v>91.850000000000009</v>
      </c>
      <c r="W18">
        <v>-238.4252927984536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935</v>
      </c>
      <c r="B19">
        <v>30</v>
      </c>
      <c r="C19">
        <v>15</v>
      </c>
      <c r="D19">
        <v>2.95</v>
      </c>
      <c r="E19">
        <v>20</v>
      </c>
      <c r="F19">
        <v>12</v>
      </c>
      <c r="G19">
        <v>0.56747999999999998</v>
      </c>
      <c r="H19">
        <v>20</v>
      </c>
      <c r="I19">
        <v>12</v>
      </c>
      <c r="J19">
        <v>0.7</v>
      </c>
      <c r="K19">
        <v>610927984.25061572</v>
      </c>
      <c r="L19">
        <v>49306600</v>
      </c>
      <c r="M19">
        <v>79702512.755530372</v>
      </c>
      <c r="N19">
        <v>73670400</v>
      </c>
      <c r="O19">
        <v>17285331.199999999</v>
      </c>
      <c r="P19">
        <v>227.86654100000001</v>
      </c>
      <c r="Q19">
        <v>1.3480762876218164</v>
      </c>
      <c r="R19">
        <v>43.783481199999997</v>
      </c>
      <c r="S19">
        <v>782.86022700000001</v>
      </c>
      <c r="T19">
        <v>1.25801441E-16</v>
      </c>
      <c r="U19">
        <v>23.546894757193101</v>
      </c>
      <c r="V19">
        <v>91.850000000000009</v>
      </c>
      <c r="W19">
        <v>-238.4252927984536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940</v>
      </c>
      <c r="B20">
        <v>30</v>
      </c>
      <c r="C20">
        <v>15</v>
      </c>
      <c r="D20">
        <v>2.95</v>
      </c>
      <c r="E20">
        <v>20</v>
      </c>
      <c r="F20">
        <v>12</v>
      </c>
      <c r="G20">
        <v>0.56747999999999998</v>
      </c>
      <c r="H20">
        <v>20</v>
      </c>
      <c r="I20">
        <v>12</v>
      </c>
      <c r="J20">
        <v>0.7</v>
      </c>
      <c r="K20">
        <v>611002475.51623356</v>
      </c>
      <c r="L20">
        <v>49325000</v>
      </c>
      <c r="M20">
        <v>79708904.397148177</v>
      </c>
      <c r="N20">
        <v>73818200</v>
      </c>
      <c r="O20">
        <v>17288288.240000002</v>
      </c>
      <c r="P20">
        <v>228.26524699999999</v>
      </c>
      <c r="Q20">
        <v>1.3434407462286413</v>
      </c>
      <c r="R20">
        <v>43.783341800000002</v>
      </c>
      <c r="S20">
        <v>782.87127899999996</v>
      </c>
      <c r="T20">
        <v>1.2561418E-16</v>
      </c>
      <c r="U20">
        <v>23.549006360364906</v>
      </c>
      <c r="V20">
        <v>91.850000000000009</v>
      </c>
      <c r="W20">
        <v>-238.4252927984536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945</v>
      </c>
      <c r="B21">
        <v>30</v>
      </c>
      <c r="C21">
        <v>15</v>
      </c>
      <c r="D21">
        <v>2.95</v>
      </c>
      <c r="E21">
        <v>20</v>
      </c>
      <c r="F21">
        <v>12</v>
      </c>
      <c r="G21">
        <v>0.56747999999999998</v>
      </c>
      <c r="H21">
        <v>20</v>
      </c>
      <c r="I21">
        <v>12</v>
      </c>
      <c r="J21">
        <v>0.7</v>
      </c>
      <c r="K21">
        <v>609193981.27420497</v>
      </c>
      <c r="L21">
        <v>49395800</v>
      </c>
      <c r="M21">
        <v>79715295.858799338</v>
      </c>
      <c r="N21">
        <v>73969000</v>
      </c>
      <c r="O21">
        <v>17291503.600000001</v>
      </c>
      <c r="P21">
        <v>228.67315199999999</v>
      </c>
      <c r="Q21">
        <v>1.3341311748624802</v>
      </c>
      <c r="R21">
        <v>43.783200299999997</v>
      </c>
      <c r="S21">
        <v>782.88259100000005</v>
      </c>
      <c r="T21">
        <v>1.2541618700000001E-16</v>
      </c>
      <c r="U21">
        <v>23.551065386132304</v>
      </c>
      <c r="V21">
        <v>91.850000000000009</v>
      </c>
      <c r="W21">
        <v>-238.4252927984536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950</v>
      </c>
      <c r="B22">
        <v>30</v>
      </c>
      <c r="C22">
        <v>15</v>
      </c>
      <c r="D22">
        <v>2.95</v>
      </c>
      <c r="E22">
        <v>20</v>
      </c>
      <c r="F22">
        <v>12</v>
      </c>
      <c r="G22">
        <v>0.56747999999999998</v>
      </c>
      <c r="H22">
        <v>20</v>
      </c>
      <c r="I22">
        <v>12</v>
      </c>
      <c r="J22">
        <v>0.7</v>
      </c>
      <c r="K22">
        <v>609336530.0401727</v>
      </c>
      <c r="L22">
        <v>49402900</v>
      </c>
      <c r="M22">
        <v>79721987.138840318</v>
      </c>
      <c r="N22">
        <v>74123000</v>
      </c>
      <c r="O22">
        <v>17294440.719999999</v>
      </c>
      <c r="P22">
        <v>229.089663</v>
      </c>
      <c r="Q22">
        <v>1.3292973601465317</v>
      </c>
      <c r="R22">
        <v>43.783054900000003</v>
      </c>
      <c r="S22">
        <v>782.89419800000007</v>
      </c>
      <c r="T22">
        <v>1.2521347299999999E-16</v>
      </c>
      <c r="U22">
        <v>23.553136944934803</v>
      </c>
      <c r="V22">
        <v>91.850000000000009</v>
      </c>
      <c r="W22">
        <v>-238.4252927984536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955</v>
      </c>
      <c r="B23">
        <v>30</v>
      </c>
      <c r="C23">
        <v>15</v>
      </c>
      <c r="D23">
        <v>2.95</v>
      </c>
      <c r="E23">
        <v>20</v>
      </c>
      <c r="F23">
        <v>12</v>
      </c>
      <c r="G23">
        <v>0.56747999999999998</v>
      </c>
      <c r="H23">
        <v>20</v>
      </c>
      <c r="I23">
        <v>12</v>
      </c>
      <c r="J23">
        <v>0.7</v>
      </c>
      <c r="K23">
        <v>609534875.5781399</v>
      </c>
      <c r="L23">
        <v>49411300</v>
      </c>
      <c r="M23">
        <v>79729779.216404721</v>
      </c>
      <c r="N23">
        <v>74287900</v>
      </c>
      <c r="O23">
        <v>17281592.48</v>
      </c>
      <c r="P23">
        <v>229.536293</v>
      </c>
      <c r="Q23">
        <v>1.3242876926787763</v>
      </c>
      <c r="R23">
        <v>43.782975700000001</v>
      </c>
      <c r="S23">
        <v>782.90049900000008</v>
      </c>
      <c r="T23">
        <v>1.2514662399999999E-16</v>
      </c>
      <c r="U23">
        <v>23.554624337912102</v>
      </c>
      <c r="V23">
        <v>91.850000000000009</v>
      </c>
      <c r="W23">
        <v>-238.4252927984536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960</v>
      </c>
      <c r="B24">
        <v>30</v>
      </c>
      <c r="C24">
        <v>15</v>
      </c>
      <c r="D24">
        <v>2.95</v>
      </c>
      <c r="E24">
        <v>20</v>
      </c>
      <c r="F24">
        <v>12</v>
      </c>
      <c r="G24">
        <v>0.56747999999999998</v>
      </c>
      <c r="H24">
        <v>20</v>
      </c>
      <c r="I24">
        <v>12</v>
      </c>
      <c r="J24">
        <v>0.7</v>
      </c>
      <c r="K24">
        <v>604113954.39081156</v>
      </c>
      <c r="L24">
        <v>49411300</v>
      </c>
      <c r="M24">
        <v>79729904.466407552</v>
      </c>
      <c r="N24">
        <v>74287900</v>
      </c>
      <c r="O24">
        <v>17763050.640000001</v>
      </c>
      <c r="P24">
        <v>220.915583</v>
      </c>
      <c r="Q24">
        <v>1.359306861211149</v>
      </c>
      <c r="R24">
        <v>43.782975700000001</v>
      </c>
      <c r="S24">
        <v>782.901612</v>
      </c>
      <c r="T24">
        <v>1.23598919E-16</v>
      </c>
      <c r="U24">
        <v>23.539530210841406</v>
      </c>
      <c r="V24">
        <v>91.850000000000009</v>
      </c>
      <c r="W24">
        <v>-238.4252927984536</v>
      </c>
      <c r="X24">
        <v>100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930</v>
      </c>
      <c r="B25">
        <v>27</v>
      </c>
      <c r="C25">
        <v>15</v>
      </c>
      <c r="D25">
        <v>2.95</v>
      </c>
      <c r="E25">
        <v>20</v>
      </c>
      <c r="F25">
        <v>12</v>
      </c>
      <c r="G25">
        <v>0.56747999999999998</v>
      </c>
      <c r="H25">
        <v>20</v>
      </c>
      <c r="I25">
        <v>12</v>
      </c>
      <c r="J25">
        <v>0.7</v>
      </c>
      <c r="K25">
        <v>610829474.0337733</v>
      </c>
      <c r="L25">
        <v>49299900</v>
      </c>
      <c r="M25">
        <v>79696220.933329597</v>
      </c>
      <c r="N25">
        <v>73531200</v>
      </c>
      <c r="O25">
        <v>17282673.040000003</v>
      </c>
      <c r="P25">
        <v>227.41116099999999</v>
      </c>
      <c r="Q25">
        <v>1.3530536728099825</v>
      </c>
      <c r="R25">
        <v>43.784519500000002</v>
      </c>
      <c r="S25">
        <v>782.82174499999996</v>
      </c>
      <c r="T25">
        <v>1.4266062699999999E-13</v>
      </c>
      <c r="U25">
        <v>23.542424205444004</v>
      </c>
      <c r="V25">
        <v>91.850000000000009</v>
      </c>
      <c r="W25">
        <v>-238.4252927984536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930</v>
      </c>
      <c r="B26">
        <v>28</v>
      </c>
      <c r="C26">
        <v>15</v>
      </c>
      <c r="D26">
        <v>2.95</v>
      </c>
      <c r="E26">
        <v>20</v>
      </c>
      <c r="F26">
        <v>12</v>
      </c>
      <c r="G26">
        <v>0.56747999999999998</v>
      </c>
      <c r="H26">
        <v>20</v>
      </c>
      <c r="I26">
        <v>12</v>
      </c>
      <c r="J26">
        <v>0.7</v>
      </c>
      <c r="K26">
        <v>610833965.26492107</v>
      </c>
      <c r="L26">
        <v>49299900</v>
      </c>
      <c r="M26">
        <v>79696320.933329597</v>
      </c>
      <c r="N26">
        <v>73528800</v>
      </c>
      <c r="O26">
        <v>17282673.040000003</v>
      </c>
      <c r="P26">
        <v>227.438773</v>
      </c>
      <c r="Q26">
        <v>1.3529493932934484</v>
      </c>
      <c r="R26">
        <v>43.784106899999998</v>
      </c>
      <c r="S26">
        <v>782.83392600000002</v>
      </c>
      <c r="T26">
        <v>3.4548325499999997E-14</v>
      </c>
      <c r="U26">
        <v>23.543521249543307</v>
      </c>
      <c r="V26">
        <v>91.850000000000009</v>
      </c>
      <c r="W26">
        <v>-238.4252927984536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930</v>
      </c>
      <c r="B27">
        <v>29</v>
      </c>
      <c r="C27">
        <v>15</v>
      </c>
      <c r="D27">
        <v>2.95</v>
      </c>
      <c r="E27">
        <v>20</v>
      </c>
      <c r="F27">
        <v>12</v>
      </c>
      <c r="G27">
        <v>0.56747999999999998</v>
      </c>
      <c r="H27">
        <v>20</v>
      </c>
      <c r="I27">
        <v>12</v>
      </c>
      <c r="J27">
        <v>0.7</v>
      </c>
      <c r="K27">
        <v>610849589.74453151</v>
      </c>
      <c r="L27">
        <v>49299900</v>
      </c>
      <c r="M27">
        <v>79696320.933329597</v>
      </c>
      <c r="N27">
        <v>73527100</v>
      </c>
      <c r="O27">
        <v>17282673.040000003</v>
      </c>
      <c r="P27">
        <v>227.459281</v>
      </c>
      <c r="Q27">
        <v>1.352907033407968</v>
      </c>
      <c r="R27">
        <v>43.783816000000002</v>
      </c>
      <c r="S27">
        <v>782.84289999999999</v>
      </c>
      <c r="T27">
        <v>1.2559648400000001E-16</v>
      </c>
      <c r="U27">
        <v>23.544334817767101</v>
      </c>
      <c r="V27">
        <v>91.850000000000009</v>
      </c>
      <c r="W27">
        <v>-238.4252927984536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930</v>
      </c>
      <c r="B28">
        <v>31</v>
      </c>
      <c r="C28">
        <v>15</v>
      </c>
      <c r="D28">
        <v>2.95</v>
      </c>
      <c r="E28">
        <v>20</v>
      </c>
      <c r="F28">
        <v>12</v>
      </c>
      <c r="G28">
        <v>0.56747999999999998</v>
      </c>
      <c r="H28">
        <v>20</v>
      </c>
      <c r="I28">
        <v>12</v>
      </c>
      <c r="J28">
        <v>0.7</v>
      </c>
      <c r="K28">
        <v>610921102.64432585</v>
      </c>
      <c r="L28">
        <v>49299900</v>
      </c>
      <c r="M28">
        <v>79696320.933329597</v>
      </c>
      <c r="N28">
        <v>73524800</v>
      </c>
      <c r="O28">
        <v>17282673.040000003</v>
      </c>
      <c r="P28">
        <v>227.486176</v>
      </c>
      <c r="Q28">
        <v>1.3530051204545996</v>
      </c>
      <c r="R28">
        <v>43.783476999999998</v>
      </c>
      <c r="S28">
        <v>782.85431500000004</v>
      </c>
      <c r="T28">
        <v>1.2629751900000001E-16</v>
      </c>
      <c r="U28">
        <v>23.545386404418203</v>
      </c>
      <c r="V28">
        <v>100.934</v>
      </c>
      <c r="W28">
        <v>-238.4252927984536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>
        <v>930</v>
      </c>
      <c r="B29">
        <v>32</v>
      </c>
      <c r="C29">
        <v>15</v>
      </c>
      <c r="D29">
        <v>2.95</v>
      </c>
      <c r="E29">
        <v>20</v>
      </c>
      <c r="F29">
        <v>12</v>
      </c>
      <c r="G29">
        <v>0.56747999999999998</v>
      </c>
      <c r="H29">
        <v>20</v>
      </c>
      <c r="I29">
        <v>12</v>
      </c>
      <c r="J29">
        <v>0.7</v>
      </c>
      <c r="K29">
        <v>610944949.97088146</v>
      </c>
      <c r="L29">
        <v>49299900</v>
      </c>
      <c r="M29">
        <v>79696320.933329597</v>
      </c>
      <c r="N29">
        <v>73524100</v>
      </c>
      <c r="O29">
        <v>17282673.040000003</v>
      </c>
      <c r="P29">
        <v>227.49493699999999</v>
      </c>
      <c r="Q29">
        <v>1.3530377596002279</v>
      </c>
      <c r="R29">
        <v>43.783387699999999</v>
      </c>
      <c r="S29">
        <v>782.85781600000007</v>
      </c>
      <c r="T29">
        <v>1.26523219E-16</v>
      </c>
      <c r="U29">
        <v>23.545718608459001</v>
      </c>
      <c r="V29">
        <v>100.934</v>
      </c>
      <c r="W29">
        <v>-238.4252927984536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930</v>
      </c>
      <c r="B30">
        <v>33</v>
      </c>
      <c r="C30">
        <v>15</v>
      </c>
      <c r="D30">
        <v>2.95</v>
      </c>
      <c r="E30">
        <v>20</v>
      </c>
      <c r="F30">
        <v>12</v>
      </c>
      <c r="G30">
        <v>0.56747999999999998</v>
      </c>
      <c r="H30">
        <v>20</v>
      </c>
      <c r="I30">
        <v>12</v>
      </c>
      <c r="J30">
        <v>0.7</v>
      </c>
      <c r="K30">
        <v>610980834.69368124</v>
      </c>
      <c r="L30">
        <v>49299900</v>
      </c>
      <c r="M30">
        <v>79696320.933329597</v>
      </c>
      <c r="N30">
        <v>73523600</v>
      </c>
      <c r="O30">
        <v>17282673.040000003</v>
      </c>
      <c r="P30">
        <v>227.501634</v>
      </c>
      <c r="Q30">
        <v>1.3531147102754806</v>
      </c>
      <c r="R30">
        <v>43.783333300000002</v>
      </c>
      <c r="S30">
        <v>782.86032699999998</v>
      </c>
      <c r="T30">
        <v>1.26693434E-16</v>
      </c>
      <c r="U30">
        <v>23.545963449218302</v>
      </c>
      <c r="V30">
        <v>100.934</v>
      </c>
      <c r="W30">
        <v>-238.4252927984536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930</v>
      </c>
      <c r="B31">
        <v>34</v>
      </c>
      <c r="C31">
        <v>15</v>
      </c>
      <c r="D31">
        <v>2.95</v>
      </c>
      <c r="E31">
        <v>20</v>
      </c>
      <c r="F31">
        <v>12</v>
      </c>
      <c r="G31">
        <v>0.56747999999999998</v>
      </c>
      <c r="H31">
        <v>20</v>
      </c>
      <c r="I31">
        <v>12</v>
      </c>
      <c r="J31">
        <v>0.7</v>
      </c>
      <c r="K31">
        <v>610999748.55121064</v>
      </c>
      <c r="L31">
        <v>49299900</v>
      </c>
      <c r="M31">
        <v>79696320.933329597</v>
      </c>
      <c r="N31">
        <v>73523200</v>
      </c>
      <c r="O31">
        <v>17282673.040000003</v>
      </c>
      <c r="P31">
        <v>227.506789</v>
      </c>
      <c r="Q31">
        <v>1.353148248610905</v>
      </c>
      <c r="R31">
        <v>43.783333300000002</v>
      </c>
      <c r="S31">
        <v>782.86210400000004</v>
      </c>
      <c r="T31">
        <v>1.2682007700000001E-16</v>
      </c>
      <c r="U31">
        <v>23.546144602174301</v>
      </c>
      <c r="V31">
        <v>100.934</v>
      </c>
      <c r="W31">
        <v>-238.4252927984536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930</v>
      </c>
      <c r="B32">
        <v>35</v>
      </c>
      <c r="C32">
        <v>15</v>
      </c>
      <c r="D32">
        <v>2.95</v>
      </c>
      <c r="E32">
        <v>20</v>
      </c>
      <c r="F32">
        <v>12</v>
      </c>
      <c r="G32">
        <v>0.56747999999999998</v>
      </c>
      <c r="H32">
        <v>20</v>
      </c>
      <c r="I32">
        <v>12</v>
      </c>
      <c r="J32">
        <v>0.7</v>
      </c>
      <c r="K32">
        <v>611050683.81955731</v>
      </c>
      <c r="L32">
        <v>49299900</v>
      </c>
      <c r="M32">
        <v>79696320.933329597</v>
      </c>
      <c r="N32">
        <v>73522900</v>
      </c>
      <c r="O32">
        <v>17282673.040000003</v>
      </c>
      <c r="P32">
        <v>227.51079300000001</v>
      </c>
      <c r="Q32">
        <v>1.3532822377025027</v>
      </c>
      <c r="R32">
        <v>43.783333300000002</v>
      </c>
      <c r="S32">
        <v>782.86332800000002</v>
      </c>
      <c r="T32">
        <v>1.26917906E-16</v>
      </c>
      <c r="U32">
        <v>23.546275736537702</v>
      </c>
      <c r="V32">
        <v>100.934</v>
      </c>
      <c r="W32">
        <v>-238.4252927984536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930</v>
      </c>
      <c r="B33">
        <v>37</v>
      </c>
      <c r="C33">
        <v>15</v>
      </c>
      <c r="D33">
        <v>2.95</v>
      </c>
      <c r="E33">
        <v>20</v>
      </c>
      <c r="F33">
        <v>12</v>
      </c>
      <c r="G33">
        <v>0.56747999999999998</v>
      </c>
      <c r="H33">
        <v>20</v>
      </c>
      <c r="I33">
        <v>12</v>
      </c>
      <c r="J33">
        <v>0.7</v>
      </c>
      <c r="K33">
        <v>611092599.03206301</v>
      </c>
      <c r="L33">
        <v>49317700</v>
      </c>
      <c r="M33">
        <v>79696320.933329597</v>
      </c>
      <c r="N33">
        <v>73522500</v>
      </c>
      <c r="O33">
        <v>17282673.040000003</v>
      </c>
      <c r="P33">
        <v>227.51642000000001</v>
      </c>
      <c r="Q33">
        <v>1.3537269547765387</v>
      </c>
      <c r="R33">
        <v>43.783333300000002</v>
      </c>
      <c r="S33">
        <v>782.86465499999997</v>
      </c>
      <c r="T33">
        <v>1.2704962000000001E-16</v>
      </c>
      <c r="U33">
        <v>23.546437137374905</v>
      </c>
      <c r="V33">
        <v>100.934</v>
      </c>
      <c r="W33">
        <v>-238.4252927984536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930</v>
      </c>
      <c r="B34">
        <v>38</v>
      </c>
      <c r="C34">
        <v>15</v>
      </c>
      <c r="D34">
        <v>2.95</v>
      </c>
      <c r="E34">
        <v>20</v>
      </c>
      <c r="F34">
        <v>12</v>
      </c>
      <c r="G34">
        <v>0.56747999999999998</v>
      </c>
      <c r="H34">
        <v>20</v>
      </c>
      <c r="I34">
        <v>12</v>
      </c>
      <c r="J34">
        <v>0.7</v>
      </c>
      <c r="K34">
        <v>611159571.78991127</v>
      </c>
      <c r="L34">
        <v>49317700</v>
      </c>
      <c r="M34">
        <v>79696320.933329597</v>
      </c>
      <c r="N34">
        <v>73522400</v>
      </c>
      <c r="O34">
        <v>17282673.040000003</v>
      </c>
      <c r="P34">
        <v>227.518406</v>
      </c>
      <c r="Q34">
        <v>1.3539169074616637</v>
      </c>
      <c r="R34">
        <v>43.783333300000002</v>
      </c>
      <c r="S34">
        <v>782.86465499999997</v>
      </c>
      <c r="T34">
        <v>1.2709355399999999E-16</v>
      </c>
      <c r="U34">
        <v>23.546484005976101</v>
      </c>
      <c r="V34">
        <v>100.934</v>
      </c>
      <c r="W34">
        <v>-238.4252927984536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930</v>
      </c>
      <c r="B35">
        <v>39</v>
      </c>
      <c r="C35">
        <v>15</v>
      </c>
      <c r="D35">
        <v>2.95</v>
      </c>
      <c r="E35">
        <v>20</v>
      </c>
      <c r="F35">
        <v>12</v>
      </c>
      <c r="G35">
        <v>0.56747999999999998</v>
      </c>
      <c r="H35">
        <v>20</v>
      </c>
      <c r="I35">
        <v>12</v>
      </c>
      <c r="J35">
        <v>0.7</v>
      </c>
      <c r="K35">
        <v>611196551.36104035</v>
      </c>
      <c r="L35">
        <v>49317700</v>
      </c>
      <c r="M35">
        <v>79696320.933329597</v>
      </c>
      <c r="N35">
        <v>73522300</v>
      </c>
      <c r="O35">
        <v>17282673.040000003</v>
      </c>
      <c r="P35">
        <v>227.52001899999999</v>
      </c>
      <c r="Q35">
        <v>1.3540195856238788</v>
      </c>
      <c r="R35">
        <v>43.783333300000002</v>
      </c>
      <c r="S35">
        <v>782.86465499999997</v>
      </c>
      <c r="T35">
        <v>1.2712754400000001E-16</v>
      </c>
      <c r="U35">
        <v>23.546515157762204</v>
      </c>
      <c r="V35">
        <v>100.934</v>
      </c>
      <c r="W35">
        <v>-238.4252927984536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930</v>
      </c>
      <c r="B36">
        <v>30</v>
      </c>
      <c r="C36">
        <v>10</v>
      </c>
      <c r="D36">
        <v>2.95</v>
      </c>
      <c r="E36">
        <v>20</v>
      </c>
      <c r="F36">
        <v>12</v>
      </c>
      <c r="G36">
        <v>0.56747999999999998</v>
      </c>
      <c r="H36">
        <v>20</v>
      </c>
      <c r="I36">
        <v>12</v>
      </c>
      <c r="J36">
        <v>0.7</v>
      </c>
      <c r="K36">
        <v>610864499.20817351</v>
      </c>
      <c r="L36">
        <v>49299900</v>
      </c>
      <c r="M36">
        <v>79696320.933329597</v>
      </c>
      <c r="N36">
        <v>73544600</v>
      </c>
      <c r="O36">
        <v>17282673.040000003</v>
      </c>
      <c r="P36">
        <v>227.415797</v>
      </c>
      <c r="Q36">
        <v>1.3528705373270198</v>
      </c>
      <c r="R36">
        <v>43.780099800000002</v>
      </c>
      <c r="S36">
        <v>782.91022299999997</v>
      </c>
      <c r="T36">
        <v>1.2597488500000001E-16</v>
      </c>
      <c r="U36">
        <v>23.554052014389999</v>
      </c>
      <c r="V36">
        <v>100.934</v>
      </c>
      <c r="W36">
        <v>-238.4252927984536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930</v>
      </c>
      <c r="B37">
        <v>30</v>
      </c>
      <c r="C37">
        <v>11</v>
      </c>
      <c r="D37">
        <v>2.95</v>
      </c>
      <c r="E37">
        <v>20</v>
      </c>
      <c r="F37">
        <v>12</v>
      </c>
      <c r="G37">
        <v>0.56747999999999998</v>
      </c>
      <c r="H37">
        <v>20</v>
      </c>
      <c r="I37">
        <v>12</v>
      </c>
      <c r="J37">
        <v>0.7</v>
      </c>
      <c r="K37">
        <v>610864637.77231169</v>
      </c>
      <c r="L37">
        <v>49299900</v>
      </c>
      <c r="M37">
        <v>79696320.933329597</v>
      </c>
      <c r="N37">
        <v>73536700</v>
      </c>
      <c r="O37">
        <v>17282673.040000003</v>
      </c>
      <c r="P37">
        <v>227.44753399999999</v>
      </c>
      <c r="Q37">
        <v>1.3528355020098168</v>
      </c>
      <c r="R37">
        <v>43.7812634</v>
      </c>
      <c r="S37">
        <v>782.89067599999998</v>
      </c>
      <c r="T37">
        <v>1.2622678200000001E-16</v>
      </c>
      <c r="U37">
        <v>23.551309900193903</v>
      </c>
      <c r="V37">
        <v>100.934</v>
      </c>
      <c r="W37">
        <v>-238.4252927984536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930</v>
      </c>
      <c r="B38">
        <v>30</v>
      </c>
      <c r="C38">
        <v>12</v>
      </c>
      <c r="D38">
        <v>2.95</v>
      </c>
      <c r="E38">
        <v>20</v>
      </c>
      <c r="F38">
        <v>12</v>
      </c>
      <c r="G38">
        <v>0.56747999999999998</v>
      </c>
      <c r="H38">
        <v>20</v>
      </c>
      <c r="I38">
        <v>12</v>
      </c>
      <c r="J38">
        <v>0.7</v>
      </c>
      <c r="K38">
        <v>610864772.61163712</v>
      </c>
      <c r="L38">
        <v>49299900</v>
      </c>
      <c r="M38">
        <v>79696320.933329597</v>
      </c>
      <c r="N38">
        <v>73531600</v>
      </c>
      <c r="O38">
        <v>17282673.040000003</v>
      </c>
      <c r="P38">
        <v>227.466508</v>
      </c>
      <c r="Q38">
        <v>1.3528220317745829</v>
      </c>
      <c r="R38">
        <v>43.782100200000002</v>
      </c>
      <c r="S38">
        <v>782.87679700000001</v>
      </c>
      <c r="T38">
        <v>1.2633596000000001E-16</v>
      </c>
      <c r="U38">
        <v>23.549120337249402</v>
      </c>
      <c r="V38">
        <v>100.934</v>
      </c>
      <c r="W38">
        <v>-238.4252927984536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930</v>
      </c>
      <c r="B39">
        <v>30</v>
      </c>
      <c r="C39">
        <v>13</v>
      </c>
      <c r="D39">
        <v>2.95</v>
      </c>
      <c r="E39">
        <v>20</v>
      </c>
      <c r="F39">
        <v>12</v>
      </c>
      <c r="G39">
        <v>0.56747999999999998</v>
      </c>
      <c r="H39">
        <v>20</v>
      </c>
      <c r="I39">
        <v>12</v>
      </c>
      <c r="J39">
        <v>0.7</v>
      </c>
      <c r="K39">
        <v>610864919.17397451</v>
      </c>
      <c r="L39">
        <v>49299900</v>
      </c>
      <c r="M39">
        <v>79696320.933329597</v>
      </c>
      <c r="N39">
        <v>73528400</v>
      </c>
      <c r="O39">
        <v>17282673.040000003</v>
      </c>
      <c r="P39">
        <v>227.476146</v>
      </c>
      <c r="Q39">
        <v>1.3528272494020284</v>
      </c>
      <c r="R39">
        <v>43.782718199999998</v>
      </c>
      <c r="S39">
        <v>782.866354</v>
      </c>
      <c r="T39">
        <v>1.2633082699999999E-16</v>
      </c>
      <c r="U39">
        <v>23.547424525449699</v>
      </c>
      <c r="V39">
        <v>100.934</v>
      </c>
      <c r="W39">
        <v>-238.4252927984536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930</v>
      </c>
      <c r="B40">
        <v>30</v>
      </c>
      <c r="C40">
        <v>14</v>
      </c>
      <c r="D40">
        <v>2.95</v>
      </c>
      <c r="E40">
        <v>20</v>
      </c>
      <c r="F40">
        <v>12</v>
      </c>
      <c r="G40">
        <v>0.56747999999999998</v>
      </c>
      <c r="H40">
        <v>20</v>
      </c>
      <c r="I40">
        <v>12</v>
      </c>
      <c r="J40">
        <v>0.7</v>
      </c>
      <c r="K40">
        <v>610865093.24177897</v>
      </c>
      <c r="L40">
        <v>49299900</v>
      </c>
      <c r="M40">
        <v>79696320.933329597</v>
      </c>
      <c r="N40">
        <v>73526600</v>
      </c>
      <c r="O40">
        <v>17282673.040000003</v>
      </c>
      <c r="P40">
        <v>227.47850199999999</v>
      </c>
      <c r="Q40">
        <v>1.3528486875549293</v>
      </c>
      <c r="R40">
        <v>43.783200999999998</v>
      </c>
      <c r="S40">
        <v>782.85768399999995</v>
      </c>
      <c r="T40">
        <v>1.2621786099999999E-16</v>
      </c>
      <c r="U40">
        <v>23.546081187474304</v>
      </c>
      <c r="V40">
        <v>100.934</v>
      </c>
      <c r="W40">
        <v>-238.4252927984536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930</v>
      </c>
      <c r="B41">
        <v>30</v>
      </c>
      <c r="C41">
        <v>14</v>
      </c>
      <c r="D41">
        <v>2.95</v>
      </c>
      <c r="E41">
        <v>20</v>
      </c>
      <c r="F41">
        <v>12</v>
      </c>
      <c r="G41">
        <v>0.56747999999999998</v>
      </c>
      <c r="H41">
        <v>20</v>
      </c>
      <c r="I41">
        <v>12</v>
      </c>
      <c r="J41">
        <v>0.7</v>
      </c>
      <c r="K41">
        <v>610865093.24177897</v>
      </c>
      <c r="L41">
        <v>49299900</v>
      </c>
      <c r="M41">
        <v>79696320.933329597</v>
      </c>
      <c r="N41">
        <v>73526600</v>
      </c>
      <c r="O41">
        <v>17282673.040000003</v>
      </c>
      <c r="P41">
        <v>227.47850199999999</v>
      </c>
      <c r="Q41">
        <v>1.3528486875549293</v>
      </c>
      <c r="R41">
        <v>43.783200999999998</v>
      </c>
      <c r="S41">
        <v>782.85768399999995</v>
      </c>
      <c r="T41">
        <v>1.2621786099999999E-16</v>
      </c>
      <c r="U41">
        <v>23.546081187474304</v>
      </c>
      <c r="V41">
        <v>100.934</v>
      </c>
      <c r="W41">
        <v>-238.4252927984536</v>
      </c>
      <c r="X41">
        <v>99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930</v>
      </c>
      <c r="B42">
        <v>30</v>
      </c>
      <c r="C42">
        <v>15</v>
      </c>
      <c r="D42">
        <v>2.95</v>
      </c>
      <c r="E42">
        <v>20</v>
      </c>
      <c r="F42">
        <v>12</v>
      </c>
      <c r="G42">
        <v>0.56747999999999998</v>
      </c>
      <c r="H42">
        <v>20</v>
      </c>
      <c r="I42">
        <v>12</v>
      </c>
      <c r="J42">
        <v>0.7</v>
      </c>
      <c r="K42">
        <v>610865311.32710767</v>
      </c>
      <c r="L42">
        <v>49299900</v>
      </c>
      <c r="M42">
        <v>79696320.933329597</v>
      </c>
      <c r="N42">
        <v>73525800</v>
      </c>
      <c r="O42">
        <v>17282673.040000003</v>
      </c>
      <c r="P42">
        <v>227.47461899999999</v>
      </c>
      <c r="Q42">
        <v>1.3528879562536462</v>
      </c>
      <c r="R42">
        <v>43.783614</v>
      </c>
      <c r="S42">
        <v>782.84949400000005</v>
      </c>
      <c r="T42">
        <v>1.2599722000000001E-16</v>
      </c>
      <c r="U42">
        <v>23.5449387781536</v>
      </c>
      <c r="V42">
        <v>91.850000000000009</v>
      </c>
      <c r="W42">
        <v>-238.4252927984536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930</v>
      </c>
      <c r="B43">
        <v>30</v>
      </c>
      <c r="C43">
        <v>16</v>
      </c>
      <c r="D43">
        <v>2.95</v>
      </c>
      <c r="E43">
        <v>20</v>
      </c>
      <c r="F43">
        <v>12</v>
      </c>
      <c r="G43">
        <v>0.56747999999999998</v>
      </c>
      <c r="H43">
        <v>20</v>
      </c>
      <c r="I43">
        <v>12</v>
      </c>
      <c r="J43">
        <v>0.7</v>
      </c>
      <c r="K43">
        <v>610865594.84626341</v>
      </c>
      <c r="L43">
        <v>49299900</v>
      </c>
      <c r="M43">
        <v>79696320.933329597</v>
      </c>
      <c r="N43">
        <v>73525900</v>
      </c>
      <c r="O43">
        <v>17282673.040000003</v>
      </c>
      <c r="P43">
        <v>227.464699</v>
      </c>
      <c r="Q43">
        <v>1.352945862746193</v>
      </c>
      <c r="R43">
        <v>43.784011499999998</v>
      </c>
      <c r="S43">
        <v>782.84070599999995</v>
      </c>
      <c r="T43">
        <v>1.2565488600000001E-16</v>
      </c>
      <c r="U43">
        <v>23.543860406861704</v>
      </c>
      <c r="V43">
        <v>91.850000000000009</v>
      </c>
      <c r="W43">
        <v>-238.4252927984536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930</v>
      </c>
      <c r="B44">
        <v>30</v>
      </c>
      <c r="C44">
        <v>17</v>
      </c>
      <c r="D44">
        <v>2.95</v>
      </c>
      <c r="E44">
        <v>20</v>
      </c>
      <c r="F44">
        <v>12</v>
      </c>
      <c r="G44">
        <v>0.56747999999999998</v>
      </c>
      <c r="H44">
        <v>20</v>
      </c>
      <c r="I44">
        <v>12</v>
      </c>
      <c r="J44">
        <v>0.7</v>
      </c>
      <c r="K44">
        <v>610865970.84939766</v>
      </c>
      <c r="L44">
        <v>49299900</v>
      </c>
      <c r="M44">
        <v>79696220.933329597</v>
      </c>
      <c r="N44">
        <v>73526800</v>
      </c>
      <c r="O44">
        <v>17282673.040000003</v>
      </c>
      <c r="P44">
        <v>227.448185</v>
      </c>
      <c r="Q44">
        <v>1.3530277490584024</v>
      </c>
      <c r="R44">
        <v>43.784443000000003</v>
      </c>
      <c r="S44">
        <v>782.83030399999996</v>
      </c>
      <c r="T44">
        <v>3.4418219199999999E-14</v>
      </c>
      <c r="U44">
        <v>23.542720311187303</v>
      </c>
      <c r="V44">
        <v>91.850000000000009</v>
      </c>
      <c r="W44">
        <v>-238.4252927984536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930</v>
      </c>
      <c r="B45">
        <v>30</v>
      </c>
      <c r="C45">
        <v>18</v>
      </c>
      <c r="D45">
        <v>2.95</v>
      </c>
      <c r="E45">
        <v>20</v>
      </c>
      <c r="F45">
        <v>12</v>
      </c>
      <c r="G45">
        <v>0.56747999999999998</v>
      </c>
      <c r="H45">
        <v>20</v>
      </c>
      <c r="I45">
        <v>12</v>
      </c>
      <c r="J45">
        <v>0.7</v>
      </c>
      <c r="K45">
        <v>610866474.3135457</v>
      </c>
      <c r="L45">
        <v>49299900</v>
      </c>
      <c r="M45">
        <v>79696220.933329597</v>
      </c>
      <c r="N45">
        <v>73528500</v>
      </c>
      <c r="O45">
        <v>17282673.040000003</v>
      </c>
      <c r="P45">
        <v>227.42372399999999</v>
      </c>
      <c r="Q45">
        <v>1.3531417820691372</v>
      </c>
      <c r="R45">
        <v>43.784959399999998</v>
      </c>
      <c r="S45">
        <v>782.81719499999997</v>
      </c>
      <c r="T45">
        <v>1.41980707E-13</v>
      </c>
      <c r="U45">
        <v>23.541392739140402</v>
      </c>
      <c r="V45">
        <v>91.850000000000009</v>
      </c>
      <c r="W45">
        <v>-238.4252927984536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930</v>
      </c>
      <c r="B46">
        <v>30</v>
      </c>
      <c r="C46">
        <v>19</v>
      </c>
      <c r="D46">
        <v>2.95</v>
      </c>
      <c r="E46">
        <v>20</v>
      </c>
      <c r="F46">
        <v>12</v>
      </c>
      <c r="G46">
        <v>0.56747999999999998</v>
      </c>
      <c r="H46">
        <v>20</v>
      </c>
      <c r="I46">
        <v>12</v>
      </c>
      <c r="J46">
        <v>0.7</v>
      </c>
      <c r="K46">
        <v>610867161.35227418</v>
      </c>
      <c r="L46">
        <v>49299900</v>
      </c>
      <c r="M46">
        <v>79696220.933329597</v>
      </c>
      <c r="N46">
        <v>73531300</v>
      </c>
      <c r="O46">
        <v>17282673.040000003</v>
      </c>
      <c r="P46">
        <v>227.38897900000001</v>
      </c>
      <c r="Q46">
        <v>1.35329623615677</v>
      </c>
      <c r="R46">
        <v>43.785619400000002</v>
      </c>
      <c r="S46">
        <v>782.800072</v>
      </c>
      <c r="T46">
        <v>5.8769866099999999E-13</v>
      </c>
      <c r="U46">
        <v>23.5397396312528</v>
      </c>
      <c r="V46">
        <v>91.850000000000009</v>
      </c>
      <c r="W46">
        <v>-238.4252927984536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930</v>
      </c>
      <c r="B47">
        <v>30</v>
      </c>
      <c r="C47">
        <v>15</v>
      </c>
      <c r="D47">
        <v>1</v>
      </c>
      <c r="E47">
        <v>20</v>
      </c>
      <c r="F47">
        <v>12</v>
      </c>
      <c r="G47">
        <v>0.56747999999999998</v>
      </c>
      <c r="H47">
        <v>20</v>
      </c>
      <c r="I47">
        <v>12</v>
      </c>
      <c r="J47">
        <v>0.7</v>
      </c>
      <c r="K47">
        <v>610431701.324422</v>
      </c>
      <c r="L47">
        <v>49282800</v>
      </c>
      <c r="M47">
        <v>79696020.773085326</v>
      </c>
      <c r="N47">
        <v>74253000</v>
      </c>
      <c r="O47">
        <v>17281605.039999999</v>
      </c>
      <c r="P47">
        <v>222.819998</v>
      </c>
      <c r="Q47">
        <v>1.3650826812922143</v>
      </c>
      <c r="R47">
        <v>43.746246900000003</v>
      </c>
      <c r="S47">
        <v>783.29193199999997</v>
      </c>
      <c r="T47">
        <v>1.0260813600000001E-12</v>
      </c>
      <c r="U47">
        <v>23.620713535834625</v>
      </c>
      <c r="V47">
        <v>80.72</v>
      </c>
      <c r="W47">
        <v>-238.4252927984536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930</v>
      </c>
      <c r="B48">
        <v>30</v>
      </c>
      <c r="C48">
        <v>15</v>
      </c>
      <c r="D48">
        <v>2.4</v>
      </c>
      <c r="E48">
        <v>20</v>
      </c>
      <c r="F48">
        <v>12</v>
      </c>
      <c r="G48">
        <v>0.56747999999999998</v>
      </c>
      <c r="H48">
        <v>20</v>
      </c>
      <c r="I48">
        <v>12</v>
      </c>
      <c r="J48">
        <v>0.7</v>
      </c>
      <c r="K48">
        <v>610721763.0552814</v>
      </c>
      <c r="L48">
        <v>49282100</v>
      </c>
      <c r="M48">
        <v>79696220.937232986</v>
      </c>
      <c r="N48">
        <v>73531900</v>
      </c>
      <c r="O48">
        <v>17282382.800000001</v>
      </c>
      <c r="P48">
        <v>227.42969199999999</v>
      </c>
      <c r="Q48">
        <v>1.3522628398857044</v>
      </c>
      <c r="R48">
        <v>43.783012599999999</v>
      </c>
      <c r="S48">
        <v>782.848388</v>
      </c>
      <c r="T48">
        <v>1.2515536499999999E-16</v>
      </c>
      <c r="U48">
        <v>23.545700710139204</v>
      </c>
      <c r="V48">
        <v>91.850000000000009</v>
      </c>
      <c r="W48">
        <v>-238.4252927984536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930</v>
      </c>
      <c r="B49">
        <v>30</v>
      </c>
      <c r="C49">
        <v>15</v>
      </c>
      <c r="D49">
        <v>3.8</v>
      </c>
      <c r="E49">
        <v>20</v>
      </c>
      <c r="F49">
        <v>12</v>
      </c>
      <c r="G49">
        <v>0.56747999999999998</v>
      </c>
      <c r="H49">
        <v>20</v>
      </c>
      <c r="I49">
        <v>12</v>
      </c>
      <c r="J49">
        <v>0.7</v>
      </c>
      <c r="K49">
        <v>611054069.81218863</v>
      </c>
      <c r="L49">
        <v>49298700</v>
      </c>
      <c r="M49">
        <v>79696320.937232986</v>
      </c>
      <c r="N49">
        <v>73522500</v>
      </c>
      <c r="O49">
        <v>17283123.599999998</v>
      </c>
      <c r="P49">
        <v>227.50386900000001</v>
      </c>
      <c r="Q49">
        <v>1.3533180052356573</v>
      </c>
      <c r="R49">
        <v>43.784099300000001</v>
      </c>
      <c r="S49">
        <v>782.84936100000004</v>
      </c>
      <c r="T49">
        <v>1.2654872100000001E-16</v>
      </c>
      <c r="U49">
        <v>23.544689470125103</v>
      </c>
      <c r="V49">
        <v>100.934</v>
      </c>
      <c r="W49">
        <v>-238.4252927984536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930</v>
      </c>
      <c r="B50">
        <v>30</v>
      </c>
      <c r="C50">
        <v>15</v>
      </c>
      <c r="D50">
        <v>5.1999999999999993</v>
      </c>
      <c r="E50">
        <v>20</v>
      </c>
      <c r="F50">
        <v>12</v>
      </c>
      <c r="G50">
        <v>0.56747999999999998</v>
      </c>
      <c r="H50">
        <v>20</v>
      </c>
      <c r="I50">
        <v>12</v>
      </c>
      <c r="J50">
        <v>0.7</v>
      </c>
      <c r="K50">
        <v>611393886.85201049</v>
      </c>
      <c r="L50">
        <v>49298700</v>
      </c>
      <c r="M50">
        <v>79696320.937232986</v>
      </c>
      <c r="N50">
        <v>73520700</v>
      </c>
      <c r="O50">
        <v>17283861.759999998</v>
      </c>
      <c r="P50">
        <v>227.524169</v>
      </c>
      <c r="Q50">
        <v>1.3542460824464331</v>
      </c>
      <c r="R50">
        <v>43.784575099999998</v>
      </c>
      <c r="S50">
        <v>782.84758699999998</v>
      </c>
      <c r="T50">
        <v>1.2691520199999999E-16</v>
      </c>
      <c r="U50">
        <v>23.544577168908003</v>
      </c>
      <c r="V50">
        <v>100.934</v>
      </c>
      <c r="W50">
        <v>-238.4252927984536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930</v>
      </c>
      <c r="B51">
        <v>30</v>
      </c>
      <c r="C51">
        <v>15</v>
      </c>
      <c r="D51">
        <v>6.6</v>
      </c>
      <c r="E51">
        <v>20</v>
      </c>
      <c r="F51">
        <v>12</v>
      </c>
      <c r="G51">
        <v>0.56747999999999998</v>
      </c>
      <c r="H51">
        <v>20</v>
      </c>
      <c r="I51">
        <v>12</v>
      </c>
      <c r="J51">
        <v>0.7</v>
      </c>
      <c r="K51">
        <v>611684807.45699191</v>
      </c>
      <c r="L51">
        <v>49315400</v>
      </c>
      <c r="M51">
        <v>79696320.937232986</v>
      </c>
      <c r="N51">
        <v>73520000</v>
      </c>
      <c r="O51">
        <v>17284598.32</v>
      </c>
      <c r="P51">
        <v>227.533984</v>
      </c>
      <c r="Q51">
        <v>1.3553932101847375</v>
      </c>
      <c r="R51">
        <v>43.784873599999997</v>
      </c>
      <c r="S51">
        <v>782.84585399999992</v>
      </c>
      <c r="T51">
        <v>1.2708197E-16</v>
      </c>
      <c r="U51">
        <v>23.544519634068202</v>
      </c>
      <c r="V51">
        <v>100.934</v>
      </c>
      <c r="W51">
        <v>-238.4252927984536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930</v>
      </c>
      <c r="B52">
        <v>30</v>
      </c>
      <c r="C52">
        <v>15</v>
      </c>
      <c r="D52">
        <v>8</v>
      </c>
      <c r="E52">
        <v>20</v>
      </c>
      <c r="F52">
        <v>12</v>
      </c>
      <c r="G52">
        <v>0.56747999999999998</v>
      </c>
      <c r="H52">
        <v>20</v>
      </c>
      <c r="I52">
        <v>12</v>
      </c>
      <c r="J52">
        <v>0.7</v>
      </c>
      <c r="K52">
        <v>611876762.25454926</v>
      </c>
      <c r="L52">
        <v>49313100</v>
      </c>
      <c r="M52">
        <v>79696320.937232986</v>
      </c>
      <c r="N52">
        <v>73519600</v>
      </c>
      <c r="O52">
        <v>17285331.920000002</v>
      </c>
      <c r="P52">
        <v>227.539863</v>
      </c>
      <c r="Q52">
        <v>1.3558940186694124</v>
      </c>
      <c r="R52">
        <v>43.785078499999997</v>
      </c>
      <c r="S52">
        <v>782.84447299999999</v>
      </c>
      <c r="T52">
        <v>1.2717746999999999E-16</v>
      </c>
      <c r="U52">
        <v>23.544478847813803</v>
      </c>
      <c r="V52">
        <v>100.934</v>
      </c>
      <c r="W52">
        <v>-238.4252927984536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930</v>
      </c>
      <c r="B53">
        <v>30</v>
      </c>
      <c r="C53">
        <v>15</v>
      </c>
      <c r="D53">
        <v>9.3999999999999986</v>
      </c>
      <c r="E53">
        <v>20</v>
      </c>
      <c r="F53">
        <v>12</v>
      </c>
      <c r="G53">
        <v>0.56747999999999998</v>
      </c>
      <c r="H53">
        <v>20</v>
      </c>
      <c r="I53">
        <v>12</v>
      </c>
      <c r="J53">
        <v>0.7</v>
      </c>
      <c r="K53">
        <v>612129736.70748913</v>
      </c>
      <c r="L53">
        <v>49330900</v>
      </c>
      <c r="M53">
        <v>79696320.937232986</v>
      </c>
      <c r="N53">
        <v>73519300</v>
      </c>
      <c r="O53">
        <v>17286066.399999999</v>
      </c>
      <c r="P53">
        <v>227.54379499999999</v>
      </c>
      <c r="Q53">
        <v>1.3569764529021688</v>
      </c>
      <c r="R53">
        <v>43.785227499999998</v>
      </c>
      <c r="S53">
        <v>782.8433970000001</v>
      </c>
      <c r="T53">
        <v>1.2723952299999999E-16</v>
      </c>
      <c r="U53">
        <v>23.544448944420402</v>
      </c>
      <c r="V53">
        <v>100.934</v>
      </c>
      <c r="W53">
        <v>-238.4252927984536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>
        <v>930</v>
      </c>
      <c r="B54">
        <v>30</v>
      </c>
      <c r="C54">
        <v>15</v>
      </c>
      <c r="D54">
        <v>10.799999999999999</v>
      </c>
      <c r="E54">
        <v>20</v>
      </c>
      <c r="F54">
        <v>12</v>
      </c>
      <c r="G54">
        <v>0.56747999999999998</v>
      </c>
      <c r="H54">
        <v>20</v>
      </c>
      <c r="I54">
        <v>12</v>
      </c>
      <c r="J54">
        <v>0.7</v>
      </c>
      <c r="K54">
        <v>612418718.01759565</v>
      </c>
      <c r="L54">
        <v>49319400</v>
      </c>
      <c r="M54">
        <v>79696320.937232986</v>
      </c>
      <c r="N54">
        <v>73519200</v>
      </c>
      <c r="O54">
        <v>17286798.719999999</v>
      </c>
      <c r="P54">
        <v>227.546627</v>
      </c>
      <c r="Q54">
        <v>1.357600544784648</v>
      </c>
      <c r="R54">
        <v>43.785340499999997</v>
      </c>
      <c r="S54">
        <v>782.84254499999997</v>
      </c>
      <c r="T54">
        <v>1.27283163E-16</v>
      </c>
      <c r="U54">
        <v>23.544425234648404</v>
      </c>
      <c r="V54">
        <v>100.934</v>
      </c>
      <c r="W54">
        <v>-238.4252927984536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930</v>
      </c>
      <c r="B55">
        <v>30</v>
      </c>
      <c r="C55">
        <v>15</v>
      </c>
      <c r="D55">
        <v>12.2</v>
      </c>
      <c r="E55">
        <v>20</v>
      </c>
      <c r="F55">
        <v>12</v>
      </c>
      <c r="G55">
        <v>0.56747999999999998</v>
      </c>
      <c r="H55">
        <v>20</v>
      </c>
      <c r="I55">
        <v>12</v>
      </c>
      <c r="J55">
        <v>0.7</v>
      </c>
      <c r="K55">
        <v>612530704.32520533</v>
      </c>
      <c r="L55">
        <v>49317100</v>
      </c>
      <c r="M55">
        <v>79696320.937232986</v>
      </c>
      <c r="N55">
        <v>73519100</v>
      </c>
      <c r="O55">
        <v>17287529.279999997</v>
      </c>
      <c r="P55">
        <v>227.54876400000001</v>
      </c>
      <c r="Q55">
        <v>1.3578792091723928</v>
      </c>
      <c r="R55">
        <v>43.785429000000001</v>
      </c>
      <c r="S55">
        <v>782.84254499999997</v>
      </c>
      <c r="T55">
        <v>1.2731557E-16</v>
      </c>
      <c r="U55">
        <v>23.544406332276601</v>
      </c>
      <c r="V55">
        <v>100.934</v>
      </c>
      <c r="W55">
        <v>-238.4252927984536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930</v>
      </c>
      <c r="B56">
        <v>30</v>
      </c>
      <c r="C56">
        <v>15</v>
      </c>
      <c r="D56">
        <v>13.6</v>
      </c>
      <c r="E56">
        <v>20</v>
      </c>
      <c r="F56">
        <v>12</v>
      </c>
      <c r="G56">
        <v>0.56747999999999998</v>
      </c>
      <c r="H56">
        <v>20</v>
      </c>
      <c r="I56">
        <v>12</v>
      </c>
      <c r="J56">
        <v>0.7</v>
      </c>
      <c r="K56">
        <v>612859692.25659192</v>
      </c>
      <c r="L56">
        <v>49334800</v>
      </c>
      <c r="M56">
        <v>79696320.937232986</v>
      </c>
      <c r="N56">
        <v>73519000</v>
      </c>
      <c r="O56">
        <v>17288257.440000001</v>
      </c>
      <c r="P56">
        <v>227.550444</v>
      </c>
      <c r="Q56">
        <v>1.3591959684949733</v>
      </c>
      <c r="R56">
        <v>43.785500200000001</v>
      </c>
      <c r="S56">
        <v>782.84129800000005</v>
      </c>
      <c r="T56">
        <v>1.27340621E-16</v>
      </c>
      <c r="U56">
        <v>23.544390298913704</v>
      </c>
      <c r="V56">
        <v>100.934</v>
      </c>
      <c r="W56">
        <v>-238.4252927984536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930</v>
      </c>
      <c r="B57">
        <v>30</v>
      </c>
      <c r="C57">
        <v>15</v>
      </c>
      <c r="D57">
        <v>15</v>
      </c>
      <c r="E57">
        <v>20</v>
      </c>
      <c r="F57">
        <v>12</v>
      </c>
      <c r="G57">
        <v>0.56747999999999998</v>
      </c>
      <c r="H57">
        <v>20</v>
      </c>
      <c r="I57">
        <v>12</v>
      </c>
      <c r="J57">
        <v>0.7</v>
      </c>
      <c r="K57">
        <v>613155685.87668407</v>
      </c>
      <c r="L57">
        <v>49334800</v>
      </c>
      <c r="M57">
        <v>79696320.937232986</v>
      </c>
      <c r="N57">
        <v>73518900</v>
      </c>
      <c r="O57">
        <v>17288986.32</v>
      </c>
      <c r="P57">
        <v>227.55178699999999</v>
      </c>
      <c r="Q57">
        <v>1.3600729241192642</v>
      </c>
      <c r="R57">
        <v>43.785558600000002</v>
      </c>
      <c r="S57">
        <v>782.84129800000005</v>
      </c>
      <c r="T57">
        <v>1.27360586E-16</v>
      </c>
      <c r="U57">
        <v>23.544377775331903</v>
      </c>
      <c r="V57">
        <v>100.934</v>
      </c>
      <c r="W57">
        <v>-238.4252927984536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930</v>
      </c>
      <c r="B58">
        <v>30</v>
      </c>
      <c r="C58">
        <v>15</v>
      </c>
      <c r="D58">
        <v>2.95</v>
      </c>
      <c r="E58">
        <v>10</v>
      </c>
      <c r="F58">
        <v>12</v>
      </c>
      <c r="G58">
        <v>0.56747999999999998</v>
      </c>
      <c r="H58">
        <v>20</v>
      </c>
      <c r="I58">
        <v>12</v>
      </c>
      <c r="J58">
        <v>0.7</v>
      </c>
      <c r="K58">
        <v>613155685.87668407</v>
      </c>
      <c r="L58">
        <v>49334800</v>
      </c>
      <c r="M58">
        <v>79696320.937232986</v>
      </c>
      <c r="N58">
        <v>73518900</v>
      </c>
      <c r="O58">
        <v>17288986.32</v>
      </c>
      <c r="P58">
        <v>227.55178699999999</v>
      </c>
      <c r="Q58">
        <v>1.3600729241192642</v>
      </c>
      <c r="R58">
        <v>43.785558600000002</v>
      </c>
      <c r="S58">
        <v>782.84129800000005</v>
      </c>
      <c r="T58">
        <v>1.27360586E-16</v>
      </c>
      <c r="U58">
        <v>23.544377775331903</v>
      </c>
      <c r="V58">
        <v>100.934</v>
      </c>
      <c r="W58">
        <v>-238.4252927984536</v>
      </c>
      <c r="X58">
        <v>99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930</v>
      </c>
      <c r="B59">
        <v>30</v>
      </c>
      <c r="C59">
        <v>15</v>
      </c>
      <c r="D59">
        <v>2.95</v>
      </c>
      <c r="E59">
        <v>12</v>
      </c>
      <c r="F59">
        <v>12</v>
      </c>
      <c r="G59">
        <v>0.56747999999999998</v>
      </c>
      <c r="H59">
        <v>20</v>
      </c>
      <c r="I59">
        <v>12</v>
      </c>
      <c r="J59">
        <v>0.7</v>
      </c>
      <c r="K59">
        <v>613155685.87668407</v>
      </c>
      <c r="L59">
        <v>49334800</v>
      </c>
      <c r="M59">
        <v>79696320.937232986</v>
      </c>
      <c r="N59">
        <v>73518900</v>
      </c>
      <c r="O59">
        <v>17288986.32</v>
      </c>
      <c r="P59">
        <v>227.55178699999999</v>
      </c>
      <c r="Q59">
        <v>1.3600729241192642</v>
      </c>
      <c r="R59">
        <v>43.785558600000002</v>
      </c>
      <c r="S59">
        <v>782.84129800000005</v>
      </c>
      <c r="T59">
        <v>1.27360586E-16</v>
      </c>
      <c r="U59">
        <v>23.544377775331903</v>
      </c>
      <c r="V59">
        <v>100.934</v>
      </c>
      <c r="W59">
        <v>-238.4252927984536</v>
      </c>
      <c r="X59">
        <v>99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1" spans="1:32">
      <c r="A61">
        <v>930</v>
      </c>
      <c r="B61">
        <v>30</v>
      </c>
      <c r="C61">
        <v>15</v>
      </c>
      <c r="D61">
        <v>2.95</v>
      </c>
      <c r="E61">
        <v>14</v>
      </c>
      <c r="F61">
        <v>12</v>
      </c>
      <c r="G61">
        <v>0.56747999999999998</v>
      </c>
      <c r="H61">
        <v>20</v>
      </c>
      <c r="I61">
        <v>12</v>
      </c>
      <c r="J61">
        <v>0.7</v>
      </c>
      <c r="K61">
        <v>611054053.00232852</v>
      </c>
      <c r="L61">
        <v>49280500</v>
      </c>
      <c r="M61">
        <v>79694720.070270404</v>
      </c>
      <c r="N61">
        <v>70293400</v>
      </c>
      <c r="O61">
        <v>17282521.039999999</v>
      </c>
      <c r="P61">
        <v>230.318262</v>
      </c>
      <c r="Q61">
        <v>1.398321931635008</v>
      </c>
      <c r="R61">
        <v>43.507361400000001</v>
      </c>
      <c r="S61">
        <v>782.51059700000008</v>
      </c>
      <c r="T61">
        <v>2.0983508400000001E-15</v>
      </c>
      <c r="U61">
        <v>22.475316301175074</v>
      </c>
      <c r="V61">
        <v>91.850000000000009</v>
      </c>
      <c r="W61">
        <v>-238.4252927984536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930</v>
      </c>
      <c r="B62">
        <v>30</v>
      </c>
      <c r="C62">
        <v>15</v>
      </c>
      <c r="D62">
        <v>2.95</v>
      </c>
      <c r="E62">
        <v>16</v>
      </c>
      <c r="F62">
        <v>12</v>
      </c>
      <c r="G62">
        <v>0.56747999999999998</v>
      </c>
      <c r="H62">
        <v>20</v>
      </c>
      <c r="I62">
        <v>12</v>
      </c>
      <c r="J62">
        <v>0.7</v>
      </c>
      <c r="K62">
        <v>610848754.34836149</v>
      </c>
      <c r="L62">
        <v>49281400</v>
      </c>
      <c r="M62">
        <v>79695520.505395219</v>
      </c>
      <c r="N62">
        <v>72133100</v>
      </c>
      <c r="O62">
        <v>17282586.16</v>
      </c>
      <c r="P62">
        <v>228.57394600000001</v>
      </c>
      <c r="Q62">
        <v>1.3728713397016201</v>
      </c>
      <c r="R62">
        <v>43.6648864</v>
      </c>
      <c r="S62">
        <v>782.48382600000002</v>
      </c>
      <c r="T62">
        <v>5.23518124E-16</v>
      </c>
      <c r="U62">
        <v>22.999051483406515</v>
      </c>
      <c r="V62">
        <v>91.850000000000009</v>
      </c>
      <c r="W62">
        <v>-238.4252927984536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930</v>
      </c>
      <c r="B63">
        <v>30</v>
      </c>
      <c r="C63">
        <v>15</v>
      </c>
      <c r="D63">
        <v>2.95</v>
      </c>
      <c r="E63">
        <v>18</v>
      </c>
      <c r="F63">
        <v>12</v>
      </c>
      <c r="G63">
        <v>0.56747999999999998</v>
      </c>
      <c r="H63">
        <v>20</v>
      </c>
      <c r="I63">
        <v>12</v>
      </c>
      <c r="J63">
        <v>0.7</v>
      </c>
      <c r="K63">
        <v>610874082.45283902</v>
      </c>
      <c r="L63">
        <v>49281800</v>
      </c>
      <c r="M63">
        <v>79695920.725628376</v>
      </c>
      <c r="N63">
        <v>72980300</v>
      </c>
      <c r="O63">
        <v>17282629.84</v>
      </c>
      <c r="P63">
        <v>227.84868700000001</v>
      </c>
      <c r="Q63">
        <v>1.3609108485070753</v>
      </c>
      <c r="R63">
        <v>43.739897300000003</v>
      </c>
      <c r="S63">
        <v>782.701819</v>
      </c>
      <c r="T63">
        <v>2.2216741999999999E-16</v>
      </c>
      <c r="U63">
        <v>23.327949788300806</v>
      </c>
      <c r="V63">
        <v>91.850000000000009</v>
      </c>
      <c r="W63">
        <v>-238.4252927984536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930</v>
      </c>
      <c r="B64">
        <v>30</v>
      </c>
      <c r="C64">
        <v>15</v>
      </c>
      <c r="D64">
        <v>2.95</v>
      </c>
      <c r="E64">
        <v>20</v>
      </c>
      <c r="F64">
        <v>12</v>
      </c>
      <c r="G64">
        <v>0.56747999999999998</v>
      </c>
      <c r="H64">
        <v>20</v>
      </c>
      <c r="I64">
        <v>12</v>
      </c>
      <c r="J64">
        <v>0.7</v>
      </c>
      <c r="K64">
        <v>610865371.9778471</v>
      </c>
      <c r="L64">
        <v>49299900</v>
      </c>
      <c r="M64">
        <v>79696320.939287394</v>
      </c>
      <c r="N64">
        <v>73525800</v>
      </c>
      <c r="O64">
        <v>17282674.399999999</v>
      </c>
      <c r="P64">
        <v>227.47461899999999</v>
      </c>
      <c r="Q64">
        <v>1.3528881372543466</v>
      </c>
      <c r="R64">
        <v>43.783614</v>
      </c>
      <c r="S64">
        <v>782.84949400000005</v>
      </c>
      <c r="T64">
        <v>1.2599722000000001E-16</v>
      </c>
      <c r="U64">
        <v>23.5449387781536</v>
      </c>
      <c r="V64">
        <v>91.850000000000009</v>
      </c>
      <c r="W64">
        <v>-238.4252927984536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930</v>
      </c>
      <c r="B65">
        <v>30</v>
      </c>
      <c r="C65">
        <v>15</v>
      </c>
      <c r="D65">
        <v>2.95</v>
      </c>
      <c r="E65">
        <v>21</v>
      </c>
      <c r="F65">
        <v>12</v>
      </c>
      <c r="G65">
        <v>0.56747999999999998</v>
      </c>
      <c r="H65">
        <v>20</v>
      </c>
      <c r="I65">
        <v>12</v>
      </c>
      <c r="J65">
        <v>0.7</v>
      </c>
      <c r="K65">
        <v>610880473.79301798</v>
      </c>
      <c r="L65">
        <v>49300100</v>
      </c>
      <c r="M65">
        <v>79696421.033790424</v>
      </c>
      <c r="N65">
        <v>73723200</v>
      </c>
      <c r="O65">
        <v>17282695.84</v>
      </c>
      <c r="P65">
        <v>227.356233</v>
      </c>
      <c r="Q65">
        <v>1.3498088594261439</v>
      </c>
      <c r="R65">
        <v>43.799121999999997</v>
      </c>
      <c r="S65">
        <v>782.89291700000001</v>
      </c>
      <c r="T65">
        <v>1.02141923E-16</v>
      </c>
      <c r="U65">
        <v>23.6262515391176</v>
      </c>
      <c r="V65">
        <v>91.850000000000009</v>
      </c>
      <c r="W65">
        <v>-238.4252927984536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930</v>
      </c>
      <c r="B66">
        <v>30</v>
      </c>
      <c r="C66">
        <v>15</v>
      </c>
      <c r="D66">
        <v>2.95</v>
      </c>
      <c r="E66">
        <v>23</v>
      </c>
      <c r="F66">
        <v>12</v>
      </c>
      <c r="G66">
        <v>0.56747999999999998</v>
      </c>
      <c r="H66">
        <v>20</v>
      </c>
      <c r="I66">
        <v>12</v>
      </c>
      <c r="J66">
        <v>0.7</v>
      </c>
      <c r="K66">
        <v>610907365.37467265</v>
      </c>
      <c r="L66">
        <v>49300300</v>
      </c>
      <c r="M66">
        <v>79696621.205950305</v>
      </c>
      <c r="N66">
        <v>74016800</v>
      </c>
      <c r="O66">
        <v>17282736.560000002</v>
      </c>
      <c r="P66">
        <v>227.19660200000001</v>
      </c>
      <c r="Q66">
        <v>1.3451369554553811</v>
      </c>
      <c r="R66">
        <v>43.822090099999997</v>
      </c>
      <c r="S66">
        <v>782.94063000000006</v>
      </c>
      <c r="T66">
        <v>7.4577559300000003E-17</v>
      </c>
      <c r="U66">
        <v>23.752020783429671</v>
      </c>
      <c r="V66">
        <v>91.850000000000009</v>
      </c>
      <c r="W66">
        <v>-238.4252927984536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930</v>
      </c>
      <c r="B67">
        <v>30</v>
      </c>
      <c r="C67">
        <v>15</v>
      </c>
      <c r="D67">
        <v>2.95</v>
      </c>
      <c r="E67">
        <v>25</v>
      </c>
      <c r="F67">
        <v>12</v>
      </c>
      <c r="G67">
        <v>0.56747999999999998</v>
      </c>
      <c r="H67">
        <v>20</v>
      </c>
      <c r="I67">
        <v>12</v>
      </c>
      <c r="J67">
        <v>0.7</v>
      </c>
      <c r="K67">
        <v>610916144.76033771</v>
      </c>
      <c r="L67">
        <v>49300500</v>
      </c>
      <c r="M67">
        <v>79696821.340103507</v>
      </c>
      <c r="N67">
        <v>74218100</v>
      </c>
      <c r="O67">
        <v>17282768.719999999</v>
      </c>
      <c r="P67">
        <v>227.09983399999999</v>
      </c>
      <c r="Q67">
        <v>1.341827407675134</v>
      </c>
      <c r="R67">
        <v>43.837704199999997</v>
      </c>
      <c r="S67">
        <v>782.95908400000008</v>
      </c>
      <c r="T67">
        <v>6.0247392099999999E-17</v>
      </c>
      <c r="U67">
        <v>23.842850323918523</v>
      </c>
      <c r="V67">
        <v>91.850000000000009</v>
      </c>
      <c r="W67">
        <v>-238.4252927984536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930</v>
      </c>
      <c r="B68">
        <v>30</v>
      </c>
      <c r="C68">
        <v>15</v>
      </c>
      <c r="D68">
        <v>2.95</v>
      </c>
      <c r="E68">
        <v>27</v>
      </c>
      <c r="F68">
        <v>12</v>
      </c>
      <c r="G68">
        <v>0.56747999999999998</v>
      </c>
      <c r="H68">
        <v>20</v>
      </c>
      <c r="I68">
        <v>12</v>
      </c>
      <c r="J68">
        <v>0.7</v>
      </c>
      <c r="K68">
        <v>610968172.55561316</v>
      </c>
      <c r="L68">
        <v>49300600</v>
      </c>
      <c r="M68">
        <v>79696921.443645969</v>
      </c>
      <c r="N68">
        <v>74358300</v>
      </c>
      <c r="O68">
        <v>17282793.68</v>
      </c>
      <c r="P68">
        <v>227.038805</v>
      </c>
      <c r="Q68">
        <v>1.339619682003353</v>
      </c>
      <c r="R68">
        <v>43.848461999999998</v>
      </c>
      <c r="S68">
        <v>782.96479599999998</v>
      </c>
      <c r="T68">
        <v>5.20958995E-17</v>
      </c>
      <c r="U68">
        <v>23.90943591703796</v>
      </c>
      <c r="V68">
        <v>91.850000000000009</v>
      </c>
      <c r="W68">
        <v>-238.4252927984536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930</v>
      </c>
      <c r="B69">
        <v>30</v>
      </c>
      <c r="C69">
        <v>15</v>
      </c>
      <c r="D69">
        <v>2.95</v>
      </c>
      <c r="E69">
        <v>29</v>
      </c>
      <c r="F69">
        <v>12</v>
      </c>
      <c r="G69">
        <v>0.56747999999999998</v>
      </c>
      <c r="H69">
        <v>20</v>
      </c>
      <c r="I69">
        <v>12</v>
      </c>
      <c r="J69">
        <v>0.7</v>
      </c>
      <c r="K69">
        <v>611015814.91576636</v>
      </c>
      <c r="L69">
        <v>49300700</v>
      </c>
      <c r="M69">
        <v>79697021.521097362</v>
      </c>
      <c r="N69">
        <v>74456100</v>
      </c>
      <c r="O69">
        <v>17282812.559999999</v>
      </c>
      <c r="P69">
        <v>226.99914799999999</v>
      </c>
      <c r="Q69">
        <v>1.3380962687131046</v>
      </c>
      <c r="R69">
        <v>43.855905800000002</v>
      </c>
      <c r="S69">
        <v>782.96479599999998</v>
      </c>
      <c r="T69">
        <v>4.7171010799999998E-17</v>
      </c>
      <c r="U69">
        <v>23.958269483922138</v>
      </c>
      <c r="V69">
        <v>91.850000000000009</v>
      </c>
      <c r="W69">
        <v>-238.4252927984536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930</v>
      </c>
      <c r="B70">
        <v>30</v>
      </c>
      <c r="C70">
        <v>15</v>
      </c>
      <c r="D70">
        <v>2.95</v>
      </c>
      <c r="E70">
        <v>20</v>
      </c>
      <c r="F70">
        <v>5</v>
      </c>
      <c r="G70">
        <v>0.56747999999999998</v>
      </c>
      <c r="H70">
        <v>20</v>
      </c>
      <c r="I70">
        <v>12</v>
      </c>
      <c r="J70">
        <v>0.7</v>
      </c>
      <c r="K70">
        <v>610865722.86934018</v>
      </c>
      <c r="L70">
        <v>49299900</v>
      </c>
      <c r="M70">
        <v>79696320.947915941</v>
      </c>
      <c r="N70">
        <v>73544600</v>
      </c>
      <c r="O70">
        <v>17282676.32</v>
      </c>
      <c r="P70">
        <v>227.74886799999999</v>
      </c>
      <c r="Q70">
        <v>1.3508956811706083</v>
      </c>
      <c r="R70">
        <v>43.796829099999997</v>
      </c>
      <c r="S70">
        <v>782.34419700000001</v>
      </c>
      <c r="T70">
        <v>8.4827294899999997E-10</v>
      </c>
      <c r="U70">
        <v>23.439621809734952</v>
      </c>
      <c r="V70">
        <v>91.850000000000009</v>
      </c>
      <c r="W70">
        <v>-238.4252927984536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930</v>
      </c>
      <c r="B71">
        <v>30</v>
      </c>
      <c r="C71">
        <v>15</v>
      </c>
      <c r="D71">
        <v>2.95</v>
      </c>
      <c r="E71">
        <v>20</v>
      </c>
      <c r="F71">
        <v>6</v>
      </c>
      <c r="G71">
        <v>0.56747999999999998</v>
      </c>
      <c r="H71">
        <v>20</v>
      </c>
      <c r="I71">
        <v>12</v>
      </c>
      <c r="J71">
        <v>0.7</v>
      </c>
      <c r="K71">
        <v>610859072.8784349</v>
      </c>
      <c r="L71">
        <v>49300100</v>
      </c>
      <c r="M71">
        <v>79696421.051252946</v>
      </c>
      <c r="N71">
        <v>73748900</v>
      </c>
      <c r="O71">
        <v>17282700.16</v>
      </c>
      <c r="P71">
        <v>227.60843800000001</v>
      </c>
      <c r="Q71">
        <v>1.3477509163132662</v>
      </c>
      <c r="R71">
        <v>43.807636100000003</v>
      </c>
      <c r="S71">
        <v>782.442407</v>
      </c>
      <c r="T71">
        <v>7.9184548900000004E-11</v>
      </c>
      <c r="U71">
        <v>23.553060353996834</v>
      </c>
      <c r="V71">
        <v>91.850000000000009</v>
      </c>
      <c r="W71">
        <v>-238.4252927984536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930</v>
      </c>
      <c r="B72">
        <v>30</v>
      </c>
      <c r="C72">
        <v>15</v>
      </c>
      <c r="D72">
        <v>2.95</v>
      </c>
      <c r="E72">
        <v>20</v>
      </c>
      <c r="F72">
        <v>7</v>
      </c>
      <c r="G72">
        <v>0.56747999999999998</v>
      </c>
      <c r="H72">
        <v>20</v>
      </c>
      <c r="I72">
        <v>12</v>
      </c>
      <c r="J72">
        <v>0.7</v>
      </c>
      <c r="K72">
        <v>610850129.19042635</v>
      </c>
      <c r="L72">
        <v>49300200</v>
      </c>
      <c r="M72">
        <v>79696521.108981967</v>
      </c>
      <c r="N72">
        <v>73853100</v>
      </c>
      <c r="O72">
        <v>17282700.16</v>
      </c>
      <c r="P72">
        <v>227.50697</v>
      </c>
      <c r="Q72">
        <v>1.3463054628606881</v>
      </c>
      <c r="R72">
        <v>43.812802599999998</v>
      </c>
      <c r="S72">
        <v>782.54326399999991</v>
      </c>
      <c r="T72">
        <v>7.5785414399999997E-12</v>
      </c>
      <c r="U72">
        <v>23.621109007359902</v>
      </c>
      <c r="V72">
        <v>91.850000000000009</v>
      </c>
      <c r="W72">
        <v>-238.4252927984536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930</v>
      </c>
      <c r="B73">
        <v>30</v>
      </c>
      <c r="C73">
        <v>15</v>
      </c>
      <c r="D73">
        <v>2.95</v>
      </c>
      <c r="E73">
        <v>20</v>
      </c>
      <c r="F73">
        <v>8</v>
      </c>
      <c r="G73">
        <v>0.56747999999999998</v>
      </c>
      <c r="H73">
        <v>20</v>
      </c>
      <c r="I73">
        <v>12</v>
      </c>
      <c r="J73">
        <v>0.7</v>
      </c>
      <c r="K73">
        <v>610847161.94229102</v>
      </c>
      <c r="L73">
        <v>49300200</v>
      </c>
      <c r="M73">
        <v>79696521.108981967</v>
      </c>
      <c r="N73">
        <v>73888100</v>
      </c>
      <c r="O73">
        <v>17282718.400000002</v>
      </c>
      <c r="P73">
        <v>227.43739600000001</v>
      </c>
      <c r="Q73">
        <v>1.3460291301310983</v>
      </c>
      <c r="R73">
        <v>43.813831100000002</v>
      </c>
      <c r="S73">
        <v>782.63718500000004</v>
      </c>
      <c r="T73">
        <v>7.4855933499999999E-13</v>
      </c>
      <c r="U73">
        <v>23.655425139333499</v>
      </c>
      <c r="V73">
        <v>91.850000000000009</v>
      </c>
      <c r="W73">
        <v>-238.4252927984536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930</v>
      </c>
      <c r="B74">
        <v>30</v>
      </c>
      <c r="C74">
        <v>15</v>
      </c>
      <c r="D74">
        <v>2.95</v>
      </c>
      <c r="E74">
        <v>20</v>
      </c>
      <c r="F74">
        <v>9</v>
      </c>
      <c r="G74">
        <v>0.56747999999999998</v>
      </c>
      <c r="H74">
        <v>20</v>
      </c>
      <c r="I74">
        <v>12</v>
      </c>
      <c r="J74">
        <v>0.7</v>
      </c>
      <c r="K74">
        <v>610848953.28656805</v>
      </c>
      <c r="L74">
        <v>49300200</v>
      </c>
      <c r="M74">
        <v>79696521.108981967</v>
      </c>
      <c r="N74">
        <v>73869000</v>
      </c>
      <c r="O74">
        <v>17282718.400000002</v>
      </c>
      <c r="P74">
        <v>227.396961</v>
      </c>
      <c r="Q74">
        <v>1.3466446029853874</v>
      </c>
      <c r="R74">
        <v>43.811390699999997</v>
      </c>
      <c r="S74">
        <v>782.71939999999995</v>
      </c>
      <c r="T74">
        <v>7.7057167099999998E-14</v>
      </c>
      <c r="U74">
        <v>23.662624295410449</v>
      </c>
      <c r="V74">
        <v>91.850000000000009</v>
      </c>
      <c r="W74">
        <v>-238.4252927984536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930</v>
      </c>
      <c r="B75">
        <v>30</v>
      </c>
      <c r="C75">
        <v>15</v>
      </c>
      <c r="D75">
        <v>2.95</v>
      </c>
      <c r="E75">
        <v>20</v>
      </c>
      <c r="F75">
        <v>10</v>
      </c>
      <c r="G75">
        <v>0.56747999999999998</v>
      </c>
      <c r="H75">
        <v>20</v>
      </c>
      <c r="I75">
        <v>12</v>
      </c>
      <c r="J75">
        <v>0.7</v>
      </c>
      <c r="K75">
        <v>610854619.80588269</v>
      </c>
      <c r="L75">
        <v>49300100</v>
      </c>
      <c r="M75">
        <v>79696521.108981967</v>
      </c>
      <c r="N75">
        <v>73802400</v>
      </c>
      <c r="O75">
        <v>17282718.400000002</v>
      </c>
      <c r="P75">
        <v>227.386279</v>
      </c>
      <c r="Q75">
        <v>1.3480157730261662</v>
      </c>
      <c r="R75">
        <v>43.8056859</v>
      </c>
      <c r="S75">
        <v>782.78592600000002</v>
      </c>
      <c r="T75">
        <v>8.3785764400000004E-15</v>
      </c>
      <c r="U75">
        <v>23.646164310070581</v>
      </c>
      <c r="V75">
        <v>91.850000000000009</v>
      </c>
      <c r="W75">
        <v>-238.4252927984536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930</v>
      </c>
      <c r="B76">
        <v>30</v>
      </c>
      <c r="C76">
        <v>15</v>
      </c>
      <c r="D76">
        <v>2.95</v>
      </c>
      <c r="E76">
        <v>20</v>
      </c>
      <c r="F76">
        <v>10</v>
      </c>
      <c r="G76">
        <v>0.56747999999999998</v>
      </c>
      <c r="H76">
        <v>20</v>
      </c>
      <c r="I76">
        <v>12</v>
      </c>
      <c r="J76">
        <v>0.7</v>
      </c>
      <c r="K76">
        <v>610854619.80588269</v>
      </c>
      <c r="L76">
        <v>49300100</v>
      </c>
      <c r="M76">
        <v>79696521.108981967</v>
      </c>
      <c r="N76">
        <v>73802400</v>
      </c>
      <c r="O76">
        <v>17282718.400000002</v>
      </c>
      <c r="P76">
        <v>227.386279</v>
      </c>
      <c r="Q76">
        <v>1.3480157730261662</v>
      </c>
      <c r="R76">
        <v>43.8056859</v>
      </c>
      <c r="S76">
        <v>782.78592600000002</v>
      </c>
      <c r="T76">
        <v>8.3785764400000004E-15</v>
      </c>
      <c r="U76">
        <v>23.646164310070581</v>
      </c>
      <c r="V76">
        <v>91.850000000000009</v>
      </c>
      <c r="W76">
        <v>-238.4252927984536</v>
      </c>
      <c r="X76">
        <v>99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930</v>
      </c>
      <c r="B77">
        <v>30</v>
      </c>
      <c r="C77">
        <v>15</v>
      </c>
      <c r="D77">
        <v>2.95</v>
      </c>
      <c r="E77">
        <v>20</v>
      </c>
      <c r="F77">
        <v>11</v>
      </c>
      <c r="G77">
        <v>0.56747999999999998</v>
      </c>
      <c r="H77">
        <v>20</v>
      </c>
      <c r="I77">
        <v>12</v>
      </c>
      <c r="J77">
        <v>0.7</v>
      </c>
      <c r="K77">
        <v>610864347.60282588</v>
      </c>
      <c r="L77">
        <v>49300000</v>
      </c>
      <c r="M77">
        <v>79696421.01961498</v>
      </c>
      <c r="N77">
        <v>73689400</v>
      </c>
      <c r="O77">
        <v>17282692.800000001</v>
      </c>
      <c r="P77">
        <v>227.409412</v>
      </c>
      <c r="Q77">
        <v>1.3500992363528692</v>
      </c>
      <c r="R77">
        <v>43.796582399999998</v>
      </c>
      <c r="S77">
        <v>782.83171100000004</v>
      </c>
      <c r="T77">
        <v>9.7957601299999992E-16</v>
      </c>
      <c r="U77">
        <v>23.607210612653461</v>
      </c>
      <c r="V77">
        <v>91.850000000000009</v>
      </c>
      <c r="W77">
        <v>-238.4252927984536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930</v>
      </c>
      <c r="B78">
        <v>30</v>
      </c>
      <c r="C78">
        <v>15</v>
      </c>
      <c r="D78">
        <v>2.95</v>
      </c>
      <c r="E78">
        <v>20</v>
      </c>
      <c r="F78">
        <v>12</v>
      </c>
      <c r="G78">
        <v>0.56747999999999998</v>
      </c>
      <c r="H78">
        <v>20</v>
      </c>
      <c r="I78">
        <v>12</v>
      </c>
      <c r="J78">
        <v>0.7</v>
      </c>
      <c r="K78">
        <v>610865371.9778471</v>
      </c>
      <c r="L78">
        <v>49299900</v>
      </c>
      <c r="M78">
        <v>79696320.939287394</v>
      </c>
      <c r="N78">
        <v>73525800</v>
      </c>
      <c r="O78">
        <v>17282674.399999999</v>
      </c>
      <c r="P78">
        <v>227.47461899999999</v>
      </c>
      <c r="Q78">
        <v>1.3528881372543466</v>
      </c>
      <c r="R78">
        <v>43.783614</v>
      </c>
      <c r="S78">
        <v>782.84949400000005</v>
      </c>
      <c r="T78">
        <v>1.2599722000000001E-16</v>
      </c>
      <c r="U78">
        <v>23.5449387781536</v>
      </c>
      <c r="V78">
        <v>91.850000000000009</v>
      </c>
      <c r="W78">
        <v>-238.4252927984536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930</v>
      </c>
      <c r="B79">
        <v>30</v>
      </c>
      <c r="C79">
        <v>15</v>
      </c>
      <c r="D79">
        <v>2.95</v>
      </c>
      <c r="E79">
        <v>20</v>
      </c>
      <c r="F79">
        <v>13</v>
      </c>
      <c r="G79">
        <v>0.56747999999999998</v>
      </c>
      <c r="H79">
        <v>20</v>
      </c>
      <c r="I79">
        <v>12</v>
      </c>
      <c r="J79">
        <v>0.7</v>
      </c>
      <c r="K79">
        <v>610895441.72774482</v>
      </c>
      <c r="L79">
        <v>49299800</v>
      </c>
      <c r="M79">
        <v>79696120.839648336</v>
      </c>
      <c r="N79">
        <v>73302800</v>
      </c>
      <c r="O79">
        <v>17282651.600000001</v>
      </c>
      <c r="P79">
        <v>227.59557699999999</v>
      </c>
      <c r="Q79">
        <v>1.3565820881301496</v>
      </c>
      <c r="R79">
        <v>43.765918200000002</v>
      </c>
      <c r="S79">
        <v>782.82961899999998</v>
      </c>
      <c r="T79">
        <v>1.8317969400000001E-17</v>
      </c>
      <c r="U79">
        <v>23.456631967653763</v>
      </c>
      <c r="V79">
        <v>91.850000000000009</v>
      </c>
      <c r="W79">
        <v>-238.4252927984536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930</v>
      </c>
      <c r="B80">
        <v>30</v>
      </c>
      <c r="C80">
        <v>15</v>
      </c>
      <c r="D80">
        <v>2.95</v>
      </c>
      <c r="E80">
        <v>20</v>
      </c>
      <c r="F80">
        <v>14</v>
      </c>
      <c r="G80">
        <v>0.56747999999999998</v>
      </c>
      <c r="H80">
        <v>20</v>
      </c>
      <c r="I80">
        <v>12</v>
      </c>
      <c r="J80">
        <v>0.7</v>
      </c>
      <c r="K80">
        <v>610920504.09804666</v>
      </c>
      <c r="L80">
        <v>49299600</v>
      </c>
      <c r="M80">
        <v>79695920.734667793</v>
      </c>
      <c r="N80">
        <v>73010700</v>
      </c>
      <c r="O80">
        <v>17282632.079999998</v>
      </c>
      <c r="P80">
        <v>227.79646399999999</v>
      </c>
      <c r="Q80">
        <v>1.3611170138114375</v>
      </c>
      <c r="R80">
        <v>43.7421024</v>
      </c>
      <c r="S80">
        <v>782.76099499999998</v>
      </c>
      <c r="T80">
        <v>3.0931886600000002E-18</v>
      </c>
      <c r="U80">
        <v>23.337379055008022</v>
      </c>
      <c r="V80">
        <v>91.850000000000009</v>
      </c>
      <c r="W80">
        <v>-238.4252927984536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930</v>
      </c>
      <c r="B81">
        <v>30</v>
      </c>
      <c r="C81">
        <v>15</v>
      </c>
      <c r="D81">
        <v>2.95</v>
      </c>
      <c r="E81">
        <v>20</v>
      </c>
      <c r="F81">
        <v>12</v>
      </c>
      <c r="G81">
        <v>0.3</v>
      </c>
      <c r="H81">
        <v>20</v>
      </c>
      <c r="I81">
        <v>12</v>
      </c>
      <c r="J81">
        <v>0.7</v>
      </c>
      <c r="K81">
        <v>610983900.81466973</v>
      </c>
      <c r="L81">
        <v>49281200</v>
      </c>
      <c r="M81">
        <v>79695320.422807783</v>
      </c>
      <c r="N81">
        <v>71829500</v>
      </c>
      <c r="O81">
        <v>17282571.440000001</v>
      </c>
      <c r="P81">
        <v>228.997714</v>
      </c>
      <c r="Q81">
        <v>1.3765800093361831</v>
      </c>
      <c r="R81">
        <v>43.651485600000001</v>
      </c>
      <c r="S81">
        <v>781.73111900000004</v>
      </c>
      <c r="T81">
        <v>9.8319649400000004E-15</v>
      </c>
      <c r="U81">
        <v>22.748037022870307</v>
      </c>
      <c r="V81">
        <v>91.850000000000009</v>
      </c>
      <c r="W81">
        <v>-238.4252927984536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930</v>
      </c>
      <c r="B82">
        <v>30</v>
      </c>
      <c r="C82">
        <v>15</v>
      </c>
      <c r="D82">
        <v>2.95</v>
      </c>
      <c r="E82">
        <v>20</v>
      </c>
      <c r="F82">
        <v>12</v>
      </c>
      <c r="G82">
        <v>0.39</v>
      </c>
      <c r="H82">
        <v>20</v>
      </c>
      <c r="I82">
        <v>12</v>
      </c>
      <c r="J82">
        <v>0.7</v>
      </c>
      <c r="K82">
        <v>610857667.9886502</v>
      </c>
      <c r="L82">
        <v>49281500</v>
      </c>
      <c r="M82">
        <v>79695720.589420736</v>
      </c>
      <c r="N82">
        <v>72470100</v>
      </c>
      <c r="O82">
        <v>17282602.399999999</v>
      </c>
      <c r="P82">
        <v>228.55530200000001</v>
      </c>
      <c r="Q82">
        <v>1.3665028833458464</v>
      </c>
      <c r="R82">
        <v>43.698723899999997</v>
      </c>
      <c r="S82">
        <v>781.88977</v>
      </c>
      <c r="T82">
        <v>1.5520768199999999E-15</v>
      </c>
      <c r="U82">
        <v>22.936405894873044</v>
      </c>
      <c r="V82">
        <v>91.850000000000009</v>
      </c>
      <c r="W82">
        <v>-238.4252927984536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930</v>
      </c>
      <c r="B83">
        <v>30</v>
      </c>
      <c r="C83">
        <v>15</v>
      </c>
      <c r="D83">
        <v>2.95</v>
      </c>
      <c r="E83">
        <v>20</v>
      </c>
      <c r="F83">
        <v>12</v>
      </c>
      <c r="G83">
        <v>0.48</v>
      </c>
      <c r="H83">
        <v>20</v>
      </c>
      <c r="I83">
        <v>12</v>
      </c>
      <c r="J83">
        <v>0.7</v>
      </c>
      <c r="K83">
        <v>610825916.45671749</v>
      </c>
      <c r="L83">
        <v>49281800</v>
      </c>
      <c r="M83">
        <v>79695920.740420148</v>
      </c>
      <c r="N83">
        <v>73028100</v>
      </c>
      <c r="O83">
        <v>17282633.279999997</v>
      </c>
      <c r="P83">
        <v>227.99001899999999</v>
      </c>
      <c r="Q83">
        <v>1.3589982934397551</v>
      </c>
      <c r="R83">
        <v>43.744715300000003</v>
      </c>
      <c r="S83">
        <v>782.36457299999995</v>
      </c>
      <c r="T83">
        <v>3.92073233E-16</v>
      </c>
      <c r="U83">
        <v>23.239407383528011</v>
      </c>
      <c r="V83">
        <v>91.850000000000009</v>
      </c>
      <c r="W83">
        <v>-238.4252927984536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930</v>
      </c>
      <c r="B84">
        <v>30</v>
      </c>
      <c r="C84">
        <v>15</v>
      </c>
      <c r="D84">
        <v>2.95</v>
      </c>
      <c r="E84">
        <v>20</v>
      </c>
      <c r="F84">
        <v>12</v>
      </c>
      <c r="G84">
        <v>0.57000000000000006</v>
      </c>
      <c r="H84">
        <v>20</v>
      </c>
      <c r="I84">
        <v>12</v>
      </c>
      <c r="J84">
        <v>0.7</v>
      </c>
      <c r="K84">
        <v>610864284.04799974</v>
      </c>
      <c r="L84">
        <v>49299900</v>
      </c>
      <c r="M84">
        <v>79696320.945245191</v>
      </c>
      <c r="N84">
        <v>73538600</v>
      </c>
      <c r="O84">
        <v>17282675.759999998</v>
      </c>
      <c r="P84">
        <v>227.46158399999999</v>
      </c>
      <c r="Q84">
        <v>1.3527140102263455</v>
      </c>
      <c r="R84">
        <v>43.784613700000001</v>
      </c>
      <c r="S84">
        <v>782.86191599999995</v>
      </c>
      <c r="T84">
        <v>1.2222064800000001E-16</v>
      </c>
      <c r="U84">
        <v>23.553197672453202</v>
      </c>
      <c r="V84">
        <v>91.850000000000009</v>
      </c>
      <c r="W84">
        <v>-238.4252927984536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930</v>
      </c>
      <c r="B85">
        <v>30</v>
      </c>
      <c r="C85">
        <v>15</v>
      </c>
      <c r="D85">
        <v>2.95</v>
      </c>
      <c r="E85">
        <v>20</v>
      </c>
      <c r="F85">
        <v>12</v>
      </c>
      <c r="G85">
        <v>0.65999999999999992</v>
      </c>
      <c r="H85">
        <v>20</v>
      </c>
      <c r="I85">
        <v>12</v>
      </c>
      <c r="J85">
        <v>0.7</v>
      </c>
      <c r="K85">
        <v>610967593.42591333</v>
      </c>
      <c r="L85">
        <v>49299300</v>
      </c>
      <c r="M85">
        <v>79696621.154795393</v>
      </c>
      <c r="N85">
        <v>73936600</v>
      </c>
      <c r="O85">
        <v>17282724.48</v>
      </c>
      <c r="P85">
        <v>227.07574299999999</v>
      </c>
      <c r="Q85">
        <v>1.3475725912346832</v>
      </c>
      <c r="R85">
        <v>43.815536899999998</v>
      </c>
      <c r="S85">
        <v>783.22119799999996</v>
      </c>
      <c r="T85">
        <v>4.517484E-17</v>
      </c>
      <c r="U85">
        <v>23.81784773589202</v>
      </c>
      <c r="V85">
        <v>91.850000000000009</v>
      </c>
      <c r="W85">
        <v>-238.4252927984536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930</v>
      </c>
      <c r="B86">
        <v>30</v>
      </c>
      <c r="C86">
        <v>15</v>
      </c>
      <c r="D86">
        <v>2.95</v>
      </c>
      <c r="E86">
        <v>20</v>
      </c>
      <c r="F86">
        <v>12</v>
      </c>
      <c r="G86">
        <v>0.75</v>
      </c>
      <c r="H86">
        <v>20</v>
      </c>
      <c r="I86">
        <v>12</v>
      </c>
      <c r="J86">
        <v>0.7</v>
      </c>
      <c r="K86">
        <v>610944366.12231112</v>
      </c>
      <c r="L86">
        <v>49299500</v>
      </c>
      <c r="M86">
        <v>79696821.347910285</v>
      </c>
      <c r="N86">
        <v>74235200</v>
      </c>
      <c r="O86">
        <v>17282770.640000001</v>
      </c>
      <c r="P86">
        <v>226.83058</v>
      </c>
      <c r="Q86">
        <v>1.3431524100098029</v>
      </c>
      <c r="R86">
        <v>43.838259899999997</v>
      </c>
      <c r="S86">
        <v>783.42621899999995</v>
      </c>
      <c r="T86">
        <v>2.0247921799999999E-17</v>
      </c>
      <c r="U86">
        <v>24.023888782845621</v>
      </c>
      <c r="V86">
        <v>91.850000000000009</v>
      </c>
      <c r="W86">
        <v>-238.4252927984536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930</v>
      </c>
      <c r="B87">
        <v>30</v>
      </c>
      <c r="C87">
        <v>15</v>
      </c>
      <c r="D87">
        <v>2.95</v>
      </c>
      <c r="E87">
        <v>20</v>
      </c>
      <c r="F87">
        <v>12</v>
      </c>
      <c r="G87">
        <v>0.84000000000000008</v>
      </c>
      <c r="H87">
        <v>20</v>
      </c>
      <c r="I87">
        <v>12</v>
      </c>
      <c r="J87">
        <v>0.7</v>
      </c>
      <c r="K87">
        <v>610950091.6579473</v>
      </c>
      <c r="L87">
        <v>49299800</v>
      </c>
      <c r="M87">
        <v>79697021.520481035</v>
      </c>
      <c r="N87">
        <v>74463400</v>
      </c>
      <c r="O87">
        <v>17282812.48</v>
      </c>
      <c r="P87">
        <v>226.679742</v>
      </c>
      <c r="Q87">
        <v>1.339625217927922</v>
      </c>
      <c r="R87">
        <v>43.855147000000002</v>
      </c>
      <c r="S87">
        <v>783.52893400000005</v>
      </c>
      <c r="T87">
        <v>1.08458865E-17</v>
      </c>
      <c r="U87">
        <v>24.183975670987394</v>
      </c>
      <c r="V87">
        <v>91.850000000000009</v>
      </c>
      <c r="W87">
        <v>-238.4252927984536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930</v>
      </c>
      <c r="B88">
        <v>30</v>
      </c>
      <c r="C88">
        <v>15</v>
      </c>
      <c r="D88">
        <v>2.95</v>
      </c>
      <c r="E88">
        <v>20</v>
      </c>
      <c r="F88">
        <v>12</v>
      </c>
      <c r="G88">
        <v>0.92999999999999994</v>
      </c>
      <c r="H88">
        <v>20</v>
      </c>
      <c r="I88">
        <v>12</v>
      </c>
      <c r="J88">
        <v>0.7</v>
      </c>
      <c r="K88">
        <v>610936942.00621569</v>
      </c>
      <c r="L88">
        <v>49300000</v>
      </c>
      <c r="M88">
        <v>79697221.67394574</v>
      </c>
      <c r="N88">
        <v>74643000</v>
      </c>
      <c r="O88">
        <v>17282850.080000002</v>
      </c>
      <c r="P88">
        <v>226.58340799999999</v>
      </c>
      <c r="Q88">
        <v>1.3366602702166228</v>
      </c>
      <c r="R88">
        <v>43.868110899999998</v>
      </c>
      <c r="S88">
        <v>783.57651299999998</v>
      </c>
      <c r="T88">
        <v>6.6728067800000003E-18</v>
      </c>
      <c r="U88">
        <v>24.311149369596251</v>
      </c>
      <c r="V88">
        <v>91.850000000000009</v>
      </c>
      <c r="W88">
        <v>-238.4252927984536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930</v>
      </c>
      <c r="B89">
        <v>30</v>
      </c>
      <c r="C89">
        <v>15</v>
      </c>
      <c r="D89">
        <v>2.95</v>
      </c>
      <c r="E89">
        <v>20</v>
      </c>
      <c r="F89">
        <v>12</v>
      </c>
      <c r="G89">
        <v>1.02</v>
      </c>
      <c r="H89">
        <v>20</v>
      </c>
      <c r="I89">
        <v>12</v>
      </c>
      <c r="J89">
        <v>0.7</v>
      </c>
      <c r="K89">
        <v>610929771.34167004</v>
      </c>
      <c r="L89">
        <v>49300100</v>
      </c>
      <c r="M89">
        <v>79697421.810358807</v>
      </c>
      <c r="N89">
        <v>74787400</v>
      </c>
      <c r="O89">
        <v>17282883.359999999</v>
      </c>
      <c r="P89">
        <v>226.51830799999999</v>
      </c>
      <c r="Q89">
        <v>1.3342108407963125</v>
      </c>
      <c r="R89">
        <v>43.878352599999999</v>
      </c>
      <c r="S89">
        <v>783.59613200000001</v>
      </c>
      <c r="T89">
        <v>4.5431950299999996E-18</v>
      </c>
      <c r="U89">
        <v>24.414261770676685</v>
      </c>
      <c r="V89">
        <v>91.850000000000009</v>
      </c>
      <c r="W89">
        <v>-238.4252927984536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930</v>
      </c>
      <c r="B90">
        <v>30</v>
      </c>
      <c r="C90">
        <v>15</v>
      </c>
      <c r="D90">
        <v>2.95</v>
      </c>
      <c r="E90">
        <v>20</v>
      </c>
      <c r="F90">
        <v>12</v>
      </c>
      <c r="G90">
        <v>1.1099999999999999</v>
      </c>
      <c r="H90">
        <v>20</v>
      </c>
      <c r="I90">
        <v>12</v>
      </c>
      <c r="J90">
        <v>0.7</v>
      </c>
      <c r="K90">
        <v>610969834.77282155</v>
      </c>
      <c r="L90">
        <v>49300300</v>
      </c>
      <c r="M90">
        <v>79697521.931363776</v>
      </c>
      <c r="N90">
        <v>74905500</v>
      </c>
      <c r="O90">
        <v>17282913.759999998</v>
      </c>
      <c r="P90">
        <v>226.47190599999999</v>
      </c>
      <c r="Q90">
        <v>1.3323062185063974</v>
      </c>
      <c r="R90">
        <v>43.886620800000003</v>
      </c>
      <c r="S90">
        <v>783.6017240000001</v>
      </c>
      <c r="T90">
        <v>3.33027929E-18</v>
      </c>
      <c r="U90">
        <v>24.499164972084365</v>
      </c>
      <c r="V90">
        <v>91.850000000000009</v>
      </c>
      <c r="W90">
        <v>-238.4252927984536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930</v>
      </c>
      <c r="B91">
        <v>30</v>
      </c>
      <c r="C91">
        <v>15</v>
      </c>
      <c r="D91">
        <v>2.95</v>
      </c>
      <c r="E91">
        <v>20</v>
      </c>
      <c r="F91">
        <v>12</v>
      </c>
      <c r="G91">
        <v>1.2</v>
      </c>
      <c r="H91">
        <v>20</v>
      </c>
      <c r="I91">
        <v>12</v>
      </c>
      <c r="J91">
        <v>0.7</v>
      </c>
      <c r="K91">
        <v>610880617.57260084</v>
      </c>
      <c r="L91">
        <v>49300400</v>
      </c>
      <c r="M91">
        <v>79697622.038809612</v>
      </c>
      <c r="N91">
        <v>75003400</v>
      </c>
      <c r="O91">
        <v>17282940.239999998</v>
      </c>
      <c r="P91">
        <v>226.43732199999999</v>
      </c>
      <c r="Q91">
        <v>1.3303356441227261</v>
      </c>
      <c r="R91">
        <v>43.8934085</v>
      </c>
      <c r="S91">
        <v>783.60032899999999</v>
      </c>
      <c r="T91">
        <v>2.5782347499999999E-18</v>
      </c>
      <c r="U91">
        <v>24.569935133838854</v>
      </c>
      <c r="V91">
        <v>91.850000000000009</v>
      </c>
      <c r="W91">
        <v>-238.4252927984536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930</v>
      </c>
      <c r="B92">
        <v>30</v>
      </c>
      <c r="C92">
        <v>15</v>
      </c>
      <c r="D92">
        <v>2.95</v>
      </c>
      <c r="E92">
        <v>20</v>
      </c>
      <c r="F92">
        <v>12</v>
      </c>
      <c r="G92">
        <v>0.56747999999999998</v>
      </c>
      <c r="H92">
        <v>10</v>
      </c>
      <c r="I92">
        <v>12</v>
      </c>
      <c r="J92">
        <v>0.7</v>
      </c>
      <c r="K92">
        <v>610880617.57260084</v>
      </c>
      <c r="L92">
        <v>49300400</v>
      </c>
      <c r="M92">
        <v>79697622.038809612</v>
      </c>
      <c r="N92">
        <v>75003400</v>
      </c>
      <c r="O92">
        <v>17282940.239999998</v>
      </c>
      <c r="P92">
        <v>226.43732199999999</v>
      </c>
      <c r="Q92">
        <v>1.3303356441227261</v>
      </c>
      <c r="R92">
        <v>43.8934085</v>
      </c>
      <c r="S92">
        <v>783.60032899999999</v>
      </c>
      <c r="T92">
        <v>2.5782347499999999E-18</v>
      </c>
      <c r="U92">
        <v>24.569935133838854</v>
      </c>
      <c r="V92">
        <v>91.850000000000009</v>
      </c>
      <c r="W92">
        <v>-238.4252927984536</v>
      </c>
      <c r="X92">
        <v>99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930</v>
      </c>
      <c r="B93">
        <v>30</v>
      </c>
      <c r="C93">
        <v>15</v>
      </c>
      <c r="D93">
        <v>2.95</v>
      </c>
      <c r="E93">
        <v>20</v>
      </c>
      <c r="F93">
        <v>12</v>
      </c>
      <c r="G93">
        <v>0.56747999999999998</v>
      </c>
      <c r="H93">
        <v>12</v>
      </c>
      <c r="I93">
        <v>12</v>
      </c>
      <c r="J93">
        <v>0.7</v>
      </c>
      <c r="K93">
        <v>610880617.57260084</v>
      </c>
      <c r="L93">
        <v>49300400</v>
      </c>
      <c r="M93">
        <v>79697622.038809612</v>
      </c>
      <c r="N93">
        <v>75003400</v>
      </c>
      <c r="O93">
        <v>17282940.239999998</v>
      </c>
      <c r="P93">
        <v>226.43732199999999</v>
      </c>
      <c r="Q93">
        <v>1.3303356441227261</v>
      </c>
      <c r="R93">
        <v>43.8934085</v>
      </c>
      <c r="S93">
        <v>783.60032899999999</v>
      </c>
      <c r="T93">
        <v>2.5782347499999999E-18</v>
      </c>
      <c r="U93">
        <v>24.569935133838854</v>
      </c>
      <c r="V93">
        <v>91.850000000000009</v>
      </c>
      <c r="W93">
        <v>-238.4252927984536</v>
      </c>
      <c r="X93">
        <v>99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5" spans="1:32">
      <c r="A95">
        <v>930</v>
      </c>
      <c r="B95">
        <v>30</v>
      </c>
      <c r="C95">
        <v>15</v>
      </c>
      <c r="D95">
        <v>2.95</v>
      </c>
      <c r="E95">
        <v>20</v>
      </c>
      <c r="F95">
        <v>12</v>
      </c>
      <c r="G95">
        <v>0.56747999999999998</v>
      </c>
      <c r="H95">
        <v>14</v>
      </c>
      <c r="I95">
        <v>12</v>
      </c>
      <c r="J95">
        <v>0.7</v>
      </c>
      <c r="K95">
        <v>610727656.39067292</v>
      </c>
      <c r="L95">
        <v>49284100</v>
      </c>
      <c r="M95">
        <v>79698022.796888277</v>
      </c>
      <c r="N95">
        <v>73807000</v>
      </c>
      <c r="O95">
        <v>17283393.120000001</v>
      </c>
      <c r="P95">
        <v>227.60615999999999</v>
      </c>
      <c r="Q95">
        <v>1.345935301049727</v>
      </c>
      <c r="R95">
        <v>43.784210399999999</v>
      </c>
      <c r="S95">
        <v>782.81237499999997</v>
      </c>
      <c r="T95">
        <v>1.25620001E-16</v>
      </c>
      <c r="U95">
        <v>23.532374251608402</v>
      </c>
      <c r="V95">
        <v>91.850000000000009</v>
      </c>
      <c r="W95">
        <v>-238.4252927984536</v>
      </c>
      <c r="X95">
        <v>99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930</v>
      </c>
      <c r="B96">
        <v>30</v>
      </c>
      <c r="C96">
        <v>15</v>
      </c>
      <c r="D96">
        <v>2.95</v>
      </c>
      <c r="E96">
        <v>20</v>
      </c>
      <c r="F96">
        <v>12</v>
      </c>
      <c r="G96">
        <v>0.56747999999999998</v>
      </c>
      <c r="H96">
        <v>16</v>
      </c>
      <c r="I96">
        <v>12</v>
      </c>
      <c r="J96">
        <v>0.7</v>
      </c>
      <c r="K96">
        <v>610753200.23970675</v>
      </c>
      <c r="L96">
        <v>49282400</v>
      </c>
      <c r="M96">
        <v>79696521.128704339</v>
      </c>
      <c r="N96">
        <v>73606700</v>
      </c>
      <c r="O96">
        <v>17282749.199999999</v>
      </c>
      <c r="P96">
        <v>227.49274700000001</v>
      </c>
      <c r="Q96">
        <v>1.3505362177415356</v>
      </c>
      <c r="R96">
        <v>43.783696200000001</v>
      </c>
      <c r="S96">
        <v>782.84437600000001</v>
      </c>
      <c r="T96">
        <v>1.25945207E-16</v>
      </c>
      <c r="U96">
        <v>23.5432064192042</v>
      </c>
      <c r="V96">
        <v>91.850000000000009</v>
      </c>
      <c r="W96">
        <v>-238.4252927984536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930</v>
      </c>
      <c r="B97">
        <v>30</v>
      </c>
      <c r="C97">
        <v>15</v>
      </c>
      <c r="D97">
        <v>2.95</v>
      </c>
      <c r="E97">
        <v>20</v>
      </c>
      <c r="F97">
        <v>12</v>
      </c>
      <c r="G97">
        <v>0.56747999999999998</v>
      </c>
      <c r="H97">
        <v>18</v>
      </c>
      <c r="I97">
        <v>12</v>
      </c>
      <c r="J97">
        <v>0.7</v>
      </c>
      <c r="K97">
        <v>610789413.76342487</v>
      </c>
      <c r="L97">
        <v>49299900</v>
      </c>
      <c r="M97">
        <v>79696320.977704927</v>
      </c>
      <c r="N97">
        <v>73546300</v>
      </c>
      <c r="O97">
        <v>17282686.720000003</v>
      </c>
      <c r="P97">
        <v>227.475504</v>
      </c>
      <c r="Q97">
        <v>1.3522583731307667</v>
      </c>
      <c r="R97">
        <v>43.783617999999997</v>
      </c>
      <c r="S97">
        <v>782.849244</v>
      </c>
      <c r="T97">
        <v>1.2599469099999999E-16</v>
      </c>
      <c r="U97">
        <v>23.544854192664602</v>
      </c>
      <c r="V97">
        <v>91.850000000000009</v>
      </c>
      <c r="W97">
        <v>-238.4252927984536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930</v>
      </c>
      <c r="B98">
        <v>30</v>
      </c>
      <c r="C98">
        <v>15</v>
      </c>
      <c r="D98">
        <v>2.95</v>
      </c>
      <c r="E98">
        <v>20</v>
      </c>
      <c r="F98">
        <v>12</v>
      </c>
      <c r="G98">
        <v>0.56747999999999998</v>
      </c>
      <c r="H98">
        <v>20</v>
      </c>
      <c r="I98">
        <v>12</v>
      </c>
      <c r="J98">
        <v>0.7</v>
      </c>
      <c r="K98">
        <v>610865522.1771462</v>
      </c>
      <c r="L98">
        <v>49299900</v>
      </c>
      <c r="M98">
        <v>79696320.939287394</v>
      </c>
      <c r="N98">
        <v>73525800</v>
      </c>
      <c r="O98">
        <v>17282686.720000003</v>
      </c>
      <c r="P98">
        <v>227.47461899999999</v>
      </c>
      <c r="Q98">
        <v>1.352888585495843</v>
      </c>
      <c r="R98">
        <v>43.783617999999997</v>
      </c>
      <c r="S98">
        <v>782.849244</v>
      </c>
      <c r="T98">
        <v>1.2599722000000001E-16</v>
      </c>
      <c r="U98">
        <v>23.5449387781536</v>
      </c>
      <c r="V98">
        <v>91.850000000000009</v>
      </c>
      <c r="W98">
        <v>-238.4252927984536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930</v>
      </c>
      <c r="B99">
        <v>30</v>
      </c>
      <c r="C99">
        <v>15</v>
      </c>
      <c r="D99">
        <v>2.95</v>
      </c>
      <c r="E99">
        <v>20</v>
      </c>
      <c r="F99">
        <v>12</v>
      </c>
      <c r="G99">
        <v>0.56747999999999998</v>
      </c>
      <c r="H99">
        <v>21</v>
      </c>
      <c r="I99">
        <v>12</v>
      </c>
      <c r="J99">
        <v>0.7</v>
      </c>
      <c r="K99">
        <v>610887838.27162838</v>
      </c>
      <c r="L99">
        <v>49299900</v>
      </c>
      <c r="M99">
        <v>79696220.939287394</v>
      </c>
      <c r="N99">
        <v>73521000</v>
      </c>
      <c r="O99">
        <v>17282686.720000003</v>
      </c>
      <c r="P99">
        <v>227.47482400000001</v>
      </c>
      <c r="Q99">
        <v>1.3530471124360131</v>
      </c>
      <c r="R99">
        <v>43.783617999999997</v>
      </c>
      <c r="S99">
        <v>782.849244</v>
      </c>
      <c r="T99">
        <v>1.25996618E-16</v>
      </c>
      <c r="U99">
        <v>23.544938631520402</v>
      </c>
      <c r="V99">
        <v>91.850000000000009</v>
      </c>
      <c r="W99">
        <v>-238.4252927984536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930</v>
      </c>
      <c r="B100">
        <v>30</v>
      </c>
      <c r="C100">
        <v>15</v>
      </c>
      <c r="D100">
        <v>2.95</v>
      </c>
      <c r="E100">
        <v>20</v>
      </c>
      <c r="F100">
        <v>12</v>
      </c>
      <c r="G100">
        <v>0.56747999999999998</v>
      </c>
      <c r="H100">
        <v>23</v>
      </c>
      <c r="I100">
        <v>12</v>
      </c>
      <c r="J100">
        <v>0.7</v>
      </c>
      <c r="K100">
        <v>610943356.52531362</v>
      </c>
      <c r="L100">
        <v>49299900</v>
      </c>
      <c r="M100">
        <v>79696220.939287394</v>
      </c>
      <c r="N100">
        <v>73516200</v>
      </c>
      <c r="O100">
        <v>17282686.720000003</v>
      </c>
      <c r="P100">
        <v>227.47518299999999</v>
      </c>
      <c r="Q100">
        <v>1.3533038083145739</v>
      </c>
      <c r="R100">
        <v>43.783617999999997</v>
      </c>
      <c r="S100">
        <v>782.849244</v>
      </c>
      <c r="T100">
        <v>1.2599559900000001E-16</v>
      </c>
      <c r="U100">
        <v>23.544884889851904</v>
      </c>
      <c r="V100">
        <v>91.850000000000009</v>
      </c>
      <c r="W100">
        <v>-238.4252927984536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930</v>
      </c>
      <c r="B101">
        <v>30</v>
      </c>
      <c r="C101">
        <v>15</v>
      </c>
      <c r="D101">
        <v>2.95</v>
      </c>
      <c r="E101">
        <v>20</v>
      </c>
      <c r="F101">
        <v>12</v>
      </c>
      <c r="G101">
        <v>0.56747999999999998</v>
      </c>
      <c r="H101">
        <v>25</v>
      </c>
      <c r="I101">
        <v>12</v>
      </c>
      <c r="J101">
        <v>0.7</v>
      </c>
      <c r="K101">
        <v>610987569.3114239</v>
      </c>
      <c r="L101">
        <v>49299900</v>
      </c>
      <c r="M101">
        <v>79696220.939287394</v>
      </c>
      <c r="N101">
        <v>73514200</v>
      </c>
      <c r="O101">
        <v>17282669.199999999</v>
      </c>
      <c r="P101">
        <v>227.47518299999999</v>
      </c>
      <c r="Q101">
        <v>1.3534745643376009</v>
      </c>
      <c r="R101">
        <v>43.783617999999997</v>
      </c>
      <c r="S101">
        <v>782.849244</v>
      </c>
      <c r="T101">
        <v>1.2599507E-16</v>
      </c>
      <c r="U101">
        <v>23.544884759735801</v>
      </c>
      <c r="V101">
        <v>91.850000000000009</v>
      </c>
      <c r="W101">
        <v>-238.4252927984536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930</v>
      </c>
      <c r="B102">
        <v>30</v>
      </c>
      <c r="C102">
        <v>15</v>
      </c>
      <c r="D102">
        <v>2.95</v>
      </c>
      <c r="E102">
        <v>20</v>
      </c>
      <c r="F102">
        <v>12</v>
      </c>
      <c r="G102">
        <v>0.56747999999999998</v>
      </c>
      <c r="H102">
        <v>27</v>
      </c>
      <c r="I102">
        <v>12</v>
      </c>
      <c r="J102">
        <v>0.7</v>
      </c>
      <c r="K102">
        <v>611047660.76408434</v>
      </c>
      <c r="L102">
        <v>49299900</v>
      </c>
      <c r="M102">
        <v>79696220.939287394</v>
      </c>
      <c r="N102">
        <v>73513400</v>
      </c>
      <c r="O102">
        <v>17282669.199999999</v>
      </c>
      <c r="P102">
        <v>227.47545</v>
      </c>
      <c r="Q102">
        <v>1.3536678312826591</v>
      </c>
      <c r="R102">
        <v>43.783617999999997</v>
      </c>
      <c r="S102">
        <v>782.849244</v>
      </c>
      <c r="T102">
        <v>1.2599483E-16</v>
      </c>
      <c r="U102">
        <v>23.544863180940503</v>
      </c>
      <c r="V102">
        <v>91.850000000000009</v>
      </c>
      <c r="W102">
        <v>-238.4252927984536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930</v>
      </c>
      <c r="B103">
        <v>30</v>
      </c>
      <c r="C103">
        <v>15</v>
      </c>
      <c r="D103">
        <v>2.95</v>
      </c>
      <c r="E103">
        <v>20</v>
      </c>
      <c r="F103">
        <v>12</v>
      </c>
      <c r="G103">
        <v>0.56747999999999998</v>
      </c>
      <c r="H103">
        <v>29</v>
      </c>
      <c r="I103">
        <v>12</v>
      </c>
      <c r="J103">
        <v>0.7</v>
      </c>
      <c r="K103">
        <v>611126701.04582417</v>
      </c>
      <c r="L103">
        <v>49317600</v>
      </c>
      <c r="M103">
        <v>79696220.939287394</v>
      </c>
      <c r="N103">
        <v>73512900</v>
      </c>
      <c r="O103">
        <v>17282669.199999999</v>
      </c>
      <c r="P103">
        <v>227.47545</v>
      </c>
      <c r="Q103">
        <v>1.354256896604709</v>
      </c>
      <c r="R103">
        <v>43.783617999999997</v>
      </c>
      <c r="S103">
        <v>782.849244</v>
      </c>
      <c r="T103">
        <v>1.2599483E-16</v>
      </c>
      <c r="U103">
        <v>23.544863180940503</v>
      </c>
      <c r="V103">
        <v>91.850000000000009</v>
      </c>
      <c r="W103">
        <v>-238.4252927984536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930</v>
      </c>
      <c r="B104">
        <v>30</v>
      </c>
      <c r="C104">
        <v>15</v>
      </c>
      <c r="D104">
        <v>2.95</v>
      </c>
      <c r="E104">
        <v>20</v>
      </c>
      <c r="F104">
        <v>12</v>
      </c>
      <c r="G104">
        <v>0.56747999999999998</v>
      </c>
      <c r="H104">
        <v>20</v>
      </c>
      <c r="I104">
        <v>7</v>
      </c>
      <c r="J104">
        <v>0.7</v>
      </c>
      <c r="K104">
        <v>610869015.95833015</v>
      </c>
      <c r="L104">
        <v>49300400</v>
      </c>
      <c r="M104">
        <v>79696821.477132902</v>
      </c>
      <c r="N104">
        <v>73505100</v>
      </c>
      <c r="O104">
        <v>17282815.760000002</v>
      </c>
      <c r="P104">
        <v>227.434279</v>
      </c>
      <c r="Q104">
        <v>1.3535504528196765</v>
      </c>
      <c r="R104">
        <v>43.783431</v>
      </c>
      <c r="S104">
        <v>782.86088600000005</v>
      </c>
      <c r="T104">
        <v>1.26113302E-16</v>
      </c>
      <c r="U104">
        <v>23.548794706759001</v>
      </c>
      <c r="V104">
        <v>91.850000000000009</v>
      </c>
      <c r="W104">
        <v>-238.4252927984536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930</v>
      </c>
      <c r="B105">
        <v>30</v>
      </c>
      <c r="C105">
        <v>15</v>
      </c>
      <c r="D105">
        <v>2.95</v>
      </c>
      <c r="E105">
        <v>20</v>
      </c>
      <c r="F105">
        <v>12</v>
      </c>
      <c r="G105">
        <v>0.56747999999999998</v>
      </c>
      <c r="H105">
        <v>20</v>
      </c>
      <c r="I105">
        <v>8</v>
      </c>
      <c r="J105">
        <v>0.7</v>
      </c>
      <c r="K105">
        <v>610867741.29101992</v>
      </c>
      <c r="L105">
        <v>49300100</v>
      </c>
      <c r="M105">
        <v>79696521.218893111</v>
      </c>
      <c r="N105">
        <v>73510500</v>
      </c>
      <c r="O105">
        <v>17282747.920000002</v>
      </c>
      <c r="P105">
        <v>227.45337699999999</v>
      </c>
      <c r="Q105">
        <v>1.3533223745950025</v>
      </c>
      <c r="R105">
        <v>43.783517600000003</v>
      </c>
      <c r="S105">
        <v>782.85549300000002</v>
      </c>
      <c r="T105">
        <v>1.26058297E-16</v>
      </c>
      <c r="U105">
        <v>23.546969113389501</v>
      </c>
      <c r="V105">
        <v>91.850000000000009</v>
      </c>
      <c r="W105">
        <v>-238.4252927984536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930</v>
      </c>
      <c r="B106">
        <v>30</v>
      </c>
      <c r="C106">
        <v>15</v>
      </c>
      <c r="D106">
        <v>2.95</v>
      </c>
      <c r="E106">
        <v>20</v>
      </c>
      <c r="F106">
        <v>12</v>
      </c>
      <c r="G106">
        <v>0.56747999999999998</v>
      </c>
      <c r="H106">
        <v>20</v>
      </c>
      <c r="I106">
        <v>8</v>
      </c>
      <c r="J106">
        <v>0.7</v>
      </c>
      <c r="K106">
        <v>610867741.29101992</v>
      </c>
      <c r="L106">
        <v>49300100</v>
      </c>
      <c r="M106">
        <v>79696521.218893111</v>
      </c>
      <c r="N106">
        <v>73510500</v>
      </c>
      <c r="O106">
        <v>17282747.920000002</v>
      </c>
      <c r="P106">
        <v>227.45337699999999</v>
      </c>
      <c r="Q106">
        <v>1.3533223745950025</v>
      </c>
      <c r="R106">
        <v>43.783517600000003</v>
      </c>
      <c r="S106">
        <v>782.85549300000002</v>
      </c>
      <c r="T106">
        <v>1.26058297E-16</v>
      </c>
      <c r="U106">
        <v>23.546969113389501</v>
      </c>
      <c r="V106">
        <v>91.850000000000009</v>
      </c>
      <c r="W106">
        <v>-238.4252927984536</v>
      </c>
      <c r="X106">
        <v>99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930</v>
      </c>
      <c r="B107">
        <v>30</v>
      </c>
      <c r="C107">
        <v>15</v>
      </c>
      <c r="D107">
        <v>2.95</v>
      </c>
      <c r="E107">
        <v>20</v>
      </c>
      <c r="F107">
        <v>12</v>
      </c>
      <c r="G107">
        <v>0.56747999999999998</v>
      </c>
      <c r="H107">
        <v>20</v>
      </c>
      <c r="I107">
        <v>9</v>
      </c>
      <c r="J107">
        <v>0.7</v>
      </c>
      <c r="K107">
        <v>610866988.53090179</v>
      </c>
      <c r="L107">
        <v>49300000</v>
      </c>
      <c r="M107">
        <v>79696421.082890913</v>
      </c>
      <c r="N107">
        <v>73514000</v>
      </c>
      <c r="O107">
        <v>17282712.080000002</v>
      </c>
      <c r="P107">
        <v>227.463438</v>
      </c>
      <c r="Q107">
        <v>1.3531904042972254</v>
      </c>
      <c r="R107">
        <v>43.783563299999997</v>
      </c>
      <c r="S107">
        <v>782.85265200000003</v>
      </c>
      <c r="T107">
        <v>1.2602925500000001E-16</v>
      </c>
      <c r="U107">
        <v>23.546007533894205</v>
      </c>
      <c r="V107">
        <v>91.850000000000009</v>
      </c>
      <c r="W107">
        <v>-238.4252927984536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930</v>
      </c>
      <c r="B108">
        <v>30</v>
      </c>
      <c r="C108">
        <v>15</v>
      </c>
      <c r="D108">
        <v>2.95</v>
      </c>
      <c r="E108">
        <v>20</v>
      </c>
      <c r="F108">
        <v>12</v>
      </c>
      <c r="G108">
        <v>0.56747999999999998</v>
      </c>
      <c r="H108">
        <v>20</v>
      </c>
      <c r="I108">
        <v>10</v>
      </c>
      <c r="J108">
        <v>0.7</v>
      </c>
      <c r="K108">
        <v>610866454.97105455</v>
      </c>
      <c r="L108">
        <v>49300000</v>
      </c>
      <c r="M108">
        <v>79696321.007288486</v>
      </c>
      <c r="N108">
        <v>73517100</v>
      </c>
      <c r="O108">
        <v>17282692.16</v>
      </c>
      <c r="P108">
        <v>227.46907899999999</v>
      </c>
      <c r="Q108">
        <v>1.3530950945836033</v>
      </c>
      <c r="R108">
        <v>43.783563299999997</v>
      </c>
      <c r="S108">
        <v>782.85105899999996</v>
      </c>
      <c r="T108">
        <v>1.2601308100000001E-16</v>
      </c>
      <c r="U108">
        <v>23.545468228637702</v>
      </c>
      <c r="V108">
        <v>91.850000000000009</v>
      </c>
      <c r="W108">
        <v>-238.4252927984536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930</v>
      </c>
      <c r="B109">
        <v>30</v>
      </c>
      <c r="C109">
        <v>15</v>
      </c>
      <c r="D109">
        <v>2.95</v>
      </c>
      <c r="E109">
        <v>20</v>
      </c>
      <c r="F109">
        <v>12</v>
      </c>
      <c r="G109">
        <v>0.56747999999999998</v>
      </c>
      <c r="H109">
        <v>20</v>
      </c>
      <c r="I109">
        <v>10</v>
      </c>
      <c r="J109">
        <v>0.7</v>
      </c>
      <c r="K109">
        <v>610866454.97105455</v>
      </c>
      <c r="L109">
        <v>49300000</v>
      </c>
      <c r="M109">
        <v>79696321.007288486</v>
      </c>
      <c r="N109">
        <v>73517100</v>
      </c>
      <c r="O109">
        <v>17282692.16</v>
      </c>
      <c r="P109">
        <v>227.46907899999999</v>
      </c>
      <c r="Q109">
        <v>1.3530950945836033</v>
      </c>
      <c r="R109">
        <v>43.783563299999997</v>
      </c>
      <c r="S109">
        <v>782.85105899999996</v>
      </c>
      <c r="T109">
        <v>1.2601308100000001E-16</v>
      </c>
      <c r="U109">
        <v>23.545468228637702</v>
      </c>
      <c r="V109">
        <v>91.850000000000009</v>
      </c>
      <c r="W109">
        <v>-238.4252927984536</v>
      </c>
      <c r="X109">
        <v>99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930</v>
      </c>
      <c r="B110">
        <v>30</v>
      </c>
      <c r="C110">
        <v>15</v>
      </c>
      <c r="D110">
        <v>2.95</v>
      </c>
      <c r="E110">
        <v>20</v>
      </c>
      <c r="F110">
        <v>12</v>
      </c>
      <c r="G110">
        <v>0.56747999999999998</v>
      </c>
      <c r="H110">
        <v>20</v>
      </c>
      <c r="I110">
        <v>11</v>
      </c>
      <c r="J110">
        <v>0.7</v>
      </c>
      <c r="K110">
        <v>610865961.62043893</v>
      </c>
      <c r="L110">
        <v>49299900</v>
      </c>
      <c r="M110">
        <v>79696320.963940367</v>
      </c>
      <c r="N110">
        <v>73520700</v>
      </c>
      <c r="O110">
        <v>17282692.16</v>
      </c>
      <c r="P110">
        <v>227.47242399999999</v>
      </c>
      <c r="Q110">
        <v>1.3530019225122616</v>
      </c>
      <c r="R110">
        <v>43.783563299999997</v>
      </c>
      <c r="S110">
        <v>782.85011400000008</v>
      </c>
      <c r="T110">
        <v>1.26003497E-16</v>
      </c>
      <c r="U110">
        <v>23.5451485665204</v>
      </c>
      <c r="V110">
        <v>91.850000000000009</v>
      </c>
      <c r="W110">
        <v>-238.4252927984536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930</v>
      </c>
      <c r="B111">
        <v>30</v>
      </c>
      <c r="C111">
        <v>15</v>
      </c>
      <c r="D111">
        <v>2.95</v>
      </c>
      <c r="E111">
        <v>20</v>
      </c>
      <c r="F111">
        <v>12</v>
      </c>
      <c r="G111">
        <v>0.56747999999999998</v>
      </c>
      <c r="H111">
        <v>20</v>
      </c>
      <c r="I111">
        <v>12</v>
      </c>
      <c r="J111">
        <v>0.7</v>
      </c>
      <c r="K111">
        <v>610865475.55703688</v>
      </c>
      <c r="L111">
        <v>49299900</v>
      </c>
      <c r="M111">
        <v>79696320.963940367</v>
      </c>
      <c r="N111">
        <v>73525800</v>
      </c>
      <c r="O111">
        <v>17282674.399999999</v>
      </c>
      <c r="P111">
        <v>227.47461899999999</v>
      </c>
      <c r="Q111">
        <v>1.352888446366914</v>
      </c>
      <c r="R111">
        <v>43.783614</v>
      </c>
      <c r="S111">
        <v>782.85011400000008</v>
      </c>
      <c r="T111">
        <v>1.2599722000000001E-16</v>
      </c>
      <c r="U111">
        <v>23.5449387781536</v>
      </c>
      <c r="V111">
        <v>91.850000000000009</v>
      </c>
      <c r="W111">
        <v>-238.4252927984536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930</v>
      </c>
      <c r="B112">
        <v>30</v>
      </c>
      <c r="C112">
        <v>15</v>
      </c>
      <c r="D112">
        <v>2.95</v>
      </c>
      <c r="E112">
        <v>20</v>
      </c>
      <c r="F112">
        <v>12</v>
      </c>
      <c r="G112">
        <v>0.56747999999999998</v>
      </c>
      <c r="H112">
        <v>20</v>
      </c>
      <c r="I112">
        <v>13</v>
      </c>
      <c r="J112">
        <v>0.7</v>
      </c>
      <c r="K112">
        <v>610864683.0906086</v>
      </c>
      <c r="L112">
        <v>49299900</v>
      </c>
      <c r="M112">
        <v>79696220.926755473</v>
      </c>
      <c r="N112">
        <v>73533700</v>
      </c>
      <c r="O112">
        <v>17282674.399999999</v>
      </c>
      <c r="P112">
        <v>227.47653299999999</v>
      </c>
      <c r="Q112">
        <v>1.3527213931388402</v>
      </c>
      <c r="R112">
        <v>43.783614</v>
      </c>
      <c r="S112">
        <v>782.84895399999994</v>
      </c>
      <c r="T112">
        <v>1.2599172899999999E-16</v>
      </c>
      <c r="U112">
        <v>23.544755784990905</v>
      </c>
      <c r="V112">
        <v>91.850000000000009</v>
      </c>
      <c r="W112">
        <v>-238.4252927984536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930</v>
      </c>
      <c r="B113">
        <v>30</v>
      </c>
      <c r="C113">
        <v>15</v>
      </c>
      <c r="D113">
        <v>2.95</v>
      </c>
      <c r="E113">
        <v>20</v>
      </c>
      <c r="F113">
        <v>12</v>
      </c>
      <c r="G113">
        <v>0.56747999999999998</v>
      </c>
      <c r="H113">
        <v>20</v>
      </c>
      <c r="I113">
        <v>13</v>
      </c>
      <c r="J113">
        <v>0.7</v>
      </c>
      <c r="K113">
        <v>610864683.0906086</v>
      </c>
      <c r="L113">
        <v>49299900</v>
      </c>
      <c r="M113">
        <v>79696220.926755473</v>
      </c>
      <c r="N113">
        <v>73533700</v>
      </c>
      <c r="O113">
        <v>17282674.399999999</v>
      </c>
      <c r="P113">
        <v>227.47653299999999</v>
      </c>
      <c r="Q113">
        <v>1.3527213931388402</v>
      </c>
      <c r="R113">
        <v>43.783614</v>
      </c>
      <c r="S113">
        <v>782.84895399999994</v>
      </c>
      <c r="T113">
        <v>1.2599172899999999E-16</v>
      </c>
      <c r="U113">
        <v>23.544755784990905</v>
      </c>
      <c r="V113">
        <v>91.850000000000009</v>
      </c>
      <c r="W113">
        <v>-238.4252927984536</v>
      </c>
      <c r="X113">
        <v>99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930</v>
      </c>
      <c r="B114">
        <v>30</v>
      </c>
      <c r="C114">
        <v>15</v>
      </c>
      <c r="D114">
        <v>2.95</v>
      </c>
      <c r="E114">
        <v>20</v>
      </c>
      <c r="F114">
        <v>12</v>
      </c>
      <c r="G114">
        <v>0.56747999999999998</v>
      </c>
      <c r="H114">
        <v>20</v>
      </c>
      <c r="I114">
        <v>14</v>
      </c>
      <c r="J114">
        <v>0.7</v>
      </c>
      <c r="K114">
        <v>610863215.35916102</v>
      </c>
      <c r="L114">
        <v>49299900</v>
      </c>
      <c r="M114">
        <v>79696220.926755473</v>
      </c>
      <c r="N114">
        <v>73546800</v>
      </c>
      <c r="O114">
        <v>17282674.399999999</v>
      </c>
      <c r="P114">
        <v>227.479446</v>
      </c>
      <c r="Q114">
        <v>1.352445479347768</v>
      </c>
      <c r="R114">
        <v>43.783614</v>
      </c>
      <c r="S114">
        <v>782.84813200000008</v>
      </c>
      <c r="T114">
        <v>1.25983391E-16</v>
      </c>
      <c r="U114">
        <v>23.544477408645502</v>
      </c>
      <c r="V114">
        <v>91.850000000000009</v>
      </c>
      <c r="W114">
        <v>-238.4252927984536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930</v>
      </c>
      <c r="B115">
        <v>30</v>
      </c>
      <c r="C115">
        <v>15</v>
      </c>
      <c r="D115">
        <v>2.95</v>
      </c>
      <c r="E115">
        <v>20</v>
      </c>
      <c r="F115">
        <v>12</v>
      </c>
      <c r="G115">
        <v>0.56747999999999998</v>
      </c>
      <c r="H115">
        <v>20</v>
      </c>
      <c r="I115">
        <v>12</v>
      </c>
      <c r="J115">
        <v>0.3</v>
      </c>
      <c r="K115">
        <v>610877275.95626545</v>
      </c>
      <c r="L115">
        <v>49310800</v>
      </c>
      <c r="M115">
        <v>79707032.538507223</v>
      </c>
      <c r="N115">
        <v>73432700</v>
      </c>
      <c r="O115">
        <v>17285723.84</v>
      </c>
      <c r="P115">
        <v>226.62795399999999</v>
      </c>
      <c r="Q115">
        <v>1.3600038328504354</v>
      </c>
      <c r="R115">
        <v>43.779757699999998</v>
      </c>
      <c r="S115">
        <v>783.08938899999998</v>
      </c>
      <c r="T115">
        <v>1.28462648E-16</v>
      </c>
      <c r="U115">
        <v>23.626136102227001</v>
      </c>
      <c r="V115">
        <v>91.850000000000009</v>
      </c>
      <c r="W115">
        <v>-238.4252927984536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930</v>
      </c>
      <c r="B116">
        <v>30</v>
      </c>
      <c r="C116">
        <v>15</v>
      </c>
      <c r="D116">
        <v>2.95</v>
      </c>
      <c r="E116">
        <v>20</v>
      </c>
      <c r="F116">
        <v>12</v>
      </c>
      <c r="G116">
        <v>0.56747999999999998</v>
      </c>
      <c r="H116">
        <v>20</v>
      </c>
      <c r="I116">
        <v>12</v>
      </c>
      <c r="J116">
        <v>0.41</v>
      </c>
      <c r="K116">
        <v>610925896.74178815</v>
      </c>
      <c r="L116">
        <v>49300800</v>
      </c>
      <c r="M116">
        <v>79696921.678054571</v>
      </c>
      <c r="N116">
        <v>73560000</v>
      </c>
      <c r="O116">
        <v>17282868.559999999</v>
      </c>
      <c r="P116">
        <v>227.42314999999999</v>
      </c>
      <c r="Q116">
        <v>1.3527286187688585</v>
      </c>
      <c r="R116">
        <v>43.7833805</v>
      </c>
      <c r="S116">
        <v>782.86403000000007</v>
      </c>
      <c r="T116">
        <v>1.2614500699999999E-16</v>
      </c>
      <c r="U116">
        <v>23.549858793361103</v>
      </c>
      <c r="V116">
        <v>91.850000000000009</v>
      </c>
      <c r="W116">
        <v>-238.4252927984536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930</v>
      </c>
      <c r="B117">
        <v>30</v>
      </c>
      <c r="C117">
        <v>15</v>
      </c>
      <c r="D117">
        <v>2.95</v>
      </c>
      <c r="E117">
        <v>20</v>
      </c>
      <c r="F117">
        <v>12</v>
      </c>
      <c r="G117">
        <v>0.56747999999999998</v>
      </c>
      <c r="H117">
        <v>20</v>
      </c>
      <c r="I117">
        <v>12</v>
      </c>
      <c r="J117">
        <v>0.52</v>
      </c>
      <c r="K117">
        <v>610930095.26682949</v>
      </c>
      <c r="L117">
        <v>49300000</v>
      </c>
      <c r="M117">
        <v>79696421.04940398</v>
      </c>
      <c r="N117">
        <v>73541000</v>
      </c>
      <c r="O117">
        <v>17282703.199999999</v>
      </c>
      <c r="P117">
        <v>227.467502</v>
      </c>
      <c r="Q117">
        <v>1.3528305892451478</v>
      </c>
      <c r="R117">
        <v>43.783581699999999</v>
      </c>
      <c r="S117">
        <v>782.85150399999998</v>
      </c>
      <c r="T117">
        <v>1.2601761799999999E-16</v>
      </c>
      <c r="U117">
        <v>23.545618983958299</v>
      </c>
      <c r="V117">
        <v>91.850000000000009</v>
      </c>
      <c r="W117">
        <v>-238.4252927984536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930</v>
      </c>
      <c r="B118">
        <v>30</v>
      </c>
      <c r="C118">
        <v>15</v>
      </c>
      <c r="D118">
        <v>2.95</v>
      </c>
      <c r="E118">
        <v>20</v>
      </c>
      <c r="F118">
        <v>12</v>
      </c>
      <c r="G118">
        <v>0.56747999999999998</v>
      </c>
      <c r="H118">
        <v>20</v>
      </c>
      <c r="I118">
        <v>12</v>
      </c>
      <c r="J118">
        <v>0.62999999999999989</v>
      </c>
      <c r="K118">
        <v>610864017.45582354</v>
      </c>
      <c r="L118">
        <v>49299900</v>
      </c>
      <c r="M118">
        <v>79696320.96024242</v>
      </c>
      <c r="N118">
        <v>73529800</v>
      </c>
      <c r="O118">
        <v>17282679.84</v>
      </c>
      <c r="P118">
        <v>227.473321</v>
      </c>
      <c r="Q118">
        <v>1.3528141908339333</v>
      </c>
      <c r="R118">
        <v>43.783581699999999</v>
      </c>
      <c r="S118">
        <v>782.84986100000003</v>
      </c>
      <c r="T118">
        <v>1.26000932E-16</v>
      </c>
      <c r="U118">
        <v>23.545062853647899</v>
      </c>
      <c r="V118">
        <v>91.850000000000009</v>
      </c>
      <c r="W118">
        <v>-238.4252927984536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930</v>
      </c>
      <c r="B119">
        <v>30</v>
      </c>
      <c r="C119">
        <v>15</v>
      </c>
      <c r="D119">
        <v>2.95</v>
      </c>
      <c r="E119">
        <v>20</v>
      </c>
      <c r="F119">
        <v>12</v>
      </c>
      <c r="G119">
        <v>0.56747999999999998</v>
      </c>
      <c r="H119">
        <v>20</v>
      </c>
      <c r="I119">
        <v>12</v>
      </c>
      <c r="J119">
        <v>0.74</v>
      </c>
      <c r="K119">
        <v>610865637.87580633</v>
      </c>
      <c r="L119">
        <v>49299900</v>
      </c>
      <c r="M119">
        <v>79696320.96024242</v>
      </c>
      <c r="N119">
        <v>73524100</v>
      </c>
      <c r="O119">
        <v>17282679.84</v>
      </c>
      <c r="P119">
        <v>227.47507899999999</v>
      </c>
      <c r="Q119">
        <v>1.3529191848605531</v>
      </c>
      <c r="R119">
        <v>43.783581699999999</v>
      </c>
      <c r="S119">
        <v>782.84986100000003</v>
      </c>
      <c r="T119">
        <v>1.2599589300000001E-16</v>
      </c>
      <c r="U119">
        <v>23.544894822163201</v>
      </c>
      <c r="V119">
        <v>91.850000000000009</v>
      </c>
      <c r="W119">
        <v>-238.4252927984536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930</v>
      </c>
      <c r="B120">
        <v>30</v>
      </c>
      <c r="C120">
        <v>15</v>
      </c>
      <c r="D120">
        <v>2.95</v>
      </c>
      <c r="E120">
        <v>20</v>
      </c>
      <c r="F120">
        <v>12</v>
      </c>
      <c r="G120">
        <v>0.56747999999999998</v>
      </c>
      <c r="H120">
        <v>20</v>
      </c>
      <c r="I120">
        <v>12</v>
      </c>
      <c r="J120">
        <v>0.84999999999999987</v>
      </c>
      <c r="K120">
        <v>610865809.67614818</v>
      </c>
      <c r="L120">
        <v>49299900</v>
      </c>
      <c r="M120">
        <v>79696220.918743268</v>
      </c>
      <c r="N120">
        <v>73521000</v>
      </c>
      <c r="O120">
        <v>17282679.84</v>
      </c>
      <c r="P120">
        <v>227.475852</v>
      </c>
      <c r="Q120">
        <v>1.3529752579635705</v>
      </c>
      <c r="R120">
        <v>43.783581699999999</v>
      </c>
      <c r="S120">
        <v>782.84986100000003</v>
      </c>
      <c r="T120">
        <v>1.25993676E-16</v>
      </c>
      <c r="U120">
        <v>23.544820956017901</v>
      </c>
      <c r="V120">
        <v>91.850000000000009</v>
      </c>
      <c r="W120">
        <v>-238.4252927984536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930</v>
      </c>
      <c r="B121">
        <v>30</v>
      </c>
      <c r="C121">
        <v>15</v>
      </c>
      <c r="D121">
        <v>2.95</v>
      </c>
      <c r="E121">
        <v>20</v>
      </c>
      <c r="F121">
        <v>12</v>
      </c>
      <c r="G121">
        <v>0.56747999999999998</v>
      </c>
      <c r="H121">
        <v>20</v>
      </c>
      <c r="I121">
        <v>12</v>
      </c>
      <c r="J121">
        <v>0.96</v>
      </c>
      <c r="K121">
        <v>611007020.75070953</v>
      </c>
      <c r="L121">
        <v>49299400</v>
      </c>
      <c r="M121">
        <v>79696220.918743268</v>
      </c>
      <c r="N121">
        <v>73519100</v>
      </c>
      <c r="O121">
        <v>17282679.84</v>
      </c>
      <c r="P121">
        <v>227.47627399999999</v>
      </c>
      <c r="Q121">
        <v>1.3534213307824039</v>
      </c>
      <c r="R121">
        <v>43.783581699999999</v>
      </c>
      <c r="S121">
        <v>782.84902699999998</v>
      </c>
      <c r="T121">
        <v>1.2599247400000001E-16</v>
      </c>
      <c r="U121">
        <v>23.544780649380201</v>
      </c>
      <c r="V121">
        <v>91.850000000000009</v>
      </c>
      <c r="W121">
        <v>-238.4252927984536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930</v>
      </c>
      <c r="B122">
        <v>30</v>
      </c>
      <c r="C122">
        <v>15</v>
      </c>
      <c r="D122">
        <v>2.95</v>
      </c>
      <c r="E122">
        <v>20</v>
      </c>
      <c r="F122">
        <v>12</v>
      </c>
      <c r="G122">
        <v>0.56747999999999998</v>
      </c>
      <c r="H122">
        <v>20</v>
      </c>
      <c r="I122">
        <v>12</v>
      </c>
      <c r="J122">
        <v>1.0699999999999998</v>
      </c>
      <c r="K122">
        <v>611008154.86043239</v>
      </c>
      <c r="L122">
        <v>49299400</v>
      </c>
      <c r="M122">
        <v>79696220.918743268</v>
      </c>
      <c r="N122">
        <v>73517800</v>
      </c>
      <c r="O122">
        <v>17282679.84</v>
      </c>
      <c r="P122">
        <v>227.476541</v>
      </c>
      <c r="Q122">
        <v>1.3534483541205398</v>
      </c>
      <c r="R122">
        <v>43.783581699999999</v>
      </c>
      <c r="S122">
        <v>782.84902699999998</v>
      </c>
      <c r="T122">
        <v>1.25991713E-16</v>
      </c>
      <c r="U122">
        <v>23.544758841599204</v>
      </c>
      <c r="V122">
        <v>91.850000000000009</v>
      </c>
      <c r="W122">
        <v>-238.4252927984536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930</v>
      </c>
      <c r="B123">
        <v>30</v>
      </c>
      <c r="C123">
        <v>15</v>
      </c>
      <c r="D123">
        <v>2.95</v>
      </c>
      <c r="E123">
        <v>20</v>
      </c>
      <c r="F123">
        <v>12</v>
      </c>
      <c r="G123">
        <v>0.56747999999999998</v>
      </c>
      <c r="H123">
        <v>20</v>
      </c>
      <c r="I123">
        <v>12</v>
      </c>
      <c r="J123">
        <v>1.18</v>
      </c>
      <c r="K123">
        <v>611086251.05276632</v>
      </c>
      <c r="L123">
        <v>49299400</v>
      </c>
      <c r="M123">
        <v>79696220.918743268</v>
      </c>
      <c r="N123">
        <v>73517000</v>
      </c>
      <c r="O123">
        <v>17282679.84</v>
      </c>
      <c r="P123">
        <v>227.476541</v>
      </c>
      <c r="Q123">
        <v>1.3536969400737706</v>
      </c>
      <c r="R123">
        <v>43.783581699999999</v>
      </c>
      <c r="S123">
        <v>782.84902699999998</v>
      </c>
      <c r="T123">
        <v>1.25991201E-16</v>
      </c>
      <c r="U123">
        <v>23.544752476125204</v>
      </c>
      <c r="V123">
        <v>91.850000000000009</v>
      </c>
      <c r="W123">
        <v>-238.4252927984536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930</v>
      </c>
      <c r="B124">
        <v>30</v>
      </c>
      <c r="C124">
        <v>15</v>
      </c>
      <c r="D124">
        <v>2.95</v>
      </c>
      <c r="E124">
        <v>20</v>
      </c>
      <c r="F124">
        <v>12</v>
      </c>
      <c r="G124">
        <v>0.56747999999999998</v>
      </c>
      <c r="H124">
        <v>20</v>
      </c>
      <c r="I124">
        <v>12</v>
      </c>
      <c r="J124">
        <v>1.2899999999999998</v>
      </c>
      <c r="K124">
        <v>611100319.61894727</v>
      </c>
      <c r="L124">
        <v>49299400</v>
      </c>
      <c r="M124">
        <v>79696220.918743268</v>
      </c>
      <c r="N124">
        <v>73516400</v>
      </c>
      <c r="O124">
        <v>17282679.84</v>
      </c>
      <c r="P124">
        <v>227.47685100000001</v>
      </c>
      <c r="Q124">
        <v>1.3537487232617855</v>
      </c>
      <c r="R124">
        <v>43.783581699999999</v>
      </c>
      <c r="S124">
        <v>782.84902699999998</v>
      </c>
      <c r="T124">
        <v>1.25990826E-16</v>
      </c>
      <c r="U124">
        <v>23.544727393055101</v>
      </c>
      <c r="V124">
        <v>91.850000000000009</v>
      </c>
      <c r="W124">
        <v>-238.4252927984536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930</v>
      </c>
      <c r="B125">
        <v>30</v>
      </c>
      <c r="C125">
        <v>15</v>
      </c>
      <c r="D125">
        <v>2.95</v>
      </c>
      <c r="E125">
        <v>20</v>
      </c>
      <c r="F125">
        <v>12</v>
      </c>
      <c r="G125">
        <v>0.56747999999999998</v>
      </c>
      <c r="H125">
        <v>20</v>
      </c>
      <c r="I125">
        <v>12</v>
      </c>
      <c r="J125">
        <v>1.4</v>
      </c>
      <c r="K125">
        <v>611101371.05866885</v>
      </c>
      <c r="L125">
        <v>49299400</v>
      </c>
      <c r="M125">
        <v>79696220.918743268</v>
      </c>
      <c r="N125">
        <v>73515900</v>
      </c>
      <c r="O125">
        <v>17282679.84</v>
      </c>
      <c r="P125">
        <v>227.47685100000001</v>
      </c>
      <c r="Q125">
        <v>1.35376156388944</v>
      </c>
      <c r="R125">
        <v>43.783581699999999</v>
      </c>
      <c r="S125">
        <v>782.84902699999998</v>
      </c>
      <c r="T125">
        <v>1.25990531E-16</v>
      </c>
      <c r="U125">
        <v>23.5447273205539</v>
      </c>
      <c r="V125">
        <v>91.850000000000009</v>
      </c>
      <c r="W125">
        <v>-238.4252927984536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A0E0-1A34-4C32-857B-CE1AD9A15B6E}">
  <dimension ref="A1:AT21"/>
  <sheetViews>
    <sheetView topLeftCell="K1" workbookViewId="0">
      <selection activeCell="AD12" sqref="AD12"/>
    </sheetView>
  </sheetViews>
  <sheetFormatPr defaultRowHeight="16.5"/>
  <sheetData>
    <row r="1" spans="1:46">
      <c r="A1" t="s">
        <v>60</v>
      </c>
      <c r="B1" t="s">
        <v>315</v>
      </c>
      <c r="C1" t="s">
        <v>322</v>
      </c>
      <c r="D1" t="s">
        <v>323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50</v>
      </c>
      <c r="L1" t="s">
        <v>330</v>
      </c>
      <c r="M1" t="s">
        <v>332</v>
      </c>
      <c r="N1" t="s">
        <v>51</v>
      </c>
      <c r="O1" t="s">
        <v>334</v>
      </c>
      <c r="P1" t="s">
        <v>336</v>
      </c>
      <c r="Q1" t="s">
        <v>204</v>
      </c>
      <c r="R1" t="s">
        <v>205</v>
      </c>
      <c r="S1" t="s">
        <v>206</v>
      </c>
      <c r="T1" t="s">
        <v>207</v>
      </c>
      <c r="U1" t="s">
        <v>208</v>
      </c>
      <c r="V1" t="s">
        <v>156</v>
      </c>
      <c r="W1" t="s">
        <v>209</v>
      </c>
      <c r="X1" t="s">
        <v>186</v>
      </c>
      <c r="Y1" t="s">
        <v>187</v>
      </c>
      <c r="Z1" t="s">
        <v>188</v>
      </c>
      <c r="AA1" t="s">
        <v>189</v>
      </c>
      <c r="AB1" t="s">
        <v>210</v>
      </c>
      <c r="AC1" t="s">
        <v>211</v>
      </c>
      <c r="AD1" t="s">
        <v>357</v>
      </c>
      <c r="AE1" t="s">
        <v>358</v>
      </c>
      <c r="AF1" t="s">
        <v>359</v>
      </c>
      <c r="AG1" t="s">
        <v>360</v>
      </c>
      <c r="AH1" t="s">
        <v>212</v>
      </c>
      <c r="AI1" t="s">
        <v>213</v>
      </c>
      <c r="AJ1" t="s">
        <v>214</v>
      </c>
      <c r="AK1" t="s">
        <v>215</v>
      </c>
      <c r="AL1" t="s">
        <v>216</v>
      </c>
      <c r="AM1" t="s">
        <v>217</v>
      </c>
      <c r="AN1" t="s">
        <v>218</v>
      </c>
      <c r="AO1" t="s">
        <v>219</v>
      </c>
      <c r="AP1" t="s">
        <v>220</v>
      </c>
      <c r="AQ1" t="s">
        <v>361</v>
      </c>
      <c r="AR1" t="s">
        <v>362</v>
      </c>
      <c r="AS1" t="s">
        <v>363</v>
      </c>
      <c r="AT1" t="s">
        <v>364</v>
      </c>
    </row>
    <row r="2" spans="1:46">
      <c r="A2">
        <v>2.2000000000000002</v>
      </c>
      <c r="B2">
        <v>0</v>
      </c>
      <c r="C2">
        <v>0</v>
      </c>
      <c r="D2">
        <v>0</v>
      </c>
      <c r="E2">
        <v>1.8</v>
      </c>
      <c r="F2">
        <v>0</v>
      </c>
      <c r="G2">
        <v>2.4</v>
      </c>
      <c r="H2">
        <v>0</v>
      </c>
      <c r="I2">
        <v>0</v>
      </c>
      <c r="J2">
        <v>0</v>
      </c>
      <c r="K2">
        <v>3.5</v>
      </c>
      <c r="L2">
        <v>0</v>
      </c>
      <c r="M2">
        <v>0</v>
      </c>
      <c r="N2">
        <v>1.5</v>
      </c>
      <c r="O2">
        <v>0</v>
      </c>
      <c r="P2">
        <v>0</v>
      </c>
      <c r="Q2">
        <v>611091857.7887249</v>
      </c>
      <c r="R2">
        <v>49299400</v>
      </c>
      <c r="S2">
        <v>79696218.943424478</v>
      </c>
      <c r="T2">
        <v>73515900</v>
      </c>
      <c r="U2">
        <v>17281810.640000001</v>
      </c>
      <c r="V2">
        <v>227.478736</v>
      </c>
      <c r="W2">
        <v>1.3537219559122291</v>
      </c>
      <c r="X2">
        <v>43.783632699999998</v>
      </c>
      <c r="Y2">
        <v>782.84833300000003</v>
      </c>
      <c r="Z2">
        <v>1.2598471200000001E-16</v>
      </c>
      <c r="AA2">
        <v>23.544545688111899</v>
      </c>
      <c r="AB2">
        <v>91.850000000000009</v>
      </c>
      <c r="AC2">
        <v>-239.50060334815723</v>
      </c>
      <c r="AD2">
        <v>62.893989400000002</v>
      </c>
      <c r="AE2">
        <v>92.803696299999999</v>
      </c>
      <c r="AF2">
        <v>165.7</v>
      </c>
      <c r="AG2">
        <v>236.22724500000001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>
      <c r="A3">
        <v>0</v>
      </c>
      <c r="B3">
        <v>3.06</v>
      </c>
      <c r="C3">
        <v>0</v>
      </c>
      <c r="D3">
        <v>0</v>
      </c>
      <c r="E3">
        <v>1.8</v>
      </c>
      <c r="F3">
        <v>0</v>
      </c>
      <c r="G3">
        <v>2.4</v>
      </c>
      <c r="H3">
        <v>0</v>
      </c>
      <c r="I3">
        <v>0</v>
      </c>
      <c r="J3">
        <v>0</v>
      </c>
      <c r="K3">
        <v>3.5</v>
      </c>
      <c r="L3">
        <v>0</v>
      </c>
      <c r="M3">
        <v>0</v>
      </c>
      <c r="N3">
        <v>1.5</v>
      </c>
      <c r="O3">
        <v>0</v>
      </c>
      <c r="P3">
        <v>0</v>
      </c>
      <c r="Q3">
        <v>610329854.3128705</v>
      </c>
      <c r="R3">
        <v>49299400</v>
      </c>
      <c r="S3">
        <v>79696214.944097295</v>
      </c>
      <c r="T3">
        <v>73515900</v>
      </c>
      <c r="U3">
        <v>17273338.16</v>
      </c>
      <c r="V3">
        <v>218.84361200000001</v>
      </c>
      <c r="W3">
        <v>1.4047733294704396</v>
      </c>
      <c r="X3">
        <v>44.150002899999997</v>
      </c>
      <c r="Y3">
        <v>789.41819599999997</v>
      </c>
      <c r="Z3">
        <v>1.0925813399999999E-18</v>
      </c>
      <c r="AA3">
        <v>20.496791071184163</v>
      </c>
      <c r="AB3">
        <v>91.850000000000009</v>
      </c>
      <c r="AC3">
        <v>-409.30685835108807</v>
      </c>
      <c r="AD3">
        <v>62.770887500000001</v>
      </c>
      <c r="AE3">
        <v>92.649087100000003</v>
      </c>
      <c r="AF3">
        <v>144.29</v>
      </c>
      <c r="AG3">
        <v>225.61164600000001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>
      <c r="A4">
        <v>0</v>
      </c>
      <c r="B4">
        <v>0</v>
      </c>
      <c r="C4">
        <v>3</v>
      </c>
      <c r="D4">
        <v>0</v>
      </c>
      <c r="E4">
        <v>1.8</v>
      </c>
      <c r="F4">
        <v>0</v>
      </c>
      <c r="G4">
        <v>2.4</v>
      </c>
      <c r="H4">
        <v>0</v>
      </c>
      <c r="I4">
        <v>0</v>
      </c>
      <c r="J4">
        <v>0</v>
      </c>
      <c r="K4">
        <v>3.5</v>
      </c>
      <c r="L4">
        <v>0</v>
      </c>
      <c r="M4">
        <v>0</v>
      </c>
      <c r="N4">
        <v>1.5</v>
      </c>
      <c r="O4">
        <v>0</v>
      </c>
      <c r="P4">
        <v>0</v>
      </c>
      <c r="Q4">
        <v>610213880.50456285</v>
      </c>
      <c r="R4">
        <v>49299400</v>
      </c>
      <c r="S4">
        <v>79696222.223912299</v>
      </c>
      <c r="T4">
        <v>73515900</v>
      </c>
      <c r="U4">
        <v>17276555.600000001</v>
      </c>
      <c r="V4">
        <v>226.35624899999999</v>
      </c>
      <c r="W4">
        <v>1.3578018782622783</v>
      </c>
      <c r="X4">
        <v>43.8250539</v>
      </c>
      <c r="Y4">
        <v>784.40115000000003</v>
      </c>
      <c r="Z4">
        <v>3.4208687699999999E-17</v>
      </c>
      <c r="AA4">
        <v>22.567996198770622</v>
      </c>
      <c r="AB4">
        <v>91.850000000000009</v>
      </c>
      <c r="AC4">
        <v>-223.83348165227093</v>
      </c>
      <c r="AD4">
        <v>62.712003099999997</v>
      </c>
      <c r="AE4">
        <v>92.589609800000005</v>
      </c>
      <c r="AF4">
        <v>165.7</v>
      </c>
      <c r="AG4">
        <v>240.08799099999999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>
      <c r="A5">
        <v>0</v>
      </c>
      <c r="B5">
        <v>0</v>
      </c>
      <c r="C5">
        <v>0</v>
      </c>
      <c r="D5">
        <v>2.14</v>
      </c>
      <c r="E5">
        <v>1.8</v>
      </c>
      <c r="F5">
        <v>0</v>
      </c>
      <c r="G5">
        <v>2.4</v>
      </c>
      <c r="H5">
        <v>0</v>
      </c>
      <c r="I5">
        <v>0</v>
      </c>
      <c r="J5">
        <v>0</v>
      </c>
      <c r="K5">
        <v>3.5</v>
      </c>
      <c r="L5">
        <v>0</v>
      </c>
      <c r="M5">
        <v>0</v>
      </c>
      <c r="N5">
        <v>1.5</v>
      </c>
      <c r="O5">
        <v>0</v>
      </c>
      <c r="P5">
        <v>0</v>
      </c>
      <c r="Q5">
        <v>611174320.42685974</v>
      </c>
      <c r="R5">
        <v>49299400</v>
      </c>
      <c r="S5">
        <v>79696219.863185495</v>
      </c>
      <c r="T5">
        <v>73515900</v>
      </c>
      <c r="U5">
        <v>17282170.800000001</v>
      </c>
      <c r="V5">
        <v>227.76255599999999</v>
      </c>
      <c r="W5">
        <v>1.3522808358840384</v>
      </c>
      <c r="X5">
        <v>43.7993278</v>
      </c>
      <c r="Y5">
        <v>783.02941599999997</v>
      </c>
      <c r="Z5">
        <v>9.58186932E-17</v>
      </c>
      <c r="AA5">
        <v>23.631203876729401</v>
      </c>
      <c r="AB5">
        <v>91.850000000000009</v>
      </c>
      <c r="AC5">
        <v>-236.05294862845156</v>
      </c>
      <c r="AD5">
        <v>62.840889599999997</v>
      </c>
      <c r="AE5">
        <v>92.754747100000003</v>
      </c>
      <c r="AF5">
        <v>165.7</v>
      </c>
      <c r="AG5">
        <v>248.14986400000001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>
      <c r="A6">
        <v>2.2000000000000002</v>
      </c>
      <c r="B6">
        <v>0</v>
      </c>
      <c r="C6">
        <v>0</v>
      </c>
      <c r="D6">
        <v>0</v>
      </c>
      <c r="E6">
        <v>0</v>
      </c>
      <c r="F6">
        <v>2.1</v>
      </c>
      <c r="G6">
        <v>2.4</v>
      </c>
      <c r="H6">
        <v>0</v>
      </c>
      <c r="I6">
        <v>0</v>
      </c>
      <c r="J6">
        <v>0</v>
      </c>
      <c r="K6">
        <v>3.5</v>
      </c>
      <c r="L6">
        <v>0</v>
      </c>
      <c r="M6">
        <v>0</v>
      </c>
      <c r="N6">
        <v>1.5</v>
      </c>
      <c r="O6">
        <v>0</v>
      </c>
      <c r="P6">
        <v>0</v>
      </c>
      <c r="Q6">
        <v>612929920.94035923</v>
      </c>
      <c r="R6">
        <v>49299400</v>
      </c>
      <c r="S6">
        <v>79696218.431875452</v>
      </c>
      <c r="T6">
        <v>73515900</v>
      </c>
      <c r="U6">
        <v>17292551.280000001</v>
      </c>
      <c r="V6">
        <v>229.948195</v>
      </c>
      <c r="W6">
        <v>1.3446104154648775</v>
      </c>
      <c r="X6">
        <v>43.782388699999998</v>
      </c>
      <c r="Y6">
        <v>782.81257800000003</v>
      </c>
      <c r="Z6">
        <v>9.9353966300000004E-17</v>
      </c>
      <c r="AA6">
        <v>23.233849459605604</v>
      </c>
      <c r="AB6">
        <v>91.850000000000009</v>
      </c>
      <c r="AC6">
        <v>-210.71553542726915</v>
      </c>
      <c r="AD6">
        <v>60.201367099999999</v>
      </c>
      <c r="AE6">
        <v>85.755318200000005</v>
      </c>
      <c r="AF6">
        <v>165.7</v>
      </c>
      <c r="AG6">
        <v>236.542247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>
      <c r="A7">
        <v>2.2000000000000002</v>
      </c>
      <c r="B7">
        <v>0</v>
      </c>
      <c r="C7">
        <v>0</v>
      </c>
      <c r="D7">
        <v>0</v>
      </c>
      <c r="E7">
        <v>1.8</v>
      </c>
      <c r="F7">
        <v>0</v>
      </c>
      <c r="G7">
        <v>0</v>
      </c>
      <c r="H7">
        <v>2.06</v>
      </c>
      <c r="I7">
        <v>0</v>
      </c>
      <c r="J7">
        <v>0</v>
      </c>
      <c r="K7">
        <v>3.5</v>
      </c>
      <c r="L7">
        <v>0</v>
      </c>
      <c r="M7">
        <v>0</v>
      </c>
      <c r="N7">
        <v>1.5</v>
      </c>
      <c r="O7">
        <v>0</v>
      </c>
      <c r="P7">
        <v>0</v>
      </c>
      <c r="Q7">
        <v>610222263.54374647</v>
      </c>
      <c r="R7">
        <v>49299400</v>
      </c>
      <c r="S7">
        <v>79696219.29801628</v>
      </c>
      <c r="T7">
        <v>73515900</v>
      </c>
      <c r="U7">
        <v>17277312.800000001</v>
      </c>
      <c r="V7">
        <v>221.472882</v>
      </c>
      <c r="W7">
        <v>1.387766430554261</v>
      </c>
      <c r="X7">
        <v>43.827520700000001</v>
      </c>
      <c r="Y7">
        <v>781.96458800000005</v>
      </c>
      <c r="Z7">
        <v>7.4077346099999994E-17</v>
      </c>
      <c r="AA7">
        <v>23.640584877542075</v>
      </c>
      <c r="AB7">
        <v>100.934</v>
      </c>
      <c r="AC7">
        <v>-266.75402586691143</v>
      </c>
      <c r="AD7">
        <v>66.1608631</v>
      </c>
      <c r="AE7">
        <v>96.5094718</v>
      </c>
      <c r="AF7">
        <v>165.7</v>
      </c>
      <c r="AG7">
        <v>234.272693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>
      <c r="A8">
        <v>2.2000000000000002</v>
      </c>
      <c r="B8">
        <v>0</v>
      </c>
      <c r="C8">
        <v>0</v>
      </c>
      <c r="D8">
        <v>0</v>
      </c>
      <c r="E8">
        <v>1.8</v>
      </c>
      <c r="F8">
        <v>0</v>
      </c>
      <c r="G8">
        <v>0</v>
      </c>
      <c r="H8">
        <v>0</v>
      </c>
      <c r="I8">
        <v>1.77</v>
      </c>
      <c r="J8">
        <v>0</v>
      </c>
      <c r="K8">
        <v>3.5</v>
      </c>
      <c r="L8">
        <v>0</v>
      </c>
      <c r="M8">
        <v>0</v>
      </c>
      <c r="N8">
        <v>1.5</v>
      </c>
      <c r="O8">
        <v>0</v>
      </c>
      <c r="P8">
        <v>0</v>
      </c>
      <c r="Q8">
        <v>610611704.48921037</v>
      </c>
      <c r="R8">
        <v>49299400</v>
      </c>
      <c r="S8">
        <v>79696218.541375712</v>
      </c>
      <c r="T8">
        <v>73515900</v>
      </c>
      <c r="U8">
        <v>17280254</v>
      </c>
      <c r="V8">
        <v>200.831851</v>
      </c>
      <c r="W8">
        <v>1.5317142344063381</v>
      </c>
      <c r="X8">
        <v>43.989154599999999</v>
      </c>
      <c r="Y8">
        <v>785.60619299999996</v>
      </c>
      <c r="Z8">
        <v>4.5327332400000002E-18</v>
      </c>
      <c r="AA8">
        <v>22.361140105810502</v>
      </c>
      <c r="AB8">
        <v>100.934</v>
      </c>
      <c r="AC8">
        <v>-201.55223696023393</v>
      </c>
      <c r="AD8">
        <v>66.359556600000005</v>
      </c>
      <c r="AE8">
        <v>97.4805621</v>
      </c>
      <c r="AF8">
        <v>144.29</v>
      </c>
      <c r="AG8">
        <v>224.04320000000001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>
      <c r="A9">
        <v>2.2000000000000002</v>
      </c>
      <c r="B9">
        <v>0</v>
      </c>
      <c r="C9">
        <v>0</v>
      </c>
      <c r="D9">
        <v>0</v>
      </c>
      <c r="E9">
        <v>1.8</v>
      </c>
      <c r="F9">
        <v>0</v>
      </c>
      <c r="G9">
        <v>0</v>
      </c>
      <c r="H9">
        <v>0</v>
      </c>
      <c r="I9">
        <v>0</v>
      </c>
      <c r="J9">
        <v>2.06</v>
      </c>
      <c r="K9">
        <v>3.5</v>
      </c>
      <c r="L9">
        <v>0</v>
      </c>
      <c r="M9">
        <v>0</v>
      </c>
      <c r="N9">
        <v>1.5</v>
      </c>
      <c r="O9">
        <v>0</v>
      </c>
      <c r="P9">
        <v>0</v>
      </c>
      <c r="Q9">
        <v>610555865.63874102</v>
      </c>
      <c r="R9">
        <v>49299400</v>
      </c>
      <c r="S9">
        <v>79696217.499377072</v>
      </c>
      <c r="T9">
        <v>73515900</v>
      </c>
      <c r="U9">
        <v>17280901.199999999</v>
      </c>
      <c r="V9">
        <v>189.18952100000001</v>
      </c>
      <c r="W9">
        <v>1.6257723830757824</v>
      </c>
      <c r="X9">
        <v>44.093694599999999</v>
      </c>
      <c r="Y9">
        <v>789.57450500000004</v>
      </c>
      <c r="Z9">
        <v>1.9305736800000001E-18</v>
      </c>
      <c r="AA9">
        <v>22.397373038743648</v>
      </c>
      <c r="AB9">
        <v>100.934</v>
      </c>
      <c r="AC9">
        <v>-431.52667237458036</v>
      </c>
      <c r="AD9">
        <v>67.634516700000006</v>
      </c>
      <c r="AE9">
        <v>98.073458500000001</v>
      </c>
      <c r="AF9">
        <v>144.29</v>
      </c>
      <c r="AG9">
        <v>223.00542300000001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>
      <c r="A10">
        <v>2.2000000000000002</v>
      </c>
      <c r="B10">
        <v>0</v>
      </c>
      <c r="C10">
        <v>0</v>
      </c>
      <c r="D10">
        <v>0</v>
      </c>
      <c r="E10">
        <v>1.8</v>
      </c>
      <c r="F10">
        <v>0</v>
      </c>
      <c r="G10">
        <v>2.4</v>
      </c>
      <c r="H10">
        <v>0</v>
      </c>
      <c r="I10">
        <v>0</v>
      </c>
      <c r="J10">
        <v>0</v>
      </c>
      <c r="K10">
        <v>0</v>
      </c>
      <c r="L10">
        <v>3.44</v>
      </c>
      <c r="M10">
        <v>0</v>
      </c>
      <c r="N10">
        <v>1.5</v>
      </c>
      <c r="O10">
        <v>0</v>
      </c>
      <c r="P10">
        <v>0</v>
      </c>
      <c r="Q10">
        <v>611368131.19836116</v>
      </c>
      <c r="R10">
        <v>49299400</v>
      </c>
      <c r="S10">
        <v>79696219.047788695</v>
      </c>
      <c r="T10">
        <v>73515900</v>
      </c>
      <c r="U10">
        <v>17284392.080000002</v>
      </c>
      <c r="V10">
        <v>223.48124100000001</v>
      </c>
      <c r="W10">
        <v>1.3787757203568043</v>
      </c>
      <c r="X10">
        <v>44.8474948</v>
      </c>
      <c r="Y10">
        <v>795.87606300000004</v>
      </c>
      <c r="Z10">
        <v>1.05289687E-16</v>
      </c>
      <c r="AA10">
        <v>7.9858758706358017</v>
      </c>
      <c r="AB10">
        <v>91.850000000000009</v>
      </c>
      <c r="AC10">
        <v>-266.61469368264807</v>
      </c>
      <c r="AD10">
        <v>62.913750899999997</v>
      </c>
      <c r="AE10">
        <v>92.770769000000001</v>
      </c>
      <c r="AF10">
        <v>165.7</v>
      </c>
      <c r="AG10">
        <v>236.04357899999999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1.7655161705247835E-2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>
        <v>2.2000000000000002</v>
      </c>
      <c r="B11">
        <v>0</v>
      </c>
      <c r="C11">
        <v>0</v>
      </c>
      <c r="D11">
        <v>0</v>
      </c>
      <c r="E11">
        <v>1.8</v>
      </c>
      <c r="F11">
        <v>0</v>
      </c>
      <c r="G11">
        <v>2.4</v>
      </c>
      <c r="H11">
        <v>0</v>
      </c>
      <c r="I11">
        <v>0</v>
      </c>
      <c r="J11">
        <v>0</v>
      </c>
      <c r="K11">
        <v>0</v>
      </c>
      <c r="L11">
        <v>0</v>
      </c>
      <c r="M11">
        <v>2.69</v>
      </c>
      <c r="N11">
        <v>1.5</v>
      </c>
      <c r="O11">
        <v>0</v>
      </c>
      <c r="P11">
        <v>0</v>
      </c>
      <c r="Q11">
        <v>613198537.81163502</v>
      </c>
      <c r="R11">
        <v>49299400</v>
      </c>
      <c r="S11">
        <v>79696222.022579744</v>
      </c>
      <c r="T11">
        <v>73515900</v>
      </c>
      <c r="U11">
        <v>17297885.439999998</v>
      </c>
      <c r="V11">
        <v>221.616095</v>
      </c>
      <c r="W11">
        <v>1.3959865593412766</v>
      </c>
      <c r="X11">
        <v>44.083419200000002</v>
      </c>
      <c r="Y11">
        <v>785.88390500000003</v>
      </c>
      <c r="Z11">
        <v>2.5749648199999999E-15</v>
      </c>
      <c r="AA11">
        <v>9.2745358128521538</v>
      </c>
      <c r="AB11">
        <v>91.850000000000009</v>
      </c>
      <c r="AC11">
        <v>-253.98814923436026</v>
      </c>
      <c r="AD11">
        <v>64.194232799999995</v>
      </c>
      <c r="AE11">
        <v>92.892523499999996</v>
      </c>
      <c r="AF11">
        <v>165.7</v>
      </c>
      <c r="AG11">
        <v>229.03933000000001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>
      <c r="A12">
        <v>2.2000000000000002</v>
      </c>
      <c r="B12">
        <v>0</v>
      </c>
      <c r="C12">
        <v>0</v>
      </c>
      <c r="D12">
        <v>0</v>
      </c>
      <c r="E12">
        <v>1.8</v>
      </c>
      <c r="F12">
        <v>0</v>
      </c>
      <c r="G12">
        <v>2.4</v>
      </c>
      <c r="H12">
        <v>0</v>
      </c>
      <c r="I12">
        <v>0</v>
      </c>
      <c r="J12">
        <v>0</v>
      </c>
      <c r="K12">
        <v>3.5</v>
      </c>
      <c r="L12">
        <v>0</v>
      </c>
      <c r="M12">
        <v>0</v>
      </c>
      <c r="N12">
        <v>0</v>
      </c>
      <c r="O12">
        <v>1.24</v>
      </c>
      <c r="P12">
        <v>0</v>
      </c>
      <c r="Q12">
        <v>611682208.98723674</v>
      </c>
      <c r="R12">
        <v>49299400</v>
      </c>
      <c r="S12">
        <v>79696218.539526746</v>
      </c>
      <c r="T12">
        <v>73515900</v>
      </c>
      <c r="U12">
        <v>17284050.960000001</v>
      </c>
      <c r="V12">
        <v>224.930295</v>
      </c>
      <c r="W12">
        <v>1.3708412304451685</v>
      </c>
      <c r="X12">
        <v>43.627155500000001</v>
      </c>
      <c r="Y12">
        <v>778.58749899999998</v>
      </c>
      <c r="Z12">
        <v>1.1092454800000001E-15</v>
      </c>
      <c r="AA12">
        <v>19.328862376652729</v>
      </c>
      <c r="AB12">
        <v>91.850000000000009</v>
      </c>
      <c r="AC12">
        <v>-238.8943029407466</v>
      </c>
      <c r="AD12">
        <v>62.863345700000004</v>
      </c>
      <c r="AE12">
        <v>92.780074600000006</v>
      </c>
      <c r="AF12">
        <v>165.7</v>
      </c>
      <c r="AG12">
        <v>233.455941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>
      <c r="A13">
        <v>2.2000000000000002</v>
      </c>
      <c r="B13">
        <v>0</v>
      </c>
      <c r="C13">
        <v>0</v>
      </c>
      <c r="D13">
        <v>0</v>
      </c>
      <c r="E13">
        <v>1.8</v>
      </c>
      <c r="F13">
        <v>0</v>
      </c>
      <c r="G13">
        <v>2.4</v>
      </c>
      <c r="H13">
        <v>0</v>
      </c>
      <c r="I13">
        <v>0</v>
      </c>
      <c r="J13">
        <v>0</v>
      </c>
      <c r="K13">
        <v>3.5</v>
      </c>
      <c r="L13">
        <v>0</v>
      </c>
      <c r="M13">
        <v>0</v>
      </c>
      <c r="N13">
        <v>0</v>
      </c>
      <c r="O13">
        <v>0</v>
      </c>
      <c r="P13">
        <v>1.3</v>
      </c>
      <c r="Q13">
        <v>611615175.22062886</v>
      </c>
      <c r="R13">
        <v>49299400</v>
      </c>
      <c r="S13">
        <v>79696218.824063033</v>
      </c>
      <c r="T13">
        <v>73515900</v>
      </c>
      <c r="U13">
        <v>17283467.919999998</v>
      </c>
      <c r="V13">
        <v>226.271209</v>
      </c>
      <c r="W13">
        <v>1.3625163250278063</v>
      </c>
      <c r="X13">
        <v>43.6080969</v>
      </c>
      <c r="Y13">
        <v>779.54591100000005</v>
      </c>
      <c r="Z13">
        <v>1.0407077699999999E-15</v>
      </c>
      <c r="AA13">
        <v>19.207163182540537</v>
      </c>
      <c r="AB13">
        <v>91.850000000000009</v>
      </c>
      <c r="AC13">
        <v>-238.8056443034265</v>
      </c>
      <c r="AD13">
        <v>62.840800999999999</v>
      </c>
      <c r="AE13">
        <v>92.759472500000001</v>
      </c>
      <c r="AF13">
        <v>165.7</v>
      </c>
      <c r="AG13">
        <v>231.17583999999999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5" spans="1:46">
      <c r="U15" s="27" t="s">
        <v>368</v>
      </c>
      <c r="V15" s="27">
        <f>MIN(V3:V13)</f>
        <v>189.18952100000001</v>
      </c>
      <c r="W15" s="27"/>
      <c r="X15" s="27">
        <f>MIN(X3:X13)</f>
        <v>43.6080969</v>
      </c>
      <c r="Y15" s="27">
        <f>MIN(Y3:Y13)</f>
        <v>778.58749899999998</v>
      </c>
      <c r="Z15" s="27">
        <f>MIN(Z3:Z13)</f>
        <v>1.0925813399999999E-18</v>
      </c>
      <c r="AA15" s="18">
        <f>MIN(AA3:AA13)</f>
        <v>7.9858758706358017</v>
      </c>
      <c r="AB15" s="27">
        <f>MIN(AB3:AB13)</f>
        <v>91.850000000000009</v>
      </c>
      <c r="AC15" s="27">
        <f>MIN(AC3:AC13)</f>
        <v>-431.52667237458036</v>
      </c>
      <c r="AD15" s="27">
        <f>MIN(AD3:AD13)</f>
        <v>60.201367099999999</v>
      </c>
      <c r="AE15" s="27">
        <f>MIN(AE3:AE13)</f>
        <v>85.755318200000005</v>
      </c>
      <c r="AF15" s="27">
        <f>MIN(AF3:AF13)</f>
        <v>144.29</v>
      </c>
      <c r="AG15" s="27">
        <f>MIN(AG3:AG13)</f>
        <v>223.00542300000001</v>
      </c>
    </row>
    <row r="16" spans="1:46">
      <c r="U16" s="27" t="s">
        <v>367</v>
      </c>
      <c r="V16" s="27">
        <f>MAX(V3:V13)</f>
        <v>229.948195</v>
      </c>
      <c r="W16" s="27"/>
      <c r="X16" s="27">
        <f>MAX(X3:X13)</f>
        <v>44.8474948</v>
      </c>
      <c r="Y16" s="27">
        <f>MAX(Y3:Y13)</f>
        <v>795.87606300000004</v>
      </c>
      <c r="Z16" s="27">
        <f>MAX(Z3:Z13)</f>
        <v>2.5749648199999999E-15</v>
      </c>
      <c r="AA16" s="18">
        <f>MAX(AA3:AA13)</f>
        <v>23.640584877542075</v>
      </c>
      <c r="AB16" s="27">
        <f>MAX(AB3:AB13)</f>
        <v>100.934</v>
      </c>
      <c r="AC16" s="27">
        <f>MAX(AC3:AC13)</f>
        <v>-201.55223696023393</v>
      </c>
      <c r="AD16" s="27">
        <f>MAX(AD3:AD13)</f>
        <v>67.634516700000006</v>
      </c>
      <c r="AE16" s="27">
        <f>MAX(AE3:AE13)</f>
        <v>98.073458500000001</v>
      </c>
      <c r="AF16" s="27">
        <f>MAX(AF3:AF13)</f>
        <v>165.7</v>
      </c>
      <c r="AG16" s="27">
        <f>MAX(AG3:AG13)</f>
        <v>248.14986400000001</v>
      </c>
    </row>
    <row r="17" spans="21:33">
      <c r="U17" s="27"/>
      <c r="V17" s="27"/>
      <c r="W17" s="27"/>
      <c r="X17" s="27"/>
      <c r="Y17" s="27"/>
      <c r="Z17" s="27"/>
      <c r="AA17" s="18"/>
      <c r="AB17" s="27"/>
      <c r="AC17" s="27"/>
      <c r="AD17" s="27"/>
      <c r="AE17" s="27"/>
      <c r="AF17" s="27"/>
      <c r="AG17" s="27"/>
    </row>
    <row r="18" spans="21:33">
      <c r="U18" s="27" t="s">
        <v>369</v>
      </c>
      <c r="V18" s="27">
        <f>V15-V$2</f>
        <v>-38.289214999999984</v>
      </c>
      <c r="W18" s="27"/>
      <c r="X18" s="27">
        <f>X15-X$2</f>
        <v>-0.17553579999999869</v>
      </c>
      <c r="Y18" s="27">
        <f>Y15-Y$2</f>
        <v>-4.2608340000000453</v>
      </c>
      <c r="Z18" s="27">
        <f>Z15-Z$2</f>
        <v>-1.2489213066000001E-16</v>
      </c>
      <c r="AA18" s="18">
        <f>AA15-AA$2</f>
        <v>-15.558669817476098</v>
      </c>
      <c r="AB18" s="27">
        <f>AB15-AB$2</f>
        <v>0</v>
      </c>
      <c r="AC18" s="27">
        <f>AC15-AC$2</f>
        <v>-192.02606902642313</v>
      </c>
      <c r="AD18" s="27">
        <f>AD15-AD$2</f>
        <v>-2.6926223000000036</v>
      </c>
      <c r="AE18" s="27">
        <f>AE15-AE$2</f>
        <v>-7.0483780999999937</v>
      </c>
      <c r="AF18" s="27">
        <f>AF15-AF$2</f>
        <v>-21.409999999999997</v>
      </c>
      <c r="AG18" s="27">
        <f>AG15-AG$2</f>
        <v>-13.221822000000003</v>
      </c>
    </row>
    <row r="19" spans="21:33">
      <c r="U19" s="27" t="s">
        <v>370</v>
      </c>
      <c r="V19" s="27">
        <f>V16-V$2</f>
        <v>2.4694590000000005</v>
      </c>
      <c r="W19" s="27"/>
      <c r="X19" s="27">
        <f>X16-X$2</f>
        <v>1.0638621000000015</v>
      </c>
      <c r="Y19" s="27">
        <f>Y16-Y$2</f>
        <v>13.02773000000002</v>
      </c>
      <c r="Z19" s="27">
        <f>Z16-Z$2</f>
        <v>2.4489801079999999E-15</v>
      </c>
      <c r="AA19" s="18">
        <f>AA16-AA$2</f>
        <v>9.6039189430175753E-2</v>
      </c>
      <c r="AB19" s="27">
        <f>AB16-AB$2</f>
        <v>9.083999999999989</v>
      </c>
      <c r="AC19" s="27">
        <f>AC16-AC$2</f>
        <v>37.948366387923301</v>
      </c>
      <c r="AD19" s="27">
        <f>AD16-AD$2</f>
        <v>4.7405273000000037</v>
      </c>
      <c r="AE19" s="27">
        <f>AE16-AE$2</f>
        <v>5.2697622000000024</v>
      </c>
      <c r="AF19" s="27">
        <f>AF16-AF$2</f>
        <v>0</v>
      </c>
      <c r="AG19" s="27">
        <f>AG16-AG$2</f>
        <v>11.922618999999997</v>
      </c>
    </row>
    <row r="20" spans="21:33">
      <c r="U20" s="27"/>
      <c r="V20" s="27"/>
      <c r="W20" s="27"/>
      <c r="X20" s="27"/>
      <c r="Y20" s="27"/>
      <c r="Z20" s="27"/>
      <c r="AA20" s="18"/>
      <c r="AB20" s="27"/>
      <c r="AC20" s="27"/>
      <c r="AD20" s="27"/>
      <c r="AE20" s="27"/>
      <c r="AF20" s="27"/>
      <c r="AG20" s="27"/>
    </row>
    <row r="21" spans="21:33">
      <c r="U21" s="27" t="s">
        <v>371</v>
      </c>
      <c r="V21" s="27">
        <f>AVERAGE(V2:V13)</f>
        <v>219.84853683333336</v>
      </c>
      <c r="W21" s="27"/>
      <c r="X21" s="27">
        <f>AVERAGE(X2:X13)</f>
        <v>43.95141185833333</v>
      </c>
      <c r="Y21" s="27">
        <f>AVERAGE(Y2:Y13)</f>
        <v>784.96236141666657</v>
      </c>
      <c r="Z21" s="27">
        <f>AVERAGE(Z2:Z13)</f>
        <v>4.3893392088000003E-16</v>
      </c>
      <c r="AA21" s="18">
        <f>AVERAGE(AA2:AA13)</f>
        <v>19.805826796598261</v>
      </c>
      <c r="AB21" s="27">
        <f>AVERAGE(AB2:AB13)</f>
        <v>94.120999999999995</v>
      </c>
      <c r="AC21" s="27">
        <f>AVERAGE(AC2:AC13)</f>
        <v>-268.12876273084532</v>
      </c>
      <c r="AD21" s="27">
        <f>AVERAGE(AD2:AD13)</f>
        <v>63.698850291666666</v>
      </c>
      <c r="AE21" s="27">
        <f>AVERAGE(AE2:AE13)</f>
        <v>93.31823254166666</v>
      </c>
      <c r="AF21" s="27">
        <f>AVERAGE(AF2:AF13)</f>
        <v>160.3475</v>
      </c>
      <c r="AG21" s="27">
        <f>AVERAGE(AG2:AG13)</f>
        <v>233.13791658333335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7368-A98A-49C0-ADCD-1EFE52998490}">
  <dimension ref="A1:AN114"/>
  <sheetViews>
    <sheetView workbookViewId="0">
      <selection activeCell="A5" sqref="A5:Q15"/>
    </sheetView>
  </sheetViews>
  <sheetFormatPr defaultRowHeight="16.5"/>
  <sheetData>
    <row r="1" spans="1:40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156</v>
      </c>
      <c r="Q1" t="s">
        <v>209</v>
      </c>
      <c r="R1" t="s">
        <v>186</v>
      </c>
      <c r="S1" t="s">
        <v>187</v>
      </c>
      <c r="T1" t="s">
        <v>188</v>
      </c>
      <c r="U1" t="s">
        <v>189</v>
      </c>
      <c r="V1" t="s">
        <v>210</v>
      </c>
      <c r="W1" t="s">
        <v>211</v>
      </c>
      <c r="X1" t="s">
        <v>357</v>
      </c>
      <c r="Y1" t="s">
        <v>358</v>
      </c>
      <c r="Z1" t="s">
        <v>359</v>
      </c>
      <c r="AA1" t="s">
        <v>360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220</v>
      </c>
      <c r="AK1" t="s">
        <v>361</v>
      </c>
      <c r="AL1" t="s">
        <v>362</v>
      </c>
      <c r="AM1" t="s">
        <v>363</v>
      </c>
      <c r="AN1" t="s">
        <v>364</v>
      </c>
    </row>
    <row r="2" spans="1:40">
      <c r="A2">
        <v>930</v>
      </c>
      <c r="B2">
        <v>30</v>
      </c>
      <c r="C2">
        <v>15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1.4</v>
      </c>
      <c r="K2">
        <v>611615175.22062886</v>
      </c>
      <c r="L2">
        <v>49299400</v>
      </c>
      <c r="M2">
        <v>79696218.824063033</v>
      </c>
      <c r="N2">
        <v>73515900</v>
      </c>
      <c r="O2">
        <v>17283467.919999998</v>
      </c>
      <c r="P2">
        <v>226.271209</v>
      </c>
      <c r="Q2">
        <v>1.3625163250278063</v>
      </c>
      <c r="R2">
        <v>43.6080969</v>
      </c>
      <c r="S2">
        <v>779.54591100000005</v>
      </c>
      <c r="T2">
        <v>1.0407077699999999E-15</v>
      </c>
      <c r="U2">
        <v>19.207163182540537</v>
      </c>
      <c r="V2">
        <v>91.850000000000009</v>
      </c>
      <c r="W2">
        <v>-238.8056443034265</v>
      </c>
      <c r="X2">
        <v>62.840800999999999</v>
      </c>
      <c r="Y2">
        <v>92.759472500000001</v>
      </c>
      <c r="Z2">
        <v>165.7</v>
      </c>
      <c r="AA2">
        <v>231.17583999999999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5.491046021824328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>
        <v>930</v>
      </c>
      <c r="B3">
        <v>30</v>
      </c>
      <c r="C3">
        <v>15</v>
      </c>
      <c r="D3">
        <v>2.95</v>
      </c>
      <c r="E3">
        <v>20</v>
      </c>
      <c r="F3">
        <v>12</v>
      </c>
      <c r="G3">
        <v>0.56747999999999998</v>
      </c>
      <c r="H3">
        <v>20</v>
      </c>
      <c r="I3">
        <v>12</v>
      </c>
      <c r="J3">
        <v>1.4</v>
      </c>
      <c r="K3">
        <v>611615175.22062886</v>
      </c>
      <c r="L3">
        <v>49299400</v>
      </c>
      <c r="M3">
        <v>79696218.824063033</v>
      </c>
      <c r="N3">
        <v>73515900</v>
      </c>
      <c r="O3">
        <v>15885038.24</v>
      </c>
      <c r="P3">
        <v>226.271209</v>
      </c>
      <c r="Q3">
        <v>1.3625163250278063</v>
      </c>
      <c r="R3">
        <v>43.6080969</v>
      </c>
      <c r="S3">
        <v>779.54591100000005</v>
      </c>
      <c r="T3">
        <v>1.0407077699999999E-15</v>
      </c>
      <c r="U3">
        <v>19.207163182540537</v>
      </c>
      <c r="V3">
        <v>91.850000000000009</v>
      </c>
      <c r="W3">
        <v>-238.8056443034265</v>
      </c>
      <c r="X3">
        <v>62.840800999999999</v>
      </c>
      <c r="Y3">
        <v>92.759472500000001</v>
      </c>
      <c r="Z3">
        <v>165.7</v>
      </c>
      <c r="AA3">
        <v>231.17583999999999</v>
      </c>
      <c r="AB3">
        <v>99</v>
      </c>
      <c r="AC3">
        <v>0</v>
      </c>
      <c r="AD3">
        <v>0</v>
      </c>
      <c r="AE3">
        <v>0</v>
      </c>
      <c r="AF3">
        <v>0</v>
      </c>
      <c r="AG3">
        <v>0</v>
      </c>
      <c r="AH3">
        <v>5.491046021824328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>
        <v>930</v>
      </c>
      <c r="B4">
        <v>30</v>
      </c>
      <c r="C4">
        <v>15</v>
      </c>
      <c r="D4">
        <v>2.95</v>
      </c>
      <c r="E4">
        <v>20</v>
      </c>
      <c r="F4">
        <v>12</v>
      </c>
      <c r="G4">
        <v>0.56747999999999998</v>
      </c>
      <c r="H4">
        <v>20</v>
      </c>
      <c r="I4">
        <v>12</v>
      </c>
      <c r="J4">
        <v>0.7</v>
      </c>
      <c r="K4">
        <v>583372405.49599671</v>
      </c>
      <c r="L4">
        <v>50126300</v>
      </c>
      <c r="M4">
        <v>79694718.824063033</v>
      </c>
      <c r="N4">
        <v>71705400</v>
      </c>
      <c r="O4">
        <v>15885038.24</v>
      </c>
      <c r="P4">
        <v>226.28026299999999</v>
      </c>
      <c r="Q4">
        <v>1.329182868775536</v>
      </c>
      <c r="R4">
        <v>43.6080969</v>
      </c>
      <c r="S4">
        <v>779.54344400000002</v>
      </c>
      <c r="T4">
        <v>1.0405959499999999E-15</v>
      </c>
      <c r="U4">
        <v>19.206404763539531</v>
      </c>
      <c r="V4">
        <v>91.850000000000009</v>
      </c>
      <c r="W4">
        <v>-238.82056056194332</v>
      </c>
      <c r="X4">
        <v>62.841637400000003</v>
      </c>
      <c r="Y4">
        <v>92.759895400000005</v>
      </c>
      <c r="Z4">
        <v>165.7</v>
      </c>
      <c r="AA4">
        <v>232.05795800000001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5.491994045575586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>
        <v>910</v>
      </c>
      <c r="B5">
        <v>30</v>
      </c>
      <c r="C5">
        <v>15</v>
      </c>
      <c r="D5">
        <v>2.95</v>
      </c>
      <c r="E5">
        <v>20</v>
      </c>
      <c r="F5">
        <v>12</v>
      </c>
      <c r="G5">
        <v>0.56747999999999998</v>
      </c>
      <c r="H5">
        <v>20</v>
      </c>
      <c r="I5">
        <v>12</v>
      </c>
      <c r="J5">
        <v>1.4</v>
      </c>
      <c r="K5">
        <v>583173562.4876523</v>
      </c>
      <c r="L5">
        <v>50218400</v>
      </c>
      <c r="M5">
        <v>79674145.755577862</v>
      </c>
      <c r="N5">
        <v>71200300</v>
      </c>
      <c r="O5">
        <v>15890479.600000001</v>
      </c>
      <c r="P5">
        <v>224.98823400000001</v>
      </c>
      <c r="Q5">
        <v>1.3479331889640114</v>
      </c>
      <c r="R5">
        <v>43.608513100000003</v>
      </c>
      <c r="S5">
        <v>779.51119000000006</v>
      </c>
      <c r="T5">
        <v>1.0467246199999999E-15</v>
      </c>
      <c r="U5">
        <v>19.201057221578637</v>
      </c>
      <c r="V5">
        <v>91.850000000000009</v>
      </c>
      <c r="W5">
        <v>-238.69670292509312</v>
      </c>
      <c r="X5">
        <v>62.86712</v>
      </c>
      <c r="Y5">
        <v>92.770306899999994</v>
      </c>
      <c r="Z5">
        <v>165.7</v>
      </c>
      <c r="AA5">
        <v>231.17670100000001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5.498678473026704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>
        <v>915</v>
      </c>
      <c r="B6">
        <v>30</v>
      </c>
      <c r="C6">
        <v>15</v>
      </c>
      <c r="D6">
        <v>2.95</v>
      </c>
      <c r="E6">
        <v>20</v>
      </c>
      <c r="F6">
        <v>12</v>
      </c>
      <c r="G6">
        <v>0.56747999999999998</v>
      </c>
      <c r="H6">
        <v>20</v>
      </c>
      <c r="I6">
        <v>12</v>
      </c>
      <c r="J6">
        <v>1.4</v>
      </c>
      <c r="K6">
        <v>583330112.47250605</v>
      </c>
      <c r="L6">
        <v>50224700</v>
      </c>
      <c r="M6">
        <v>79680038.086040586</v>
      </c>
      <c r="N6">
        <v>71333200</v>
      </c>
      <c r="O6">
        <v>15890347.680000002</v>
      </c>
      <c r="P6">
        <v>225.35302300000001</v>
      </c>
      <c r="Q6">
        <v>1.3437429103133045</v>
      </c>
      <c r="R6">
        <v>43.608394099999998</v>
      </c>
      <c r="S6">
        <v>779.52110900000002</v>
      </c>
      <c r="T6">
        <v>1.04500463E-15</v>
      </c>
      <c r="U6">
        <v>19.202834474138534</v>
      </c>
      <c r="V6">
        <v>91.850000000000009</v>
      </c>
      <c r="W6">
        <v>-238.72858510140466</v>
      </c>
      <c r="X6">
        <v>62.859628899999997</v>
      </c>
      <c r="Y6">
        <v>92.767220300000005</v>
      </c>
      <c r="Z6">
        <v>165.7</v>
      </c>
      <c r="AA6">
        <v>231.17645300000001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5.4964569073268326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>
        <v>920</v>
      </c>
      <c r="B7">
        <v>30</v>
      </c>
      <c r="C7">
        <v>15</v>
      </c>
      <c r="D7">
        <v>2.95</v>
      </c>
      <c r="E7">
        <v>20</v>
      </c>
      <c r="F7">
        <v>12</v>
      </c>
      <c r="G7">
        <v>0.56747999999999998</v>
      </c>
      <c r="H7">
        <v>20</v>
      </c>
      <c r="I7">
        <v>12</v>
      </c>
      <c r="J7">
        <v>1.4</v>
      </c>
      <c r="K7">
        <v>583293521.09322369</v>
      </c>
      <c r="L7">
        <v>50345900</v>
      </c>
      <c r="M7">
        <v>79686030.241467252</v>
      </c>
      <c r="N7">
        <v>71468900</v>
      </c>
      <c r="O7">
        <v>15892966.16</v>
      </c>
      <c r="P7">
        <v>225.72636</v>
      </c>
      <c r="Q7">
        <v>1.3411268351195913</v>
      </c>
      <c r="R7">
        <v>43.608272599999999</v>
      </c>
      <c r="S7">
        <v>779.53126599999996</v>
      </c>
      <c r="T7">
        <v>1.04322556E-15</v>
      </c>
      <c r="U7">
        <v>19.204588968746837</v>
      </c>
      <c r="V7">
        <v>91.850000000000009</v>
      </c>
      <c r="W7">
        <v>-238.75682366461635</v>
      </c>
      <c r="X7">
        <v>62.851831500000003</v>
      </c>
      <c r="Y7">
        <v>92.764010499999998</v>
      </c>
      <c r="Z7">
        <v>165.7</v>
      </c>
      <c r="AA7">
        <v>231.17620199999999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5.4942637890664532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>
        <v>925</v>
      </c>
      <c r="B8">
        <v>30</v>
      </c>
      <c r="C8">
        <v>15</v>
      </c>
      <c r="D8">
        <v>2.95</v>
      </c>
      <c r="E8">
        <v>20</v>
      </c>
      <c r="F8">
        <v>12</v>
      </c>
      <c r="G8">
        <v>0.56747999999999998</v>
      </c>
      <c r="H8">
        <v>20</v>
      </c>
      <c r="I8">
        <v>12</v>
      </c>
      <c r="J8">
        <v>1.4</v>
      </c>
      <c r="K8">
        <v>582969646.74656379</v>
      </c>
      <c r="L8">
        <v>50348700</v>
      </c>
      <c r="M8">
        <v>79688626.842234328</v>
      </c>
      <c r="N8">
        <v>71528500</v>
      </c>
      <c r="O8">
        <v>15883164.559999999</v>
      </c>
      <c r="P8">
        <v>225.88994099999999</v>
      </c>
      <c r="Q8">
        <v>1.3380723335704283</v>
      </c>
      <c r="R8">
        <v>43.608222099999999</v>
      </c>
      <c r="S8">
        <v>779.53548999999998</v>
      </c>
      <c r="T8">
        <v>1.04250179E-15</v>
      </c>
      <c r="U8">
        <v>19.205360254231433</v>
      </c>
      <c r="V8">
        <v>91.850000000000009</v>
      </c>
      <c r="W8">
        <v>-238.77223033883871</v>
      </c>
      <c r="X8">
        <v>62.848628499999997</v>
      </c>
      <c r="Y8">
        <v>92.762670900000003</v>
      </c>
      <c r="Z8">
        <v>165.7</v>
      </c>
      <c r="AA8">
        <v>231.17620199999999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5.4932996822107079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>
        <v>930</v>
      </c>
      <c r="B9">
        <v>30</v>
      </c>
      <c r="C9">
        <v>15</v>
      </c>
      <c r="D9">
        <v>2.95</v>
      </c>
      <c r="E9">
        <v>20</v>
      </c>
      <c r="F9">
        <v>12</v>
      </c>
      <c r="G9">
        <v>0.56747999999999998</v>
      </c>
      <c r="H9">
        <v>20</v>
      </c>
      <c r="I9">
        <v>12</v>
      </c>
      <c r="J9">
        <v>1.4</v>
      </c>
      <c r="K9">
        <v>583425175.29800379</v>
      </c>
      <c r="L9">
        <v>50125800</v>
      </c>
      <c r="M9">
        <v>79694718.824063033</v>
      </c>
      <c r="N9">
        <v>71667300</v>
      </c>
      <c r="O9">
        <v>15885038.24</v>
      </c>
      <c r="P9">
        <v>226.271209</v>
      </c>
      <c r="Q9">
        <v>1.3301279146777207</v>
      </c>
      <c r="R9">
        <v>43.6080969</v>
      </c>
      <c r="S9">
        <v>779.54591100000005</v>
      </c>
      <c r="T9">
        <v>1.0407077699999999E-15</v>
      </c>
      <c r="U9">
        <v>19.207163182540537</v>
      </c>
      <c r="V9">
        <v>91.850000000000009</v>
      </c>
      <c r="W9">
        <v>-238.8056443034265</v>
      </c>
      <c r="X9">
        <v>62.840800999999999</v>
      </c>
      <c r="Y9">
        <v>92.759472500000001</v>
      </c>
      <c r="Z9">
        <v>165.7</v>
      </c>
      <c r="AA9">
        <v>231.17583999999999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5.491046021824328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>
        <v>935</v>
      </c>
      <c r="B10">
        <v>30</v>
      </c>
      <c r="C10">
        <v>15</v>
      </c>
      <c r="D10">
        <v>2.95</v>
      </c>
      <c r="E10">
        <v>20</v>
      </c>
      <c r="F10">
        <v>12</v>
      </c>
      <c r="G10">
        <v>0.56747999999999998</v>
      </c>
      <c r="H10">
        <v>20</v>
      </c>
      <c r="I10">
        <v>12</v>
      </c>
      <c r="J10">
        <v>1.4</v>
      </c>
      <c r="K10">
        <v>583693414.4505614</v>
      </c>
      <c r="L10">
        <v>50125800</v>
      </c>
      <c r="M10">
        <v>79694708.649990007</v>
      </c>
      <c r="N10">
        <v>71667300</v>
      </c>
      <c r="O10">
        <v>15888926</v>
      </c>
      <c r="P10">
        <v>226.809731</v>
      </c>
      <c r="Q10">
        <v>1.3277726029393353</v>
      </c>
      <c r="R10">
        <v>43.607932699999999</v>
      </c>
      <c r="S10">
        <v>779.55906600000003</v>
      </c>
      <c r="T10">
        <v>1.0383002000000001E-15</v>
      </c>
      <c r="U10">
        <v>19.209976103693933</v>
      </c>
      <c r="V10">
        <v>91.850000000000009</v>
      </c>
      <c r="W10">
        <v>-238.85192485241916</v>
      </c>
      <c r="X10">
        <v>62.829986300000002</v>
      </c>
      <c r="Y10">
        <v>92.755045199999998</v>
      </c>
      <c r="Z10">
        <v>165.7</v>
      </c>
      <c r="AA10">
        <v>231.17554100000001</v>
      </c>
      <c r="AB10">
        <v>100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5.4875298703825841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>
        <v>940</v>
      </c>
      <c r="B11">
        <v>30</v>
      </c>
      <c r="C11">
        <v>15</v>
      </c>
      <c r="D11">
        <v>2.95</v>
      </c>
      <c r="E11">
        <v>20</v>
      </c>
      <c r="F11">
        <v>12</v>
      </c>
      <c r="G11">
        <v>0.56747999999999998</v>
      </c>
      <c r="H11">
        <v>20</v>
      </c>
      <c r="I11">
        <v>12</v>
      </c>
      <c r="J11">
        <v>1.4</v>
      </c>
      <c r="K11">
        <v>583554727.50176001</v>
      </c>
      <c r="L11">
        <v>50150800</v>
      </c>
      <c r="M11">
        <v>79707302.274733365</v>
      </c>
      <c r="N11">
        <v>71953500</v>
      </c>
      <c r="O11">
        <v>15889686.4</v>
      </c>
      <c r="P11">
        <v>227.057738</v>
      </c>
      <c r="Q11">
        <v>1.3208295627011264</v>
      </c>
      <c r="R11">
        <v>43.607836900000002</v>
      </c>
      <c r="S11">
        <v>779.567545</v>
      </c>
      <c r="T11">
        <v>1.0370075999999999E-15</v>
      </c>
      <c r="U11">
        <v>19.210818600133333</v>
      </c>
      <c r="V11">
        <v>91.850000000000009</v>
      </c>
      <c r="W11">
        <v>-238.87538914773762</v>
      </c>
      <c r="X11">
        <v>62.8250089</v>
      </c>
      <c r="Y11">
        <v>92.752924899999996</v>
      </c>
      <c r="Z11">
        <v>165.7</v>
      </c>
      <c r="AA11">
        <v>231.17554100000001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5.4864767498333329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>
        <v>945</v>
      </c>
      <c r="B12">
        <v>30</v>
      </c>
      <c r="C12">
        <v>15</v>
      </c>
      <c r="D12">
        <v>2.95</v>
      </c>
      <c r="E12">
        <v>20</v>
      </c>
      <c r="F12">
        <v>12</v>
      </c>
      <c r="G12">
        <v>0.56747999999999998</v>
      </c>
      <c r="H12">
        <v>20</v>
      </c>
      <c r="I12">
        <v>12</v>
      </c>
      <c r="J12">
        <v>1.4</v>
      </c>
      <c r="K12">
        <v>581617959.71192157</v>
      </c>
      <c r="L12">
        <v>50239400</v>
      </c>
      <c r="M12">
        <v>79713793.727961421</v>
      </c>
      <c r="N12">
        <v>72101300</v>
      </c>
      <c r="O12">
        <v>15892403.120000001</v>
      </c>
      <c r="P12">
        <v>227.462737</v>
      </c>
      <c r="Q12">
        <v>1.311548709138092</v>
      </c>
      <c r="R12">
        <v>43.607700600000001</v>
      </c>
      <c r="S12">
        <v>779.57880799999998</v>
      </c>
      <c r="T12">
        <v>1.0351314200000001E-15</v>
      </c>
      <c r="U12">
        <v>19.212742465174532</v>
      </c>
      <c r="V12">
        <v>91.850000000000009</v>
      </c>
      <c r="W12">
        <v>-238.91913630196183</v>
      </c>
      <c r="X12">
        <v>62.816919200000001</v>
      </c>
      <c r="Y12">
        <v>92.749678099999997</v>
      </c>
      <c r="Z12">
        <v>165.7</v>
      </c>
      <c r="AA12">
        <v>231.17504400000001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5.4840719185318338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>
        <v>950</v>
      </c>
      <c r="B13">
        <v>30</v>
      </c>
      <c r="C13">
        <v>15</v>
      </c>
      <c r="D13">
        <v>2.95</v>
      </c>
      <c r="E13">
        <v>20</v>
      </c>
      <c r="F13">
        <v>12</v>
      </c>
      <c r="G13">
        <v>0.56747999999999998</v>
      </c>
      <c r="H13">
        <v>20</v>
      </c>
      <c r="I13">
        <v>12</v>
      </c>
      <c r="J13">
        <v>1.4</v>
      </c>
      <c r="K13">
        <v>581762358.71098924</v>
      </c>
      <c r="L13">
        <v>50246500</v>
      </c>
      <c r="M13">
        <v>79720384.99999021</v>
      </c>
      <c r="N13">
        <v>72251900</v>
      </c>
      <c r="O13">
        <v>15895414.479999999</v>
      </c>
      <c r="P13">
        <v>227.87758500000001</v>
      </c>
      <c r="Q13">
        <v>1.3068114058393716</v>
      </c>
      <c r="R13">
        <v>43.607562199999997</v>
      </c>
      <c r="S13">
        <v>779.59033399999998</v>
      </c>
      <c r="T13">
        <v>1.0331681299999999E-15</v>
      </c>
      <c r="U13">
        <v>19.214578752860834</v>
      </c>
      <c r="V13">
        <v>91.850000000000009</v>
      </c>
      <c r="W13">
        <v>-238.95343232713586</v>
      </c>
      <c r="X13">
        <v>62.808644200000003</v>
      </c>
      <c r="Y13">
        <v>92.746221500000004</v>
      </c>
      <c r="Z13">
        <v>165.7</v>
      </c>
      <c r="AA13">
        <v>231.17477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5.481776558923956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>
        <v>955</v>
      </c>
      <c r="B14">
        <v>30</v>
      </c>
      <c r="C14">
        <v>15</v>
      </c>
      <c r="D14">
        <v>2.95</v>
      </c>
      <c r="E14">
        <v>20</v>
      </c>
      <c r="F14">
        <v>12</v>
      </c>
      <c r="G14">
        <v>0.56747999999999998</v>
      </c>
      <c r="H14">
        <v>20</v>
      </c>
      <c r="I14">
        <v>12</v>
      </c>
      <c r="J14">
        <v>1.4</v>
      </c>
      <c r="K14">
        <v>581957444.65165496</v>
      </c>
      <c r="L14">
        <v>50254900</v>
      </c>
      <c r="M14">
        <v>79728177.082485184</v>
      </c>
      <c r="N14">
        <v>72413400</v>
      </c>
      <c r="O14">
        <v>15881334.800000001</v>
      </c>
      <c r="P14">
        <v>228.32106999999999</v>
      </c>
      <c r="Q14">
        <v>1.3018931049907252</v>
      </c>
      <c r="R14">
        <v>43.6074889</v>
      </c>
      <c r="S14">
        <v>779.59662500000002</v>
      </c>
      <c r="T14">
        <v>1.03237255E-15</v>
      </c>
      <c r="U14">
        <v>19.216003904950632</v>
      </c>
      <c r="V14">
        <v>91.850000000000009</v>
      </c>
      <c r="W14">
        <v>-239.02307569719741</v>
      </c>
      <c r="X14">
        <v>62.801634700000001</v>
      </c>
      <c r="Y14">
        <v>92.743533999999997</v>
      </c>
      <c r="Z14">
        <v>165.7</v>
      </c>
      <c r="AA14">
        <v>231.17477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5.4799951188117095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>
        <v>960</v>
      </c>
      <c r="B15">
        <v>30</v>
      </c>
      <c r="C15">
        <v>15</v>
      </c>
      <c r="D15">
        <v>2.95</v>
      </c>
      <c r="E15">
        <v>20</v>
      </c>
      <c r="F15">
        <v>12</v>
      </c>
      <c r="G15">
        <v>0.56747999999999998</v>
      </c>
      <c r="H15">
        <v>20</v>
      </c>
      <c r="I15">
        <v>12</v>
      </c>
      <c r="J15">
        <v>1.4</v>
      </c>
      <c r="K15">
        <v>576520842.576545</v>
      </c>
      <c r="L15">
        <v>50254900</v>
      </c>
      <c r="M15">
        <v>79728302.407885</v>
      </c>
      <c r="N15">
        <v>72413400</v>
      </c>
      <c r="O15">
        <v>16377436.560000001</v>
      </c>
      <c r="P15">
        <v>219.74480600000001</v>
      </c>
      <c r="Q15">
        <v>1.335908533753662</v>
      </c>
      <c r="R15">
        <v>43.607358099999999</v>
      </c>
      <c r="S15">
        <v>779.59748399999989</v>
      </c>
      <c r="T15">
        <v>1.0241489000000001E-15</v>
      </c>
      <c r="U15">
        <v>19.201390874082133</v>
      </c>
      <c r="V15">
        <v>91.850000000000009</v>
      </c>
      <c r="W15">
        <v>-237.38621942429603</v>
      </c>
      <c r="X15">
        <v>62.908306000000003</v>
      </c>
      <c r="Y15">
        <v>92.782700800000001</v>
      </c>
      <c r="Z15">
        <v>165.7</v>
      </c>
      <c r="AA15">
        <v>231.174395</v>
      </c>
      <c r="AB15">
        <v>100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5.498261407397333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>
        <v>930</v>
      </c>
      <c r="B16">
        <v>27</v>
      </c>
      <c r="C16">
        <v>15</v>
      </c>
      <c r="D16">
        <v>2.95</v>
      </c>
      <c r="E16">
        <v>20</v>
      </c>
      <c r="F16">
        <v>12</v>
      </c>
      <c r="G16">
        <v>0.56747999999999998</v>
      </c>
      <c r="H16">
        <v>20</v>
      </c>
      <c r="I16">
        <v>12</v>
      </c>
      <c r="J16">
        <v>1.4</v>
      </c>
      <c r="K16">
        <v>583388476.12676716</v>
      </c>
      <c r="L16">
        <v>50125800</v>
      </c>
      <c r="M16">
        <v>79694718.823241279</v>
      </c>
      <c r="N16">
        <v>71682300</v>
      </c>
      <c r="O16">
        <v>15885038.16</v>
      </c>
      <c r="P16">
        <v>226.19957099999999</v>
      </c>
      <c r="Q16">
        <v>1.3301463018658812</v>
      </c>
      <c r="R16">
        <v>43.609631700000001</v>
      </c>
      <c r="S16">
        <v>779.52004199999999</v>
      </c>
      <c r="T16">
        <v>1.45398467E-13</v>
      </c>
      <c r="U16">
        <v>19.211241296171632</v>
      </c>
      <c r="V16">
        <v>91.850000000000009</v>
      </c>
      <c r="W16">
        <v>-239.63903125037845</v>
      </c>
      <c r="X16">
        <v>62.840232200000003</v>
      </c>
      <c r="Y16">
        <v>92.810304799999997</v>
      </c>
      <c r="Z16">
        <v>165.7</v>
      </c>
      <c r="AA16">
        <v>231.15897699999999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5.4859483797854587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>
        <v>930</v>
      </c>
      <c r="B17">
        <v>28</v>
      </c>
      <c r="C17">
        <v>15</v>
      </c>
      <c r="D17">
        <v>2.95</v>
      </c>
      <c r="E17">
        <v>20</v>
      </c>
      <c r="F17">
        <v>12</v>
      </c>
      <c r="G17">
        <v>0.56747999999999998</v>
      </c>
      <c r="H17">
        <v>20</v>
      </c>
      <c r="I17">
        <v>12</v>
      </c>
      <c r="J17">
        <v>1.4</v>
      </c>
      <c r="K17">
        <v>583393336.59165406</v>
      </c>
      <c r="L17">
        <v>50125800</v>
      </c>
      <c r="M17">
        <v>79694718.823241279</v>
      </c>
      <c r="N17">
        <v>71675700</v>
      </c>
      <c r="O17">
        <v>15885038.16</v>
      </c>
      <c r="P17">
        <v>226.23076800000001</v>
      </c>
      <c r="Q17">
        <v>1.3301062437659812</v>
      </c>
      <c r="R17">
        <v>43.608943199999999</v>
      </c>
      <c r="S17">
        <v>779.53139999999996</v>
      </c>
      <c r="T17">
        <v>3.58743801E-14</v>
      </c>
      <c r="U17">
        <v>19.209452859061631</v>
      </c>
      <c r="V17">
        <v>91.850000000000009</v>
      </c>
      <c r="W17">
        <v>-239.28006334722389</v>
      </c>
      <c r="X17">
        <v>62.840488499999999</v>
      </c>
      <c r="Y17">
        <v>92.791722199999995</v>
      </c>
      <c r="Z17">
        <v>165.7</v>
      </c>
      <c r="AA17">
        <v>231.16634500000001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5.4881839261729599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>
        <v>930</v>
      </c>
      <c r="B18">
        <v>29</v>
      </c>
      <c r="C18">
        <v>15</v>
      </c>
      <c r="D18">
        <v>2.95</v>
      </c>
      <c r="E18">
        <v>20</v>
      </c>
      <c r="F18">
        <v>12</v>
      </c>
      <c r="G18">
        <v>0.56747999999999998</v>
      </c>
      <c r="H18">
        <v>20</v>
      </c>
      <c r="I18">
        <v>12</v>
      </c>
      <c r="J18">
        <v>1.4</v>
      </c>
      <c r="K18">
        <v>583409235.56090331</v>
      </c>
      <c r="L18">
        <v>50125800</v>
      </c>
      <c r="M18">
        <v>79694718.823241279</v>
      </c>
      <c r="N18">
        <v>71670900</v>
      </c>
      <c r="O18">
        <v>15885038.16</v>
      </c>
      <c r="P18">
        <v>226.25391400000001</v>
      </c>
      <c r="Q18">
        <v>1.3301115267354211</v>
      </c>
      <c r="R18">
        <v>43.608449100000001</v>
      </c>
      <c r="S18">
        <v>779.5397670000001</v>
      </c>
      <c r="T18">
        <v>1.0376553E-15</v>
      </c>
      <c r="U18">
        <v>19.208137177349432</v>
      </c>
      <c r="V18">
        <v>91.850000000000009</v>
      </c>
      <c r="W18">
        <v>-239.00964299513365</v>
      </c>
      <c r="X18">
        <v>62.8406722</v>
      </c>
      <c r="Y18">
        <v>92.774879600000006</v>
      </c>
      <c r="Z18">
        <v>165.7</v>
      </c>
      <c r="AA18">
        <v>231.17179400000001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5.4898285283132093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>
        <v>930</v>
      </c>
      <c r="B19">
        <v>31</v>
      </c>
      <c r="C19">
        <v>15</v>
      </c>
      <c r="D19">
        <v>2.95</v>
      </c>
      <c r="E19">
        <v>20</v>
      </c>
      <c r="F19">
        <v>12</v>
      </c>
      <c r="G19">
        <v>0.56747999999999998</v>
      </c>
      <c r="H19">
        <v>20</v>
      </c>
      <c r="I19">
        <v>12</v>
      </c>
      <c r="J19">
        <v>1.4</v>
      </c>
      <c r="K19">
        <v>583481103.46444464</v>
      </c>
      <c r="L19">
        <v>50143500</v>
      </c>
      <c r="M19">
        <v>79694718.823241279</v>
      </c>
      <c r="N19">
        <v>71664600</v>
      </c>
      <c r="O19">
        <v>15885038.16</v>
      </c>
      <c r="P19">
        <v>226.28421</v>
      </c>
      <c r="Q19">
        <v>1.3306172403696617</v>
      </c>
      <c r="R19">
        <v>43.607848699999998</v>
      </c>
      <c r="S19">
        <v>779.55039800000009</v>
      </c>
      <c r="T19">
        <v>1.0429895500000001E-15</v>
      </c>
      <c r="U19">
        <v>19.206438951023834</v>
      </c>
      <c r="V19">
        <v>100.934</v>
      </c>
      <c r="W19">
        <v>-238.6515897512302</v>
      </c>
      <c r="X19">
        <v>62.840888200000002</v>
      </c>
      <c r="Y19">
        <v>92.745278200000001</v>
      </c>
      <c r="Z19">
        <v>165.7</v>
      </c>
      <c r="AA19">
        <v>231.178854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5.4919513112202072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>
      <c r="A20">
        <v>930</v>
      </c>
      <c r="B20">
        <v>32</v>
      </c>
      <c r="C20">
        <v>15</v>
      </c>
      <c r="D20">
        <v>2.95</v>
      </c>
      <c r="E20">
        <v>20</v>
      </c>
      <c r="F20">
        <v>12</v>
      </c>
      <c r="G20">
        <v>0.56747999999999998</v>
      </c>
      <c r="H20">
        <v>20</v>
      </c>
      <c r="I20">
        <v>12</v>
      </c>
      <c r="J20">
        <v>1.4</v>
      </c>
      <c r="K20">
        <v>583504061.2572124</v>
      </c>
      <c r="L20">
        <v>50143500</v>
      </c>
      <c r="M20">
        <v>79694718.823241279</v>
      </c>
      <c r="N20">
        <v>71662600</v>
      </c>
      <c r="O20">
        <v>15885038.16</v>
      </c>
      <c r="P20">
        <v>226.294048</v>
      </c>
      <c r="Q20">
        <v>1.3306672774083879</v>
      </c>
      <c r="R20">
        <v>43.607676699999999</v>
      </c>
      <c r="S20">
        <v>779.55364800000007</v>
      </c>
      <c r="T20">
        <v>1.04470013E-15</v>
      </c>
      <c r="U20">
        <v>19.205898063726636</v>
      </c>
      <c r="V20">
        <v>100.934</v>
      </c>
      <c r="W20">
        <v>-238.53517613947017</v>
      </c>
      <c r="X20">
        <v>62.840888200000002</v>
      </c>
      <c r="Y20">
        <v>92.7321314</v>
      </c>
      <c r="Z20">
        <v>165.7</v>
      </c>
      <c r="AA20">
        <v>231.181104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5.4926274203417051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>
      <c r="A21">
        <v>930</v>
      </c>
      <c r="B21">
        <v>33</v>
      </c>
      <c r="C21">
        <v>15</v>
      </c>
      <c r="D21">
        <v>2.95</v>
      </c>
      <c r="E21">
        <v>20</v>
      </c>
      <c r="F21">
        <v>12</v>
      </c>
      <c r="G21">
        <v>0.56747999999999998</v>
      </c>
      <c r="H21">
        <v>20</v>
      </c>
      <c r="I21">
        <v>12</v>
      </c>
      <c r="J21">
        <v>1.4</v>
      </c>
      <c r="K21">
        <v>583553029.8075031</v>
      </c>
      <c r="L21">
        <v>50143500</v>
      </c>
      <c r="M21">
        <v>79694718.823241279</v>
      </c>
      <c r="N21">
        <v>71661100</v>
      </c>
      <c r="O21">
        <v>15885038.16</v>
      </c>
      <c r="P21">
        <v>226.301546</v>
      </c>
      <c r="Q21">
        <v>1.3307993433153489</v>
      </c>
      <c r="R21">
        <v>43.607560800000002</v>
      </c>
      <c r="S21">
        <v>779.55597299999999</v>
      </c>
      <c r="T21">
        <v>1.0459863899999999E-15</v>
      </c>
      <c r="U21">
        <v>19.205491712150437</v>
      </c>
      <c r="V21">
        <v>100.934</v>
      </c>
      <c r="W21">
        <v>-238.44717159473566</v>
      </c>
      <c r="X21">
        <v>62.840980500000001</v>
      </c>
      <c r="Y21">
        <v>92.719906800000004</v>
      </c>
      <c r="Z21">
        <v>165.7</v>
      </c>
      <c r="AA21">
        <v>231.18278799999999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5.4931353598119532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>
      <c r="A22">
        <v>930</v>
      </c>
      <c r="B22">
        <v>34</v>
      </c>
      <c r="C22">
        <v>15</v>
      </c>
      <c r="D22">
        <v>2.95</v>
      </c>
      <c r="E22">
        <v>20</v>
      </c>
      <c r="F22">
        <v>12</v>
      </c>
      <c r="G22">
        <v>0.56747999999999998</v>
      </c>
      <c r="H22">
        <v>20</v>
      </c>
      <c r="I22">
        <v>12</v>
      </c>
      <c r="J22">
        <v>1.4</v>
      </c>
      <c r="K22">
        <v>583571003.62958372</v>
      </c>
      <c r="L22">
        <v>50143500</v>
      </c>
      <c r="M22">
        <v>79694718.823241279</v>
      </c>
      <c r="N22">
        <v>71660000</v>
      </c>
      <c r="O22">
        <v>15885038.16</v>
      </c>
      <c r="P22">
        <v>226.30731</v>
      </c>
      <c r="Q22">
        <v>1.3308408208463181</v>
      </c>
      <c r="R22">
        <v>43.607486100000003</v>
      </c>
      <c r="S22">
        <v>779.55760500000008</v>
      </c>
      <c r="T22">
        <v>1.04695553E-15</v>
      </c>
      <c r="U22">
        <v>19.205184480347032</v>
      </c>
      <c r="V22">
        <v>100.934</v>
      </c>
      <c r="W22">
        <v>-238.38065690357925</v>
      </c>
      <c r="X22">
        <v>62.840980500000001</v>
      </c>
      <c r="Y22">
        <v>92.708501799999993</v>
      </c>
      <c r="Z22">
        <v>165.7</v>
      </c>
      <c r="AA22">
        <v>231.18405000000001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5.4935193995662086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>
      <c r="A23">
        <v>930</v>
      </c>
      <c r="B23">
        <v>35</v>
      </c>
      <c r="C23">
        <v>15</v>
      </c>
      <c r="D23">
        <v>2.95</v>
      </c>
      <c r="E23">
        <v>20</v>
      </c>
      <c r="F23">
        <v>12</v>
      </c>
      <c r="G23">
        <v>0.56747999999999998</v>
      </c>
      <c r="H23">
        <v>20</v>
      </c>
      <c r="I23">
        <v>12</v>
      </c>
      <c r="J23">
        <v>1.4</v>
      </c>
      <c r="K23">
        <v>583612988.60416007</v>
      </c>
      <c r="L23">
        <v>50143500</v>
      </c>
      <c r="M23">
        <v>79694718.823241279</v>
      </c>
      <c r="N23">
        <v>71659200</v>
      </c>
      <c r="O23">
        <v>15885038.16</v>
      </c>
      <c r="P23">
        <v>226.31175400000001</v>
      </c>
      <c r="Q23">
        <v>1.3309562321341479</v>
      </c>
      <c r="R23">
        <v>43.607441299999998</v>
      </c>
      <c r="S23">
        <v>779.55872699999998</v>
      </c>
      <c r="T23">
        <v>1.0476889900000001E-15</v>
      </c>
      <c r="U23">
        <v>19.204953013050531</v>
      </c>
      <c r="V23">
        <v>100.934</v>
      </c>
      <c r="W23">
        <v>-238.33033765414407</v>
      </c>
      <c r="X23">
        <v>62.840980500000001</v>
      </c>
      <c r="Y23">
        <v>92.697842100000003</v>
      </c>
      <c r="Z23">
        <v>165.7</v>
      </c>
      <c r="AA23">
        <v>231.184999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5.4938087336868353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>
      <c r="A24">
        <v>930</v>
      </c>
      <c r="B24">
        <v>37</v>
      </c>
      <c r="C24">
        <v>15</v>
      </c>
      <c r="D24">
        <v>2.95</v>
      </c>
      <c r="E24">
        <v>20</v>
      </c>
      <c r="F24">
        <v>12</v>
      </c>
      <c r="G24">
        <v>0.56747999999999998</v>
      </c>
      <c r="H24">
        <v>20</v>
      </c>
      <c r="I24">
        <v>12</v>
      </c>
      <c r="J24">
        <v>1.4</v>
      </c>
      <c r="K24">
        <v>583653965.24590755</v>
      </c>
      <c r="L24">
        <v>50143500</v>
      </c>
      <c r="M24">
        <v>79694718.823241279</v>
      </c>
      <c r="N24">
        <v>71658100</v>
      </c>
      <c r="O24">
        <v>15885038.16</v>
      </c>
      <c r="P24">
        <v>226.317959</v>
      </c>
      <c r="Q24">
        <v>1.3310641086568487</v>
      </c>
      <c r="R24">
        <v>43.607441299999998</v>
      </c>
      <c r="S24">
        <v>779.55992100000003</v>
      </c>
      <c r="T24">
        <v>1.04866868E-15</v>
      </c>
      <c r="U24">
        <v>19.204641101525333</v>
      </c>
      <c r="V24">
        <v>100.934</v>
      </c>
      <c r="W24">
        <v>-238.26358424100516</v>
      </c>
      <c r="X24">
        <v>62.840980500000001</v>
      </c>
      <c r="Y24">
        <v>92.678493500000002</v>
      </c>
      <c r="Z24">
        <v>165.7</v>
      </c>
      <c r="AA24">
        <v>231.186249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5.4941986230933342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>
        <v>930</v>
      </c>
      <c r="B25">
        <v>38</v>
      </c>
      <c r="C25">
        <v>15</v>
      </c>
      <c r="D25">
        <v>2.95</v>
      </c>
      <c r="E25">
        <v>20</v>
      </c>
      <c r="F25">
        <v>12</v>
      </c>
      <c r="G25">
        <v>0.56747999999999998</v>
      </c>
      <c r="H25">
        <v>20</v>
      </c>
      <c r="I25">
        <v>12</v>
      </c>
      <c r="J25">
        <v>1.4</v>
      </c>
      <c r="K25">
        <v>583715957.67559552</v>
      </c>
      <c r="L25">
        <v>50161300</v>
      </c>
      <c r="M25">
        <v>79694718.823241279</v>
      </c>
      <c r="N25">
        <v>71657700</v>
      </c>
      <c r="O25">
        <v>15885038.16</v>
      </c>
      <c r="P25">
        <v>226.320132</v>
      </c>
      <c r="Q25">
        <v>1.3315922652734808</v>
      </c>
      <c r="R25">
        <v>43.607441299999998</v>
      </c>
      <c r="S25">
        <v>779.55992100000003</v>
      </c>
      <c r="T25">
        <v>1.04899197E-15</v>
      </c>
      <c r="U25">
        <v>19.204537069886531</v>
      </c>
      <c r="V25">
        <v>100.934</v>
      </c>
      <c r="W25">
        <v>-238.24189094509239</v>
      </c>
      <c r="X25">
        <v>62.840980500000001</v>
      </c>
      <c r="Y25">
        <v>92.669706199999993</v>
      </c>
      <c r="Z25">
        <v>165.7</v>
      </c>
      <c r="AA25">
        <v>231.186654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5.4943286626418359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>
      <c r="A26">
        <v>930</v>
      </c>
      <c r="B26">
        <v>39</v>
      </c>
      <c r="C26">
        <v>15</v>
      </c>
      <c r="D26">
        <v>2.95</v>
      </c>
      <c r="E26">
        <v>20</v>
      </c>
      <c r="F26">
        <v>12</v>
      </c>
      <c r="G26">
        <v>0.56747999999999998</v>
      </c>
      <c r="H26">
        <v>20</v>
      </c>
      <c r="I26">
        <v>12</v>
      </c>
      <c r="J26">
        <v>1.4</v>
      </c>
      <c r="K26">
        <v>583752949.26596642</v>
      </c>
      <c r="L26">
        <v>50161300</v>
      </c>
      <c r="M26">
        <v>79694718.823241279</v>
      </c>
      <c r="N26">
        <v>71657400</v>
      </c>
      <c r="O26">
        <v>15885038.16</v>
      </c>
      <c r="P26">
        <v>226.32188600000001</v>
      </c>
      <c r="Q26">
        <v>1.3316987535165192</v>
      </c>
      <c r="R26">
        <v>43.607441299999998</v>
      </c>
      <c r="S26">
        <v>779.55992100000003</v>
      </c>
      <c r="T26">
        <v>1.0492397299999999E-15</v>
      </c>
      <c r="U26">
        <v>19.204455938317434</v>
      </c>
      <c r="V26">
        <v>100.934</v>
      </c>
      <c r="W26">
        <v>-238.22553817944106</v>
      </c>
      <c r="X26">
        <v>62.840980500000001</v>
      </c>
      <c r="Y26">
        <v>92.661453399999999</v>
      </c>
      <c r="Z26">
        <v>165.7</v>
      </c>
      <c r="AA26">
        <v>231.18696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5.4944300771032069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>
      <c r="A27">
        <v>930</v>
      </c>
      <c r="B27">
        <v>30</v>
      </c>
      <c r="C27">
        <v>10</v>
      </c>
      <c r="D27">
        <v>2.95</v>
      </c>
      <c r="E27">
        <v>20</v>
      </c>
      <c r="F27">
        <v>12</v>
      </c>
      <c r="G27">
        <v>0.56747999999999998</v>
      </c>
      <c r="H27">
        <v>20</v>
      </c>
      <c r="I27">
        <v>12</v>
      </c>
      <c r="J27">
        <v>1.4</v>
      </c>
      <c r="K27">
        <v>583424989.53673482</v>
      </c>
      <c r="L27">
        <v>50125800</v>
      </c>
      <c r="M27">
        <v>79694718.823241279</v>
      </c>
      <c r="N27">
        <v>71678300</v>
      </c>
      <c r="O27">
        <v>15885038.16</v>
      </c>
      <c r="P27">
        <v>226.22062399999999</v>
      </c>
      <c r="Q27">
        <v>1.3302101382548983</v>
      </c>
      <c r="R27">
        <v>43.604102099999999</v>
      </c>
      <c r="S27">
        <v>779.60179300000004</v>
      </c>
      <c r="T27">
        <v>1.0435055400000001E-15</v>
      </c>
      <c r="U27">
        <v>19.209631562687132</v>
      </c>
      <c r="V27">
        <v>100.934</v>
      </c>
      <c r="W27">
        <v>-234.04386422991624</v>
      </c>
      <c r="X27">
        <v>62.850645700000001</v>
      </c>
      <c r="Y27">
        <v>92.835205200000004</v>
      </c>
      <c r="Z27">
        <v>165.7</v>
      </c>
      <c r="AA27">
        <v>231.18485799999999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5.4879605466410837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>
        <v>930</v>
      </c>
      <c r="B28">
        <v>30</v>
      </c>
      <c r="C28">
        <v>11</v>
      </c>
      <c r="D28">
        <v>2.95</v>
      </c>
      <c r="E28">
        <v>20</v>
      </c>
      <c r="F28">
        <v>12</v>
      </c>
      <c r="G28">
        <v>0.56747999999999998</v>
      </c>
      <c r="H28">
        <v>20</v>
      </c>
      <c r="I28">
        <v>12</v>
      </c>
      <c r="J28">
        <v>1.4</v>
      </c>
      <c r="K28">
        <v>583425006.48216498</v>
      </c>
      <c r="L28">
        <v>50125800</v>
      </c>
      <c r="M28">
        <v>79694718.823241279</v>
      </c>
      <c r="N28">
        <v>71671900</v>
      </c>
      <c r="O28">
        <v>15885038.16</v>
      </c>
      <c r="P28">
        <v>226.25047799999999</v>
      </c>
      <c r="Q28">
        <v>1.330159535886168</v>
      </c>
      <c r="R28">
        <v>43.605358899999999</v>
      </c>
      <c r="S28">
        <v>779.58380199999999</v>
      </c>
      <c r="T28">
        <v>1.04430903E-15</v>
      </c>
      <c r="U28">
        <v>19.208435513504732</v>
      </c>
      <c r="V28">
        <v>100.934</v>
      </c>
      <c r="W28">
        <v>-235.72136621402649</v>
      </c>
      <c r="X28">
        <v>62.846967800000002</v>
      </c>
      <c r="Y28">
        <v>92.799670800000001</v>
      </c>
      <c r="Z28">
        <v>165.7</v>
      </c>
      <c r="AA28">
        <v>231.18390099999999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5.4894556081190853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>
        <v>930</v>
      </c>
      <c r="B29">
        <v>30</v>
      </c>
      <c r="C29">
        <v>12</v>
      </c>
      <c r="D29">
        <v>2.95</v>
      </c>
      <c r="E29">
        <v>20</v>
      </c>
      <c r="F29">
        <v>12</v>
      </c>
      <c r="G29">
        <v>0.56747999999999998</v>
      </c>
      <c r="H29">
        <v>20</v>
      </c>
      <c r="I29">
        <v>12</v>
      </c>
      <c r="J29">
        <v>1.4</v>
      </c>
      <c r="K29">
        <v>583425031.85368168</v>
      </c>
      <c r="L29">
        <v>50125800</v>
      </c>
      <c r="M29">
        <v>79694718.823241279</v>
      </c>
      <c r="N29">
        <v>71668200</v>
      </c>
      <c r="O29">
        <v>15885038.16</v>
      </c>
      <c r="P29">
        <v>226.26785599999999</v>
      </c>
      <c r="Q29">
        <v>1.3301296366829962</v>
      </c>
      <c r="R29">
        <v>43.606279200000003</v>
      </c>
      <c r="S29">
        <v>779.57104800000002</v>
      </c>
      <c r="T29">
        <v>1.0443884500000001E-15</v>
      </c>
      <c r="U29">
        <v>19.207531591849936</v>
      </c>
      <c r="V29">
        <v>100.934</v>
      </c>
      <c r="W29">
        <v>-236.88328534453206</v>
      </c>
      <c r="X29">
        <v>62.844484000000001</v>
      </c>
      <c r="Y29">
        <v>92.777707199999995</v>
      </c>
      <c r="Z29">
        <v>165.7</v>
      </c>
      <c r="AA29">
        <v>231.18265099999999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5.4905855101875805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>
      <c r="A30">
        <v>930</v>
      </c>
      <c r="B30">
        <v>30</v>
      </c>
      <c r="C30">
        <v>13</v>
      </c>
      <c r="D30">
        <v>2.95</v>
      </c>
      <c r="E30">
        <v>20</v>
      </c>
      <c r="F30">
        <v>12</v>
      </c>
      <c r="G30">
        <v>0.56747999999999998</v>
      </c>
      <c r="H30">
        <v>20</v>
      </c>
      <c r="I30">
        <v>12</v>
      </c>
      <c r="J30">
        <v>1.4</v>
      </c>
      <c r="K30">
        <v>583425063.03459001</v>
      </c>
      <c r="L30">
        <v>50125800</v>
      </c>
      <c r="M30">
        <v>79694718.823241279</v>
      </c>
      <c r="N30">
        <v>71666400</v>
      </c>
      <c r="O30">
        <v>15885038.16</v>
      </c>
      <c r="P30">
        <v>226.27601100000001</v>
      </c>
      <c r="Q30">
        <v>1.3301169078622572</v>
      </c>
      <c r="R30">
        <v>43.606982899999998</v>
      </c>
      <c r="S30">
        <v>779.56145600000002</v>
      </c>
      <c r="T30">
        <v>1.04382608E-15</v>
      </c>
      <c r="U30">
        <v>19.207022852237735</v>
      </c>
      <c r="V30">
        <v>100.934</v>
      </c>
      <c r="W30">
        <v>-237.70765979466503</v>
      </c>
      <c r="X30">
        <v>62.842797699999998</v>
      </c>
      <c r="Y30">
        <v>92.765275000000003</v>
      </c>
      <c r="Z30">
        <v>165.7</v>
      </c>
      <c r="AA30">
        <v>231.18099699999999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5.4912214347028314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>
      <c r="A31">
        <v>930</v>
      </c>
      <c r="B31">
        <v>30</v>
      </c>
      <c r="C31">
        <v>14</v>
      </c>
      <c r="D31">
        <v>2.95</v>
      </c>
      <c r="E31">
        <v>20</v>
      </c>
      <c r="F31">
        <v>12</v>
      </c>
      <c r="G31">
        <v>0.56747999999999998</v>
      </c>
      <c r="H31">
        <v>20</v>
      </c>
      <c r="I31">
        <v>12</v>
      </c>
      <c r="J31">
        <v>1.4</v>
      </c>
      <c r="K31">
        <v>583425100.00294685</v>
      </c>
      <c r="L31">
        <v>50125800</v>
      </c>
      <c r="M31">
        <v>79694718.823241279</v>
      </c>
      <c r="N31">
        <v>71666200</v>
      </c>
      <c r="O31">
        <v>15885038.16</v>
      </c>
      <c r="P31">
        <v>226.27684500000001</v>
      </c>
      <c r="Q31">
        <v>1.3301160180088478</v>
      </c>
      <c r="R31">
        <v>43.607563599999999</v>
      </c>
      <c r="S31">
        <v>779.55347299999994</v>
      </c>
      <c r="T31">
        <v>1.0426224299999999E-15</v>
      </c>
      <c r="U31">
        <v>19.20690470589593</v>
      </c>
      <c r="V31">
        <v>91.850000000000009</v>
      </c>
      <c r="W31">
        <v>-238.31879516648124</v>
      </c>
      <c r="X31">
        <v>62.8416341</v>
      </c>
      <c r="Y31">
        <v>92.759760299999996</v>
      </c>
      <c r="Z31">
        <v>165.7</v>
      </c>
      <c r="AA31">
        <v>231.17879199999999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5.4913691176300876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>
      <c r="A32">
        <v>930</v>
      </c>
      <c r="B32">
        <v>30</v>
      </c>
      <c r="C32">
        <v>14</v>
      </c>
      <c r="D32">
        <v>2.95</v>
      </c>
      <c r="E32">
        <v>20</v>
      </c>
      <c r="F32">
        <v>12</v>
      </c>
      <c r="G32">
        <v>0.56747999999999998</v>
      </c>
      <c r="H32">
        <v>20</v>
      </c>
      <c r="I32">
        <v>12</v>
      </c>
      <c r="J32">
        <v>1.4</v>
      </c>
      <c r="K32">
        <v>583425100.00294685</v>
      </c>
      <c r="L32">
        <v>50125800</v>
      </c>
      <c r="M32">
        <v>79694718.823241279</v>
      </c>
      <c r="N32">
        <v>71666200</v>
      </c>
      <c r="O32">
        <v>15885038.16</v>
      </c>
      <c r="P32">
        <v>226.27684500000001</v>
      </c>
      <c r="Q32">
        <v>1.3301160180088478</v>
      </c>
      <c r="R32">
        <v>43.607563599999999</v>
      </c>
      <c r="S32">
        <v>779.55347299999994</v>
      </c>
      <c r="T32">
        <v>1.0426224299999999E-15</v>
      </c>
      <c r="U32">
        <v>19.20690470589593</v>
      </c>
      <c r="V32">
        <v>91.850000000000009</v>
      </c>
      <c r="W32">
        <v>-238.31879516648124</v>
      </c>
      <c r="X32">
        <v>62.8416341</v>
      </c>
      <c r="Y32">
        <v>92.759760299999996</v>
      </c>
      <c r="Z32">
        <v>165.7</v>
      </c>
      <c r="AA32">
        <v>231.17879199999999</v>
      </c>
      <c r="AB32">
        <v>99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5.4913691176300876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>
      <c r="A33">
        <v>930</v>
      </c>
      <c r="B33">
        <v>30</v>
      </c>
      <c r="C33">
        <v>15</v>
      </c>
      <c r="D33">
        <v>2.95</v>
      </c>
      <c r="E33">
        <v>20</v>
      </c>
      <c r="F33">
        <v>12</v>
      </c>
      <c r="G33">
        <v>0.56747999999999998</v>
      </c>
      <c r="H33">
        <v>20</v>
      </c>
      <c r="I33">
        <v>12</v>
      </c>
      <c r="J33">
        <v>1.4</v>
      </c>
      <c r="K33">
        <v>583425159.90166914</v>
      </c>
      <c r="L33">
        <v>50125800</v>
      </c>
      <c r="M33">
        <v>79694718.823241279</v>
      </c>
      <c r="N33">
        <v>71667300</v>
      </c>
      <c r="O33">
        <v>15885038.16</v>
      </c>
      <c r="P33">
        <v>226.271209</v>
      </c>
      <c r="Q33">
        <v>1.330127868485893</v>
      </c>
      <c r="R33">
        <v>43.6080969</v>
      </c>
      <c r="S33">
        <v>779.54591100000005</v>
      </c>
      <c r="T33">
        <v>1.0407077699999999E-15</v>
      </c>
      <c r="U33">
        <v>19.207163182540537</v>
      </c>
      <c r="V33">
        <v>91.850000000000009</v>
      </c>
      <c r="W33">
        <v>-238.8056443034265</v>
      </c>
      <c r="X33">
        <v>62.840800999999999</v>
      </c>
      <c r="Y33">
        <v>92.759472500000001</v>
      </c>
      <c r="Z33">
        <v>165.7</v>
      </c>
      <c r="AA33">
        <v>231.17583999999999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5.491046021824328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>
      <c r="A34">
        <v>930</v>
      </c>
      <c r="B34">
        <v>30</v>
      </c>
      <c r="C34">
        <v>16</v>
      </c>
      <c r="D34">
        <v>2.95</v>
      </c>
      <c r="E34">
        <v>20</v>
      </c>
      <c r="F34">
        <v>12</v>
      </c>
      <c r="G34">
        <v>0.56747999999999998</v>
      </c>
      <c r="H34">
        <v>20</v>
      </c>
      <c r="I34">
        <v>12</v>
      </c>
      <c r="J34">
        <v>1.4</v>
      </c>
      <c r="K34">
        <v>583425234.24981308</v>
      </c>
      <c r="L34">
        <v>50125800</v>
      </c>
      <c r="M34">
        <v>79694718.823241279</v>
      </c>
      <c r="N34">
        <v>71669800</v>
      </c>
      <c r="O34">
        <v>15885038.16</v>
      </c>
      <c r="P34">
        <v>226.25914700000001</v>
      </c>
      <c r="Q34">
        <v>1.3301502261343086</v>
      </c>
      <c r="R34">
        <v>43.608649399999997</v>
      </c>
      <c r="S34">
        <v>779.53776399999992</v>
      </c>
      <c r="T34">
        <v>1.0379351499999999E-15</v>
      </c>
      <c r="U34">
        <v>19.207804533320232</v>
      </c>
      <c r="V34">
        <v>91.850000000000009</v>
      </c>
      <c r="W34">
        <v>-239.23475466694032</v>
      </c>
      <c r="X34">
        <v>62.840165599999999</v>
      </c>
      <c r="Y34">
        <v>92.763348800000003</v>
      </c>
      <c r="Z34">
        <v>165.7</v>
      </c>
      <c r="AA34">
        <v>231.171874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5.4902443333497093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>
      <c r="A35">
        <v>930</v>
      </c>
      <c r="B35">
        <v>30</v>
      </c>
      <c r="C35">
        <v>17</v>
      </c>
      <c r="D35">
        <v>2.95</v>
      </c>
      <c r="E35">
        <v>20</v>
      </c>
      <c r="F35">
        <v>12</v>
      </c>
      <c r="G35">
        <v>0.56747999999999998</v>
      </c>
      <c r="H35">
        <v>20</v>
      </c>
      <c r="I35">
        <v>12</v>
      </c>
      <c r="J35">
        <v>1.4</v>
      </c>
      <c r="K35">
        <v>583425334.55644703</v>
      </c>
      <c r="L35">
        <v>50125800</v>
      </c>
      <c r="M35">
        <v>79694718.823241279</v>
      </c>
      <c r="N35">
        <v>71673900</v>
      </c>
      <c r="O35">
        <v>15885038.16</v>
      </c>
      <c r="P35">
        <v>226.239878</v>
      </c>
      <c r="Q35">
        <v>1.3301838186290218</v>
      </c>
      <c r="R35">
        <v>43.609285800000002</v>
      </c>
      <c r="S35">
        <v>779.52809400000001</v>
      </c>
      <c r="T35">
        <v>3.57458948E-14</v>
      </c>
      <c r="U35">
        <v>19.208875717422831</v>
      </c>
      <c r="V35">
        <v>91.850000000000009</v>
      </c>
      <c r="W35">
        <v>-239.65958043080511</v>
      </c>
      <c r="X35">
        <v>62.839630499999998</v>
      </c>
      <c r="Y35">
        <v>92.770770799999994</v>
      </c>
      <c r="Z35">
        <v>165.7</v>
      </c>
      <c r="AA35">
        <v>231.166527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5.48890535322146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>
      <c r="A36">
        <v>930</v>
      </c>
      <c r="B36">
        <v>30</v>
      </c>
      <c r="C36">
        <v>18</v>
      </c>
      <c r="D36">
        <v>2.95</v>
      </c>
      <c r="E36">
        <v>20</v>
      </c>
      <c r="F36">
        <v>12</v>
      </c>
      <c r="G36">
        <v>0.56747999999999998</v>
      </c>
      <c r="H36">
        <v>20</v>
      </c>
      <c r="I36">
        <v>12</v>
      </c>
      <c r="J36">
        <v>1.4</v>
      </c>
      <c r="K36">
        <v>583425467.77748108</v>
      </c>
      <c r="L36">
        <v>50125800</v>
      </c>
      <c r="M36">
        <v>79694718.823241279</v>
      </c>
      <c r="N36">
        <v>71679900</v>
      </c>
      <c r="O36">
        <v>15885038.16</v>
      </c>
      <c r="P36">
        <v>226.21177299999999</v>
      </c>
      <c r="Q36">
        <v>1.3302323979325548</v>
      </c>
      <c r="R36">
        <v>43.610077099999998</v>
      </c>
      <c r="S36">
        <v>779.51589200000001</v>
      </c>
      <c r="T36">
        <v>1.44724855E-13</v>
      </c>
      <c r="U36">
        <v>19.210471062566434</v>
      </c>
      <c r="V36">
        <v>91.850000000000009</v>
      </c>
      <c r="W36">
        <v>-240.12790090390695</v>
      </c>
      <c r="X36">
        <v>62.839121200000001</v>
      </c>
      <c r="Y36">
        <v>92.781455100000002</v>
      </c>
      <c r="Z36">
        <v>165.7</v>
      </c>
      <c r="AA36">
        <v>231.159291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5.4869111717919576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>
      <c r="A37">
        <v>930</v>
      </c>
      <c r="B37">
        <v>30</v>
      </c>
      <c r="C37">
        <v>19</v>
      </c>
      <c r="D37">
        <v>2.95</v>
      </c>
      <c r="E37">
        <v>20</v>
      </c>
      <c r="F37">
        <v>12</v>
      </c>
      <c r="G37">
        <v>0.56747999999999998</v>
      </c>
      <c r="H37">
        <v>20</v>
      </c>
      <c r="I37">
        <v>12</v>
      </c>
      <c r="J37">
        <v>1.4</v>
      </c>
      <c r="K37">
        <v>583425655.41150391</v>
      </c>
      <c r="L37">
        <v>50125800</v>
      </c>
      <c r="M37">
        <v>79694718.823241279</v>
      </c>
      <c r="N37">
        <v>71688300</v>
      </c>
      <c r="O37">
        <v>15885038.16</v>
      </c>
      <c r="P37">
        <v>226.17211900000001</v>
      </c>
      <c r="Q37">
        <v>1.3303022383303285</v>
      </c>
      <c r="R37">
        <v>43.611110099999998</v>
      </c>
      <c r="S37">
        <v>779.499954</v>
      </c>
      <c r="T37">
        <v>5.9662910700000002E-13</v>
      </c>
      <c r="U37">
        <v>19.212750837539833</v>
      </c>
      <c r="V37">
        <v>91.850000000000009</v>
      </c>
      <c r="W37">
        <v>-240.68810001231321</v>
      </c>
      <c r="X37">
        <v>62.838576400000001</v>
      </c>
      <c r="Y37">
        <v>92.795405500000001</v>
      </c>
      <c r="Z37">
        <v>165.7</v>
      </c>
      <c r="AA37">
        <v>231.149452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5.4840614530752081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>
      <c r="A38">
        <v>930</v>
      </c>
      <c r="B38">
        <v>30</v>
      </c>
      <c r="C38">
        <v>15</v>
      </c>
      <c r="D38">
        <v>1</v>
      </c>
      <c r="E38">
        <v>20</v>
      </c>
      <c r="F38">
        <v>12</v>
      </c>
      <c r="G38">
        <v>0.56747999999999998</v>
      </c>
      <c r="H38">
        <v>20</v>
      </c>
      <c r="I38">
        <v>12</v>
      </c>
      <c r="J38">
        <v>1.4</v>
      </c>
      <c r="K38">
        <v>582952098.9830215</v>
      </c>
      <c r="L38">
        <v>50126600</v>
      </c>
      <c r="M38">
        <v>79694718.823241279</v>
      </c>
      <c r="N38">
        <v>72654100</v>
      </c>
      <c r="O38">
        <v>15883996.08</v>
      </c>
      <c r="P38">
        <v>221.57655299999999</v>
      </c>
      <c r="Q38">
        <v>1.3372171254216036</v>
      </c>
      <c r="R38">
        <v>43.5878181</v>
      </c>
      <c r="S38">
        <v>780.02221900000006</v>
      </c>
      <c r="T38">
        <v>9.4396567400000002E-13</v>
      </c>
      <c r="U38">
        <v>19.453692541600713</v>
      </c>
      <c r="V38">
        <v>80.72</v>
      </c>
      <c r="W38">
        <v>-153.77588516491718</v>
      </c>
      <c r="X38">
        <v>63.078475599999997</v>
      </c>
      <c r="Y38">
        <v>94.890017</v>
      </c>
      <c r="Z38">
        <v>165.7</v>
      </c>
      <c r="AA38">
        <v>230.634908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5.182884322999108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>
      <c r="A39">
        <v>930</v>
      </c>
      <c r="B39">
        <v>30</v>
      </c>
      <c r="C39">
        <v>15</v>
      </c>
      <c r="D39">
        <v>2.4</v>
      </c>
      <c r="E39">
        <v>20</v>
      </c>
      <c r="F39">
        <v>12</v>
      </c>
      <c r="G39">
        <v>0.56747999999999998</v>
      </c>
      <c r="H39">
        <v>20</v>
      </c>
      <c r="I39">
        <v>12</v>
      </c>
      <c r="J39">
        <v>1.4</v>
      </c>
      <c r="K39">
        <v>583268290.38777637</v>
      </c>
      <c r="L39">
        <v>50125800</v>
      </c>
      <c r="M39">
        <v>79694718.823241279</v>
      </c>
      <c r="N39">
        <v>71676400</v>
      </c>
      <c r="O39">
        <v>15884746</v>
      </c>
      <c r="P39">
        <v>226.22453999999999</v>
      </c>
      <c r="Q39">
        <v>1.3297539637130515</v>
      </c>
      <c r="R39">
        <v>43.607713599999997</v>
      </c>
      <c r="S39">
        <v>779.54485499999998</v>
      </c>
      <c r="T39">
        <v>1.0349852599999999E-15</v>
      </c>
      <c r="U39">
        <v>19.209817476199731</v>
      </c>
      <c r="V39">
        <v>91.850000000000009</v>
      </c>
      <c r="W39">
        <v>-238.36818975894712</v>
      </c>
      <c r="X39">
        <v>62.842387899999999</v>
      </c>
      <c r="Y39">
        <v>92.870425900000001</v>
      </c>
      <c r="Z39">
        <v>165.7</v>
      </c>
      <c r="AA39">
        <v>231.16934499999999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5.4877281547503358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>
      <c r="A40">
        <v>930</v>
      </c>
      <c r="B40">
        <v>30</v>
      </c>
      <c r="C40">
        <v>15</v>
      </c>
      <c r="D40">
        <v>3.8</v>
      </c>
      <c r="E40">
        <v>20</v>
      </c>
      <c r="F40">
        <v>12</v>
      </c>
      <c r="G40">
        <v>0.56747999999999998</v>
      </c>
      <c r="H40">
        <v>20</v>
      </c>
      <c r="I40">
        <v>12</v>
      </c>
      <c r="J40">
        <v>1.4</v>
      </c>
      <c r="K40">
        <v>583503084.40397549</v>
      </c>
      <c r="L40">
        <v>50142400</v>
      </c>
      <c r="M40">
        <v>79694718.823241279</v>
      </c>
      <c r="N40">
        <v>71661900</v>
      </c>
      <c r="O40">
        <v>15885486.48</v>
      </c>
      <c r="P40">
        <v>226.30204499999999</v>
      </c>
      <c r="Q40">
        <v>1.3306095217469938</v>
      </c>
      <c r="R40">
        <v>43.608442400000001</v>
      </c>
      <c r="S40">
        <v>779.54485499999998</v>
      </c>
      <c r="T40">
        <v>1.0445272699999999E-15</v>
      </c>
      <c r="U40">
        <v>19.205543468909632</v>
      </c>
      <c r="V40">
        <v>100.934</v>
      </c>
      <c r="W40">
        <v>-238.93216021466844</v>
      </c>
      <c r="X40">
        <v>62.839967799999997</v>
      </c>
      <c r="Y40">
        <v>92.651277199999996</v>
      </c>
      <c r="Z40">
        <v>165.7</v>
      </c>
      <c r="AA40">
        <v>231.18022999999999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5.4930706638629605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>
      <c r="A41">
        <v>930</v>
      </c>
      <c r="B41">
        <v>30</v>
      </c>
      <c r="C41">
        <v>15</v>
      </c>
      <c r="D41">
        <v>5.1999999999999993</v>
      </c>
      <c r="E41">
        <v>20</v>
      </c>
      <c r="F41">
        <v>12</v>
      </c>
      <c r="G41">
        <v>0.56747999999999998</v>
      </c>
      <c r="H41">
        <v>20</v>
      </c>
      <c r="I41">
        <v>12</v>
      </c>
      <c r="J41">
        <v>1.4</v>
      </c>
      <c r="K41">
        <v>583852030.71510339</v>
      </c>
      <c r="L41">
        <v>50142400</v>
      </c>
      <c r="M41">
        <v>79694718.823241279</v>
      </c>
      <c r="N41">
        <v>71658600</v>
      </c>
      <c r="O41">
        <v>15886227.360000001</v>
      </c>
      <c r="P41">
        <v>226.323534</v>
      </c>
      <c r="Q41">
        <v>1.3315942087709647</v>
      </c>
      <c r="R41">
        <v>43.608832499999998</v>
      </c>
      <c r="S41">
        <v>779.54365699999994</v>
      </c>
      <c r="T41">
        <v>1.04707136E-15</v>
      </c>
      <c r="U41">
        <v>19.204520695896232</v>
      </c>
      <c r="V41">
        <v>100.934</v>
      </c>
      <c r="W41">
        <v>-238.9468006274538</v>
      </c>
      <c r="X41">
        <v>62.839449600000002</v>
      </c>
      <c r="Y41">
        <v>92.542406700000001</v>
      </c>
      <c r="Z41">
        <v>165.7</v>
      </c>
      <c r="AA41">
        <v>231.18311299999999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5.4943491301297094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>
      <c r="A42">
        <v>930</v>
      </c>
      <c r="B42">
        <v>30</v>
      </c>
      <c r="C42">
        <v>15</v>
      </c>
      <c r="D42">
        <v>6.6</v>
      </c>
      <c r="E42">
        <v>20</v>
      </c>
      <c r="F42">
        <v>12</v>
      </c>
      <c r="G42">
        <v>0.56747999999999998</v>
      </c>
      <c r="H42">
        <v>20</v>
      </c>
      <c r="I42">
        <v>12</v>
      </c>
      <c r="J42">
        <v>1.4</v>
      </c>
      <c r="K42">
        <v>584137008.43205452</v>
      </c>
      <c r="L42">
        <v>50159000</v>
      </c>
      <c r="M42">
        <v>79694718.823241279</v>
      </c>
      <c r="N42">
        <v>71657200</v>
      </c>
      <c r="O42">
        <v>15886966.880000001</v>
      </c>
      <c r="P42">
        <v>226.33389500000001</v>
      </c>
      <c r="Q42">
        <v>1.3327390663122056</v>
      </c>
      <c r="R42">
        <v>43.609096399999999</v>
      </c>
      <c r="S42">
        <v>779.54184899999996</v>
      </c>
      <c r="T42">
        <v>1.0482212400000001E-15</v>
      </c>
      <c r="U42">
        <v>19.204070261387933</v>
      </c>
      <c r="V42">
        <v>100.934</v>
      </c>
      <c r="W42">
        <v>-238.93556685244957</v>
      </c>
      <c r="X42">
        <v>62.839200599999998</v>
      </c>
      <c r="Y42">
        <v>92.474062200000006</v>
      </c>
      <c r="Z42">
        <v>165.7</v>
      </c>
      <c r="AA42">
        <v>231.184382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5.4949121732650834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>
      <c r="A43">
        <v>930</v>
      </c>
      <c r="B43">
        <v>30</v>
      </c>
      <c r="C43">
        <v>15</v>
      </c>
      <c r="D43">
        <v>8</v>
      </c>
      <c r="E43">
        <v>20</v>
      </c>
      <c r="F43">
        <v>12</v>
      </c>
      <c r="G43">
        <v>0.56747999999999998</v>
      </c>
      <c r="H43">
        <v>20</v>
      </c>
      <c r="I43">
        <v>12</v>
      </c>
      <c r="J43">
        <v>1.4</v>
      </c>
      <c r="K43">
        <v>584328996.41281271</v>
      </c>
      <c r="L43">
        <v>50156700</v>
      </c>
      <c r="M43">
        <v>79694718.823241279</v>
      </c>
      <c r="N43">
        <v>71656500</v>
      </c>
      <c r="O43">
        <v>15887704.640000001</v>
      </c>
      <c r="P43">
        <v>226.34008399999999</v>
      </c>
      <c r="Q43">
        <v>1.3332472430139535</v>
      </c>
      <c r="R43">
        <v>43.609283400000002</v>
      </c>
      <c r="S43">
        <v>779.54042599999991</v>
      </c>
      <c r="T43">
        <v>1.0488751200000001E-15</v>
      </c>
      <c r="U43">
        <v>19.203816153290536</v>
      </c>
      <c r="V43">
        <v>100.934</v>
      </c>
      <c r="W43">
        <v>-238.92431651161124</v>
      </c>
      <c r="X43">
        <v>62.839050100000001</v>
      </c>
      <c r="Y43">
        <v>92.428969499999994</v>
      </c>
      <c r="Z43">
        <v>165.7</v>
      </c>
      <c r="AA43">
        <v>231.18508700000001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5.4952298083868296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>
      <c r="A44">
        <v>930</v>
      </c>
      <c r="B44">
        <v>30</v>
      </c>
      <c r="C44">
        <v>15</v>
      </c>
      <c r="D44">
        <v>9.3999999999999986</v>
      </c>
      <c r="E44">
        <v>20</v>
      </c>
      <c r="F44">
        <v>12</v>
      </c>
      <c r="G44">
        <v>0.56747999999999998</v>
      </c>
      <c r="H44">
        <v>20</v>
      </c>
      <c r="I44">
        <v>12</v>
      </c>
      <c r="J44">
        <v>1.4</v>
      </c>
      <c r="K44">
        <v>584581985.4687748</v>
      </c>
      <c r="L44">
        <v>50156700</v>
      </c>
      <c r="M44">
        <v>79694718.823241279</v>
      </c>
      <c r="N44">
        <v>71656000</v>
      </c>
      <c r="O44">
        <v>15888438.24</v>
      </c>
      <c r="P44">
        <v>226.344233</v>
      </c>
      <c r="Q44">
        <v>1.3339913240188579</v>
      </c>
      <c r="R44">
        <v>43.609421599999997</v>
      </c>
      <c r="S44">
        <v>779.53931899999998</v>
      </c>
      <c r="T44">
        <v>1.0492974E-15</v>
      </c>
      <c r="U44">
        <v>19.203651685685834</v>
      </c>
      <c r="V44">
        <v>100.934</v>
      </c>
      <c r="W44">
        <v>-238.91521964517901</v>
      </c>
      <c r="X44">
        <v>62.838948899999998</v>
      </c>
      <c r="Y44">
        <v>92.397052000000002</v>
      </c>
      <c r="Z44">
        <v>165.7</v>
      </c>
      <c r="AA44">
        <v>231.18553499999999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5.4954353928927073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>
      <c r="A45">
        <v>930</v>
      </c>
      <c r="B45">
        <v>30</v>
      </c>
      <c r="C45">
        <v>15</v>
      </c>
      <c r="D45">
        <v>10.799999999999999</v>
      </c>
      <c r="E45">
        <v>20</v>
      </c>
      <c r="F45">
        <v>12</v>
      </c>
      <c r="G45">
        <v>0.56747999999999998</v>
      </c>
      <c r="H45">
        <v>20</v>
      </c>
      <c r="I45">
        <v>12</v>
      </c>
      <c r="J45">
        <v>1.4</v>
      </c>
      <c r="K45">
        <v>584866980.64132941</v>
      </c>
      <c r="L45">
        <v>50163000</v>
      </c>
      <c r="M45">
        <v>79694718.823241279</v>
      </c>
      <c r="N45">
        <v>71655700</v>
      </c>
      <c r="O45">
        <v>15889172.560000001</v>
      </c>
      <c r="P45">
        <v>226.34720300000001</v>
      </c>
      <c r="Q45">
        <v>1.3349572874765128</v>
      </c>
      <c r="R45">
        <v>43.609527499999999</v>
      </c>
      <c r="S45">
        <v>779.53845000000001</v>
      </c>
      <c r="T45">
        <v>1.04959305E-15</v>
      </c>
      <c r="U45">
        <v>19.203537723177732</v>
      </c>
      <c r="V45">
        <v>100.934</v>
      </c>
      <c r="W45">
        <v>-238.90797754494292</v>
      </c>
      <c r="X45">
        <v>62.838873999999997</v>
      </c>
      <c r="Y45">
        <v>92.373298899999995</v>
      </c>
      <c r="Z45">
        <v>165.7</v>
      </c>
      <c r="AA45">
        <v>231.185845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5.4955778460278353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>
      <c r="A46">
        <v>930</v>
      </c>
      <c r="B46">
        <v>30</v>
      </c>
      <c r="C46">
        <v>15</v>
      </c>
      <c r="D46">
        <v>12.2</v>
      </c>
      <c r="E46">
        <v>20</v>
      </c>
      <c r="F46">
        <v>12</v>
      </c>
      <c r="G46">
        <v>0.56747999999999998</v>
      </c>
      <c r="H46">
        <v>20</v>
      </c>
      <c r="I46">
        <v>12</v>
      </c>
      <c r="J46">
        <v>1.4</v>
      </c>
      <c r="K46">
        <v>584972975.33662534</v>
      </c>
      <c r="L46">
        <v>50160700</v>
      </c>
      <c r="M46">
        <v>79694718.823241279</v>
      </c>
      <c r="N46">
        <v>71655500</v>
      </c>
      <c r="O46">
        <v>15889905.039999999</v>
      </c>
      <c r="P46">
        <v>226.34944899999999</v>
      </c>
      <c r="Q46">
        <v>1.3352209798022716</v>
      </c>
      <c r="R46">
        <v>43.609611000000001</v>
      </c>
      <c r="S46">
        <v>779.53845000000001</v>
      </c>
      <c r="T46">
        <v>1.04981194E-15</v>
      </c>
      <c r="U46">
        <v>19.203452947253432</v>
      </c>
      <c r="V46">
        <v>100.934</v>
      </c>
      <c r="W46">
        <v>-238.90217728912904</v>
      </c>
      <c r="X46">
        <v>62.838873999999997</v>
      </c>
      <c r="Y46">
        <v>92.3549474</v>
      </c>
      <c r="Z46">
        <v>165.7</v>
      </c>
      <c r="AA46">
        <v>231.185845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5.4956838159332104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>
      <c r="A47">
        <v>930</v>
      </c>
      <c r="B47">
        <v>30</v>
      </c>
      <c r="C47">
        <v>15</v>
      </c>
      <c r="D47">
        <v>13.6</v>
      </c>
      <c r="E47">
        <v>20</v>
      </c>
      <c r="F47">
        <v>12</v>
      </c>
      <c r="G47">
        <v>0.56747999999999998</v>
      </c>
      <c r="H47">
        <v>20</v>
      </c>
      <c r="I47">
        <v>12</v>
      </c>
      <c r="J47">
        <v>1.4</v>
      </c>
      <c r="K47">
        <v>585296975.33662534</v>
      </c>
      <c r="L47">
        <v>50160700</v>
      </c>
      <c r="M47">
        <v>79694718.823241279</v>
      </c>
      <c r="N47">
        <v>71655300</v>
      </c>
      <c r="O47">
        <v>15890637.76</v>
      </c>
      <c r="P47">
        <v>226.35120000000001</v>
      </c>
      <c r="Q47">
        <v>1.3361862671797247</v>
      </c>
      <c r="R47">
        <v>43.6096784</v>
      </c>
      <c r="S47">
        <v>779.53718000000003</v>
      </c>
      <c r="T47">
        <v>1.04998073E-15</v>
      </c>
      <c r="U47">
        <v>19.203388045325635</v>
      </c>
      <c r="V47">
        <v>100.934</v>
      </c>
      <c r="W47">
        <v>-238.89743936561547</v>
      </c>
      <c r="X47">
        <v>62.8387727</v>
      </c>
      <c r="Y47">
        <v>92.3403493</v>
      </c>
      <c r="Z47">
        <v>165.7</v>
      </c>
      <c r="AA47">
        <v>231.18624500000001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5.4957649433429552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>
      <c r="A48">
        <v>930</v>
      </c>
      <c r="B48">
        <v>30</v>
      </c>
      <c r="C48">
        <v>15</v>
      </c>
      <c r="D48">
        <v>15</v>
      </c>
      <c r="E48">
        <v>20</v>
      </c>
      <c r="F48">
        <v>12</v>
      </c>
      <c r="G48">
        <v>0.56747999999999998</v>
      </c>
      <c r="H48">
        <v>20</v>
      </c>
      <c r="I48">
        <v>12</v>
      </c>
      <c r="J48">
        <v>1.4</v>
      </c>
      <c r="K48">
        <v>585592969.42849052</v>
      </c>
      <c r="L48">
        <v>50178400</v>
      </c>
      <c r="M48">
        <v>79694718.823241279</v>
      </c>
      <c r="N48">
        <v>71655200</v>
      </c>
      <c r="O48">
        <v>15891366.799999999</v>
      </c>
      <c r="P48">
        <v>226.35261299999999</v>
      </c>
      <c r="Q48">
        <v>1.3374127798039201</v>
      </c>
      <c r="R48">
        <v>43.609734000000003</v>
      </c>
      <c r="S48">
        <v>779.53718000000003</v>
      </c>
      <c r="T48">
        <v>1.05011474E-15</v>
      </c>
      <c r="U48">
        <v>19.203336192020132</v>
      </c>
      <c r="V48">
        <v>100.934</v>
      </c>
      <c r="W48">
        <v>-238.89351898678621</v>
      </c>
      <c r="X48">
        <v>62.8387727</v>
      </c>
      <c r="Y48">
        <v>92.328463900000003</v>
      </c>
      <c r="Z48">
        <v>165.7</v>
      </c>
      <c r="AA48">
        <v>231.18624500000001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5.4958297599748356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>
      <c r="A49">
        <v>930</v>
      </c>
      <c r="B49">
        <v>30</v>
      </c>
      <c r="C49">
        <v>15</v>
      </c>
      <c r="D49">
        <v>2.95</v>
      </c>
      <c r="E49">
        <v>10</v>
      </c>
      <c r="F49">
        <v>12</v>
      </c>
      <c r="G49">
        <v>0.56747999999999998</v>
      </c>
      <c r="H49">
        <v>20</v>
      </c>
      <c r="I49">
        <v>12</v>
      </c>
      <c r="J49">
        <v>1.4</v>
      </c>
      <c r="K49">
        <v>585592969.42849052</v>
      </c>
      <c r="L49">
        <v>50178400</v>
      </c>
      <c r="M49">
        <v>79694718.823241279</v>
      </c>
      <c r="N49">
        <v>71655200</v>
      </c>
      <c r="O49">
        <v>15891366.799999999</v>
      </c>
      <c r="P49">
        <v>226.35261299999999</v>
      </c>
      <c r="Q49">
        <v>1.3374127798039201</v>
      </c>
      <c r="R49">
        <v>43.609734000000003</v>
      </c>
      <c r="S49">
        <v>779.53718000000003</v>
      </c>
      <c r="T49">
        <v>1.05011474E-15</v>
      </c>
      <c r="U49">
        <v>19.203336192020132</v>
      </c>
      <c r="V49">
        <v>100.934</v>
      </c>
      <c r="W49">
        <v>-238.89351898678621</v>
      </c>
      <c r="X49">
        <v>62.8387727</v>
      </c>
      <c r="Y49">
        <v>92.328463900000003</v>
      </c>
      <c r="Z49">
        <v>165.7</v>
      </c>
      <c r="AA49">
        <v>231.18624500000001</v>
      </c>
      <c r="AB49">
        <v>99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5.4958297599748356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>
      <c r="A50">
        <v>930</v>
      </c>
      <c r="B50">
        <v>30</v>
      </c>
      <c r="C50">
        <v>15</v>
      </c>
      <c r="D50">
        <v>2.95</v>
      </c>
      <c r="E50">
        <v>12</v>
      </c>
      <c r="F50">
        <v>12</v>
      </c>
      <c r="G50">
        <v>0.56747999999999998</v>
      </c>
      <c r="H50">
        <v>20</v>
      </c>
      <c r="I50">
        <v>12</v>
      </c>
      <c r="J50">
        <v>1.4</v>
      </c>
      <c r="K50">
        <v>585592969.42849052</v>
      </c>
      <c r="L50">
        <v>50178400</v>
      </c>
      <c r="M50">
        <v>79694718.823241279</v>
      </c>
      <c r="N50">
        <v>71655200</v>
      </c>
      <c r="O50">
        <v>15891366.799999999</v>
      </c>
      <c r="P50">
        <v>226.35261299999999</v>
      </c>
      <c r="Q50">
        <v>1.3374127798039201</v>
      </c>
      <c r="R50">
        <v>43.609734000000003</v>
      </c>
      <c r="S50">
        <v>779.53718000000003</v>
      </c>
      <c r="T50">
        <v>1.05011474E-15</v>
      </c>
      <c r="U50">
        <v>19.203336192020132</v>
      </c>
      <c r="V50">
        <v>100.934</v>
      </c>
      <c r="W50">
        <v>-238.89351898678621</v>
      </c>
      <c r="X50">
        <v>62.8387727</v>
      </c>
      <c r="Y50">
        <v>92.328463900000003</v>
      </c>
      <c r="Z50">
        <v>165.7</v>
      </c>
      <c r="AA50">
        <v>231.18624500000001</v>
      </c>
      <c r="AB50">
        <v>99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5.4958297599748356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>
      <c r="A51">
        <v>930</v>
      </c>
      <c r="B51">
        <v>30</v>
      </c>
      <c r="C51">
        <v>15</v>
      </c>
      <c r="D51">
        <v>2.95</v>
      </c>
      <c r="E51">
        <v>14</v>
      </c>
      <c r="F51">
        <v>12</v>
      </c>
      <c r="G51">
        <v>0.56747999999999998</v>
      </c>
      <c r="H51">
        <v>20</v>
      </c>
      <c r="I51">
        <v>12</v>
      </c>
      <c r="J51">
        <v>1.4</v>
      </c>
      <c r="K51">
        <v>585765408.01477039</v>
      </c>
      <c r="L51">
        <v>50178400</v>
      </c>
      <c r="M51">
        <v>79694718.337577865</v>
      </c>
      <c r="N51">
        <v>71655200</v>
      </c>
      <c r="O51">
        <v>15884994.960000001</v>
      </c>
      <c r="P51">
        <v>228.37940599999999</v>
      </c>
      <c r="Q51">
        <v>1.3260562477599807</v>
      </c>
      <c r="R51">
        <v>43.393834400000003</v>
      </c>
      <c r="S51">
        <v>780.451367</v>
      </c>
      <c r="T51">
        <v>4.2245591500000003E-15</v>
      </c>
      <c r="U51">
        <v>18.654958764065171</v>
      </c>
      <c r="V51">
        <v>91.850000000000009</v>
      </c>
      <c r="W51">
        <v>-240.70311944214575</v>
      </c>
      <c r="X51">
        <v>62.8433621</v>
      </c>
      <c r="Y51">
        <v>92.760767299999998</v>
      </c>
      <c r="Z51">
        <v>100.934</v>
      </c>
      <c r="AA51">
        <v>228.33828700000001</v>
      </c>
      <c r="AB51">
        <v>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6.1813015449185365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>
      <c r="A52">
        <v>930</v>
      </c>
      <c r="B52">
        <v>30</v>
      </c>
      <c r="C52">
        <v>15</v>
      </c>
      <c r="D52">
        <v>2.95</v>
      </c>
      <c r="E52">
        <v>16</v>
      </c>
      <c r="F52">
        <v>12</v>
      </c>
      <c r="G52">
        <v>0.56747999999999998</v>
      </c>
      <c r="H52">
        <v>20</v>
      </c>
      <c r="I52">
        <v>12</v>
      </c>
      <c r="J52">
        <v>1.4</v>
      </c>
      <c r="K52">
        <v>585654477.50666964</v>
      </c>
      <c r="L52">
        <v>50178400</v>
      </c>
      <c r="M52">
        <v>79694718.646356255</v>
      </c>
      <c r="N52">
        <v>71655200</v>
      </c>
      <c r="O52">
        <v>15885019.439999999</v>
      </c>
      <c r="P52">
        <v>227.07514</v>
      </c>
      <c r="Q52">
        <v>1.3333411682239875</v>
      </c>
      <c r="R52">
        <v>43.525247999999998</v>
      </c>
      <c r="S52">
        <v>779.55854199999999</v>
      </c>
      <c r="T52">
        <v>1.92884012E-15</v>
      </c>
      <c r="U52">
        <v>19.012273771720061</v>
      </c>
      <c r="V52">
        <v>91.850000000000009</v>
      </c>
      <c r="W52">
        <v>-240.75505565744621</v>
      </c>
      <c r="X52">
        <v>62.841583100000001</v>
      </c>
      <c r="Y52">
        <v>92.759867900000003</v>
      </c>
      <c r="Z52">
        <v>144.29</v>
      </c>
      <c r="AA52">
        <v>230.013329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5.7346577853499241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>
      <c r="A53">
        <v>930</v>
      </c>
      <c r="B53">
        <v>30</v>
      </c>
      <c r="C53">
        <v>15</v>
      </c>
      <c r="D53">
        <v>2.95</v>
      </c>
      <c r="E53">
        <v>18</v>
      </c>
      <c r="F53">
        <v>12</v>
      </c>
      <c r="G53">
        <v>0.56747999999999998</v>
      </c>
      <c r="H53">
        <v>20</v>
      </c>
      <c r="I53">
        <v>12</v>
      </c>
      <c r="J53">
        <v>1.4</v>
      </c>
      <c r="K53">
        <v>583305477.50666964</v>
      </c>
      <c r="L53">
        <v>50125400</v>
      </c>
      <c r="M53">
        <v>79694318.646356255</v>
      </c>
      <c r="N53">
        <v>70896800</v>
      </c>
      <c r="O53">
        <v>15885019.439999999</v>
      </c>
      <c r="P53">
        <v>227.07514</v>
      </c>
      <c r="Q53">
        <v>1.3400316636095382</v>
      </c>
      <c r="R53">
        <v>43.525247999999998</v>
      </c>
      <c r="S53">
        <v>779.55854199999999</v>
      </c>
      <c r="T53">
        <v>1.92884012E-15</v>
      </c>
      <c r="U53">
        <v>19.012273771720061</v>
      </c>
      <c r="V53">
        <v>91.850000000000009</v>
      </c>
      <c r="W53">
        <v>-240.75505565744621</v>
      </c>
      <c r="X53">
        <v>62.841583100000001</v>
      </c>
      <c r="Y53">
        <v>92.759867900000003</v>
      </c>
      <c r="Z53">
        <v>144.29</v>
      </c>
      <c r="AA53">
        <v>230.013329</v>
      </c>
      <c r="AB53">
        <v>99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5.7346577853499241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>
      <c r="A54">
        <v>930</v>
      </c>
      <c r="B54">
        <v>30</v>
      </c>
      <c r="C54">
        <v>15</v>
      </c>
      <c r="D54">
        <v>2.95</v>
      </c>
      <c r="E54">
        <v>20</v>
      </c>
      <c r="F54">
        <v>12</v>
      </c>
      <c r="G54">
        <v>0.56747999999999998</v>
      </c>
      <c r="H54">
        <v>20</v>
      </c>
      <c r="I54">
        <v>12</v>
      </c>
      <c r="J54">
        <v>1.4</v>
      </c>
      <c r="K54">
        <v>583305477.50666964</v>
      </c>
      <c r="L54">
        <v>50125400</v>
      </c>
      <c r="M54">
        <v>79694318.646356255</v>
      </c>
      <c r="N54">
        <v>70896800</v>
      </c>
      <c r="O54">
        <v>15885019.439999999</v>
      </c>
      <c r="P54">
        <v>227.07514</v>
      </c>
      <c r="Q54">
        <v>1.3400316636095382</v>
      </c>
      <c r="R54">
        <v>43.525247999999998</v>
      </c>
      <c r="S54">
        <v>779.55854199999999</v>
      </c>
      <c r="T54">
        <v>1.92884012E-15</v>
      </c>
      <c r="U54">
        <v>19.012273771720061</v>
      </c>
      <c r="V54">
        <v>91.850000000000009</v>
      </c>
      <c r="W54">
        <v>-240.75505565744621</v>
      </c>
      <c r="X54">
        <v>62.841583100000001</v>
      </c>
      <c r="Y54">
        <v>92.759867900000003</v>
      </c>
      <c r="Z54">
        <v>144.29</v>
      </c>
      <c r="AA54">
        <v>230.013329</v>
      </c>
      <c r="AB54">
        <v>99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5.7346577853499241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>
      <c r="A55">
        <v>930</v>
      </c>
      <c r="B55">
        <v>30</v>
      </c>
      <c r="C55">
        <v>15</v>
      </c>
      <c r="D55">
        <v>2.95</v>
      </c>
      <c r="E55">
        <v>21</v>
      </c>
      <c r="F55">
        <v>12</v>
      </c>
      <c r="G55">
        <v>0.56747999999999998</v>
      </c>
      <c r="H55">
        <v>20</v>
      </c>
      <c r="I55">
        <v>12</v>
      </c>
      <c r="J55">
        <v>1.4</v>
      </c>
      <c r="K55">
        <v>583305477.50666964</v>
      </c>
      <c r="L55">
        <v>50125400</v>
      </c>
      <c r="M55">
        <v>79694318.646356255</v>
      </c>
      <c r="N55">
        <v>70896800</v>
      </c>
      <c r="O55">
        <v>15885019.439999999</v>
      </c>
      <c r="P55">
        <v>227.07514</v>
      </c>
      <c r="Q55">
        <v>1.3400316636095382</v>
      </c>
      <c r="R55">
        <v>43.525247999999998</v>
      </c>
      <c r="S55">
        <v>779.55854199999999</v>
      </c>
      <c r="T55">
        <v>1.92884012E-15</v>
      </c>
      <c r="U55">
        <v>19.012273771720061</v>
      </c>
      <c r="V55">
        <v>91.850000000000009</v>
      </c>
      <c r="W55">
        <v>-240.75505565744621</v>
      </c>
      <c r="X55">
        <v>62.841583100000001</v>
      </c>
      <c r="Y55">
        <v>92.759867900000003</v>
      </c>
      <c r="Z55">
        <v>144.29</v>
      </c>
      <c r="AA55">
        <v>230.013329</v>
      </c>
      <c r="AB55">
        <v>99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5.7346577853499241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>
      <c r="A56">
        <v>930</v>
      </c>
      <c r="B56">
        <v>30</v>
      </c>
      <c r="C56">
        <v>15</v>
      </c>
      <c r="D56">
        <v>2.95</v>
      </c>
      <c r="E56">
        <v>23</v>
      </c>
      <c r="F56">
        <v>12</v>
      </c>
      <c r="G56">
        <v>0.56747999999999998</v>
      </c>
      <c r="H56">
        <v>20</v>
      </c>
      <c r="I56">
        <v>12</v>
      </c>
      <c r="J56">
        <v>1.4</v>
      </c>
      <c r="K56">
        <v>583305477.50666964</v>
      </c>
      <c r="L56">
        <v>50125400</v>
      </c>
      <c r="M56">
        <v>79694318.646356255</v>
      </c>
      <c r="N56">
        <v>70896800</v>
      </c>
      <c r="O56">
        <v>15885019.439999999</v>
      </c>
      <c r="P56">
        <v>227.07514</v>
      </c>
      <c r="Q56">
        <v>1.3400316636095382</v>
      </c>
      <c r="R56">
        <v>43.525247999999998</v>
      </c>
      <c r="S56">
        <v>779.55854199999999</v>
      </c>
      <c r="T56">
        <v>1.92884012E-15</v>
      </c>
      <c r="U56">
        <v>19.012273771720061</v>
      </c>
      <c r="V56">
        <v>91.850000000000009</v>
      </c>
      <c r="W56">
        <v>-240.75505565744621</v>
      </c>
      <c r="X56">
        <v>62.841583100000001</v>
      </c>
      <c r="Y56">
        <v>92.759867900000003</v>
      </c>
      <c r="Z56">
        <v>144.29</v>
      </c>
      <c r="AA56">
        <v>230.013329</v>
      </c>
      <c r="AB56">
        <v>99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5.7346577853499241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>
      <c r="A57">
        <v>930</v>
      </c>
      <c r="B57">
        <v>30</v>
      </c>
      <c r="C57">
        <v>15</v>
      </c>
      <c r="D57">
        <v>2.95</v>
      </c>
      <c r="E57">
        <v>25</v>
      </c>
      <c r="F57">
        <v>12</v>
      </c>
      <c r="G57">
        <v>0.56747999999999998</v>
      </c>
      <c r="H57">
        <v>20</v>
      </c>
      <c r="I57">
        <v>12</v>
      </c>
      <c r="J57">
        <v>1.4</v>
      </c>
      <c r="K57">
        <v>583305477.50666964</v>
      </c>
      <c r="L57">
        <v>50125400</v>
      </c>
      <c r="M57">
        <v>79694318.646356255</v>
      </c>
      <c r="N57">
        <v>70896800</v>
      </c>
      <c r="O57">
        <v>15885019.439999999</v>
      </c>
      <c r="P57">
        <v>227.07514</v>
      </c>
      <c r="Q57">
        <v>1.3400316636095382</v>
      </c>
      <c r="R57">
        <v>43.525247999999998</v>
      </c>
      <c r="S57">
        <v>779.55854199999999</v>
      </c>
      <c r="T57">
        <v>1.92884012E-15</v>
      </c>
      <c r="U57">
        <v>19.012273771720061</v>
      </c>
      <c r="V57">
        <v>91.850000000000009</v>
      </c>
      <c r="W57">
        <v>-240.75505565744621</v>
      </c>
      <c r="X57">
        <v>62.841583100000001</v>
      </c>
      <c r="Y57">
        <v>92.759867900000003</v>
      </c>
      <c r="Z57">
        <v>144.29</v>
      </c>
      <c r="AA57">
        <v>230.013329</v>
      </c>
      <c r="AB57">
        <v>99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5.7346577853499241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>
      <c r="A58">
        <v>930</v>
      </c>
      <c r="B58">
        <v>30</v>
      </c>
      <c r="C58">
        <v>15</v>
      </c>
      <c r="D58">
        <v>2.95</v>
      </c>
      <c r="E58">
        <v>27</v>
      </c>
      <c r="F58">
        <v>12</v>
      </c>
      <c r="G58">
        <v>0.56747999999999998</v>
      </c>
      <c r="H58">
        <v>20</v>
      </c>
      <c r="I58">
        <v>12</v>
      </c>
      <c r="J58">
        <v>1.4</v>
      </c>
      <c r="K58">
        <v>583570135.07279849</v>
      </c>
      <c r="L58">
        <v>50143600</v>
      </c>
      <c r="M58">
        <v>79694818.86679484</v>
      </c>
      <c r="N58">
        <v>71866500</v>
      </c>
      <c r="O58">
        <v>15885042.4</v>
      </c>
      <c r="P58">
        <v>225.952834</v>
      </c>
      <c r="Q58">
        <v>1.3288936959256934</v>
      </c>
      <c r="R58">
        <v>43.633606299999997</v>
      </c>
      <c r="S58">
        <v>779.71229099999994</v>
      </c>
      <c r="T58">
        <v>7.5818343799999996E-16</v>
      </c>
      <c r="U58">
        <v>19.228852445457324</v>
      </c>
      <c r="V58">
        <v>91.850000000000009</v>
      </c>
      <c r="W58">
        <v>-237.71722236299399</v>
      </c>
      <c r="X58">
        <v>62.840632200000002</v>
      </c>
      <c r="Y58">
        <v>92.759387200000006</v>
      </c>
      <c r="Z58">
        <v>180.98100000000002</v>
      </c>
      <c r="AA58">
        <v>231.578912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5.4639344431783439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>
      <c r="A59">
        <v>930</v>
      </c>
      <c r="B59">
        <v>30</v>
      </c>
      <c r="C59">
        <v>15</v>
      </c>
      <c r="D59">
        <v>2.95</v>
      </c>
      <c r="E59">
        <v>29</v>
      </c>
      <c r="F59">
        <v>12</v>
      </c>
      <c r="G59">
        <v>0.56747999999999998</v>
      </c>
      <c r="H59">
        <v>20</v>
      </c>
      <c r="I59">
        <v>12</v>
      </c>
      <c r="J59">
        <v>1.4</v>
      </c>
      <c r="K59">
        <v>583624720.74633121</v>
      </c>
      <c r="L59">
        <v>50143600</v>
      </c>
      <c r="M59">
        <v>79694818.86679484</v>
      </c>
      <c r="N59">
        <v>71872200</v>
      </c>
      <c r="O59">
        <v>15885042.4</v>
      </c>
      <c r="P59">
        <v>225.916561</v>
      </c>
      <c r="Q59">
        <v>1.3291597099951329</v>
      </c>
      <c r="R59">
        <v>43.634883100000003</v>
      </c>
      <c r="S59">
        <v>779.74822899999992</v>
      </c>
      <c r="T59">
        <v>7.2955683199999998E-16</v>
      </c>
      <c r="U59">
        <v>19.227476034489619</v>
      </c>
      <c r="V59">
        <v>91.850000000000009</v>
      </c>
      <c r="W59">
        <v>-237.6855492468525</v>
      </c>
      <c r="X59">
        <v>62.840632200000002</v>
      </c>
      <c r="Y59">
        <v>92.759387200000006</v>
      </c>
      <c r="Z59">
        <v>180.98100000000002</v>
      </c>
      <c r="AA59">
        <v>231.587492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5.4656549568879758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>
      <c r="A60">
        <v>930</v>
      </c>
      <c r="B60">
        <v>30</v>
      </c>
      <c r="C60">
        <v>15</v>
      </c>
      <c r="D60">
        <v>2.95</v>
      </c>
      <c r="E60">
        <v>20</v>
      </c>
      <c r="F60">
        <v>5</v>
      </c>
      <c r="G60">
        <v>0.56747999999999998</v>
      </c>
      <c r="H60">
        <v>20</v>
      </c>
      <c r="I60">
        <v>12</v>
      </c>
      <c r="J60">
        <v>1.4</v>
      </c>
      <c r="K60">
        <v>583401300.14434326</v>
      </c>
      <c r="L60">
        <v>50125900</v>
      </c>
      <c r="M60">
        <v>79694918.86679484</v>
      </c>
      <c r="N60">
        <v>71932900</v>
      </c>
      <c r="O60">
        <v>15885042.4</v>
      </c>
      <c r="P60">
        <v>225.88964100000001</v>
      </c>
      <c r="Q60">
        <v>1.3271145806025222</v>
      </c>
      <c r="R60">
        <v>43.647850400000003</v>
      </c>
      <c r="S60">
        <v>779.97081800000001</v>
      </c>
      <c r="T60">
        <v>1.44293355E-9</v>
      </c>
      <c r="U60">
        <v>19.516374965449739</v>
      </c>
      <c r="V60">
        <v>91.850000000000009</v>
      </c>
      <c r="W60">
        <v>-237.61405623535271</v>
      </c>
      <c r="X60">
        <v>62.840632200000002</v>
      </c>
      <c r="Y60">
        <v>92.759387200000006</v>
      </c>
      <c r="Z60">
        <v>180.98100000000002</v>
      </c>
      <c r="AA60">
        <v>231.58706900000001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5.1045312931878257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>
      <c r="A61">
        <v>930</v>
      </c>
      <c r="B61">
        <v>30</v>
      </c>
      <c r="C61">
        <v>15</v>
      </c>
      <c r="D61">
        <v>2.95</v>
      </c>
      <c r="E61">
        <v>20</v>
      </c>
      <c r="F61">
        <v>6</v>
      </c>
      <c r="G61">
        <v>0.56747999999999998</v>
      </c>
      <c r="H61">
        <v>20</v>
      </c>
      <c r="I61">
        <v>12</v>
      </c>
      <c r="J61">
        <v>1.4</v>
      </c>
      <c r="K61">
        <v>583403616.83535874</v>
      </c>
      <c r="L61">
        <v>50125900</v>
      </c>
      <c r="M61">
        <v>79694818.86679484</v>
      </c>
      <c r="N61">
        <v>71904100</v>
      </c>
      <c r="O61">
        <v>15885042.4</v>
      </c>
      <c r="P61">
        <v>225.92332200000001</v>
      </c>
      <c r="Q61">
        <v>1.3274864198620211</v>
      </c>
      <c r="R61">
        <v>43.642574099999997</v>
      </c>
      <c r="S61">
        <v>779.87212</v>
      </c>
      <c r="T61">
        <v>1.75181561E-10</v>
      </c>
      <c r="U61">
        <v>19.429395393353147</v>
      </c>
      <c r="V61">
        <v>91.850000000000009</v>
      </c>
      <c r="W61">
        <v>-237.68197688187743</v>
      </c>
      <c r="X61">
        <v>62.840632200000002</v>
      </c>
      <c r="Y61">
        <v>92.759387200000006</v>
      </c>
      <c r="Z61">
        <v>180.98100000000002</v>
      </c>
      <c r="AA61">
        <v>231.57508200000001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5.2132557583085664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>
      <c r="A62">
        <v>930</v>
      </c>
      <c r="B62">
        <v>30</v>
      </c>
      <c r="C62">
        <v>15</v>
      </c>
      <c r="D62">
        <v>2.95</v>
      </c>
      <c r="E62">
        <v>20</v>
      </c>
      <c r="F62">
        <v>7</v>
      </c>
      <c r="G62">
        <v>0.56747999999999998</v>
      </c>
      <c r="H62">
        <v>20</v>
      </c>
      <c r="I62">
        <v>12</v>
      </c>
      <c r="J62">
        <v>1.4</v>
      </c>
      <c r="K62">
        <v>583405446.29430687</v>
      </c>
      <c r="L62">
        <v>50125900</v>
      </c>
      <c r="M62">
        <v>79694818.86679484</v>
      </c>
      <c r="N62">
        <v>71879000</v>
      </c>
      <c r="O62">
        <v>15885042.4</v>
      </c>
      <c r="P62">
        <v>225.95355699999999</v>
      </c>
      <c r="Q62">
        <v>1.3278046504567385</v>
      </c>
      <c r="R62">
        <v>43.638227399999998</v>
      </c>
      <c r="S62">
        <v>779.80632100000003</v>
      </c>
      <c r="T62">
        <v>2.1967295199999999E-11</v>
      </c>
      <c r="U62">
        <v>19.370359385903743</v>
      </c>
      <c r="V62">
        <v>91.850000000000009</v>
      </c>
      <c r="W62">
        <v>-237.76899718364712</v>
      </c>
      <c r="X62">
        <v>62.840632200000002</v>
      </c>
      <c r="Y62">
        <v>92.759387200000006</v>
      </c>
      <c r="Z62">
        <v>180.98100000000002</v>
      </c>
      <c r="AA62">
        <v>231.55133699999999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5.28705076762032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>
      <c r="A63">
        <v>930</v>
      </c>
      <c r="B63">
        <v>30</v>
      </c>
      <c r="C63">
        <v>15</v>
      </c>
      <c r="D63">
        <v>2.95</v>
      </c>
      <c r="E63">
        <v>20</v>
      </c>
      <c r="F63">
        <v>8</v>
      </c>
      <c r="G63">
        <v>0.56747999999999998</v>
      </c>
      <c r="H63">
        <v>20</v>
      </c>
      <c r="I63">
        <v>12</v>
      </c>
      <c r="J63">
        <v>1.4</v>
      </c>
      <c r="K63">
        <v>583407508.84226847</v>
      </c>
      <c r="L63">
        <v>50125900</v>
      </c>
      <c r="M63">
        <v>79694818.86679484</v>
      </c>
      <c r="N63">
        <v>71853700</v>
      </c>
      <c r="O63">
        <v>15885042.4</v>
      </c>
      <c r="P63">
        <v>225.989589</v>
      </c>
      <c r="Q63">
        <v>1.3280933342480681</v>
      </c>
      <c r="R63">
        <v>43.634055500000002</v>
      </c>
      <c r="S63">
        <v>779.75239399999998</v>
      </c>
      <c r="T63">
        <v>2.83315697E-12</v>
      </c>
      <c r="U63">
        <v>19.327163364488865</v>
      </c>
      <c r="V63">
        <v>91.850000000000009</v>
      </c>
      <c r="W63">
        <v>-237.87957659105143</v>
      </c>
      <c r="X63">
        <v>62.840632200000002</v>
      </c>
      <c r="Y63">
        <v>92.759387200000006</v>
      </c>
      <c r="Z63">
        <v>177.97</v>
      </c>
      <c r="AA63">
        <v>231.517776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5.3410457943889185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>
      <c r="A64">
        <v>930</v>
      </c>
      <c r="B64">
        <v>30</v>
      </c>
      <c r="C64">
        <v>15</v>
      </c>
      <c r="D64">
        <v>2.95</v>
      </c>
      <c r="E64">
        <v>20</v>
      </c>
      <c r="F64">
        <v>9</v>
      </c>
      <c r="G64">
        <v>0.56747999999999998</v>
      </c>
      <c r="H64">
        <v>20</v>
      </c>
      <c r="I64">
        <v>12</v>
      </c>
      <c r="J64">
        <v>1.4</v>
      </c>
      <c r="K64">
        <v>583409690.58139324</v>
      </c>
      <c r="L64">
        <v>50125900</v>
      </c>
      <c r="M64">
        <v>79694818.86679484</v>
      </c>
      <c r="N64">
        <v>71824600</v>
      </c>
      <c r="O64">
        <v>15885042.4</v>
      </c>
      <c r="P64">
        <v>226.03583699999999</v>
      </c>
      <c r="Q64">
        <v>1.3283964575790008</v>
      </c>
      <c r="R64">
        <v>43.629511800000003</v>
      </c>
      <c r="S64">
        <v>779.70177799999999</v>
      </c>
      <c r="T64">
        <v>3.7538449600000001E-13</v>
      </c>
      <c r="U64">
        <v>19.293241998562955</v>
      </c>
      <c r="V64">
        <v>91.850000000000009</v>
      </c>
      <c r="W64">
        <v>-238.0239873475054</v>
      </c>
      <c r="X64">
        <v>62.840632200000002</v>
      </c>
      <c r="Y64">
        <v>92.759387200000006</v>
      </c>
      <c r="Z64">
        <v>177.97</v>
      </c>
      <c r="AA64">
        <v>231.471135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5.3834475017963062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>
      <c r="A65">
        <v>930</v>
      </c>
      <c r="B65">
        <v>30</v>
      </c>
      <c r="C65">
        <v>15</v>
      </c>
      <c r="D65">
        <v>2.95</v>
      </c>
      <c r="E65">
        <v>20</v>
      </c>
      <c r="F65">
        <v>10</v>
      </c>
      <c r="G65">
        <v>0.56747999999999998</v>
      </c>
      <c r="H65">
        <v>20</v>
      </c>
      <c r="I65">
        <v>12</v>
      </c>
      <c r="J65">
        <v>1.4</v>
      </c>
      <c r="K65">
        <v>583412760.03022242</v>
      </c>
      <c r="L65">
        <v>50125800</v>
      </c>
      <c r="M65">
        <v>79694818.86679484</v>
      </c>
      <c r="N65">
        <v>71787600</v>
      </c>
      <c r="O65">
        <v>15885042.4</v>
      </c>
      <c r="P65">
        <v>226.09545700000001</v>
      </c>
      <c r="Q65">
        <v>1.3287758277957629</v>
      </c>
      <c r="R65">
        <v>43.624082899999998</v>
      </c>
      <c r="S65">
        <v>779.65111999999999</v>
      </c>
      <c r="T65">
        <v>5.1125390299999999E-14</v>
      </c>
      <c r="U65">
        <v>19.264288224264885</v>
      </c>
      <c r="V65">
        <v>91.850000000000009</v>
      </c>
      <c r="W65">
        <v>-238.21631023638108</v>
      </c>
      <c r="X65">
        <v>62.840696600000001</v>
      </c>
      <c r="Y65">
        <v>92.759387200000006</v>
      </c>
      <c r="Z65">
        <v>177.97</v>
      </c>
      <c r="AA65">
        <v>231.404889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5.4196397196688935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>
      <c r="A66">
        <v>930</v>
      </c>
      <c r="B66">
        <v>30</v>
      </c>
      <c r="C66">
        <v>15</v>
      </c>
      <c r="D66">
        <v>2.95</v>
      </c>
      <c r="E66">
        <v>20</v>
      </c>
      <c r="F66">
        <v>10</v>
      </c>
      <c r="G66">
        <v>0.56747999999999998</v>
      </c>
      <c r="H66">
        <v>20</v>
      </c>
      <c r="I66">
        <v>12</v>
      </c>
      <c r="J66">
        <v>1.4</v>
      </c>
      <c r="K66">
        <v>583412760.03022242</v>
      </c>
      <c r="L66">
        <v>50125800</v>
      </c>
      <c r="M66">
        <v>79694818.86679484</v>
      </c>
      <c r="N66">
        <v>71787600</v>
      </c>
      <c r="O66">
        <v>15885042.4</v>
      </c>
      <c r="P66">
        <v>226.09545700000001</v>
      </c>
      <c r="Q66">
        <v>1.3287758277957629</v>
      </c>
      <c r="R66">
        <v>43.624082899999998</v>
      </c>
      <c r="S66">
        <v>779.65111999999999</v>
      </c>
      <c r="T66">
        <v>5.1125390299999999E-14</v>
      </c>
      <c r="U66">
        <v>19.264288224264885</v>
      </c>
      <c r="V66">
        <v>91.850000000000009</v>
      </c>
      <c r="W66">
        <v>-238.21631023638108</v>
      </c>
      <c r="X66">
        <v>62.840696600000001</v>
      </c>
      <c r="Y66">
        <v>92.759387200000006</v>
      </c>
      <c r="Z66">
        <v>177.97</v>
      </c>
      <c r="AA66">
        <v>231.404889</v>
      </c>
      <c r="AB66">
        <v>99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5.4196397196688935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>
      <c r="A67">
        <v>930</v>
      </c>
      <c r="B67">
        <v>30</v>
      </c>
      <c r="C67">
        <v>15</v>
      </c>
      <c r="D67">
        <v>2.95</v>
      </c>
      <c r="E67">
        <v>20</v>
      </c>
      <c r="F67">
        <v>11</v>
      </c>
      <c r="G67">
        <v>0.56747999999999998</v>
      </c>
      <c r="H67">
        <v>20</v>
      </c>
      <c r="I67">
        <v>12</v>
      </c>
      <c r="J67">
        <v>1.4</v>
      </c>
      <c r="K67">
        <v>583416574.46396458</v>
      </c>
      <c r="L67">
        <v>50125800</v>
      </c>
      <c r="M67">
        <v>79694818.86679484</v>
      </c>
      <c r="N67">
        <v>71737400</v>
      </c>
      <c r="O67">
        <v>15885042.4</v>
      </c>
      <c r="P67">
        <v>226.17210800000001</v>
      </c>
      <c r="Q67">
        <v>1.3293167315848669</v>
      </c>
      <c r="R67">
        <v>43.6171875</v>
      </c>
      <c r="S67">
        <v>779.59922900000004</v>
      </c>
      <c r="T67">
        <v>7.1727491099999998E-15</v>
      </c>
      <c r="U67">
        <v>19.236793243038459</v>
      </c>
      <c r="V67">
        <v>91.850000000000009</v>
      </c>
      <c r="W67">
        <v>-238.47215427255048</v>
      </c>
      <c r="X67">
        <v>62.840696600000001</v>
      </c>
      <c r="Y67">
        <v>92.759387200000006</v>
      </c>
      <c r="Z67">
        <v>177.97</v>
      </c>
      <c r="AA67">
        <v>231.30999199999999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5.4540084462019252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>
      <c r="A68">
        <v>930</v>
      </c>
      <c r="B68">
        <v>30</v>
      </c>
      <c r="C68">
        <v>15</v>
      </c>
      <c r="D68">
        <v>2.95</v>
      </c>
      <c r="E68">
        <v>20</v>
      </c>
      <c r="F68">
        <v>12</v>
      </c>
      <c r="G68">
        <v>0.56747999999999998</v>
      </c>
      <c r="H68">
        <v>20</v>
      </c>
      <c r="I68">
        <v>12</v>
      </c>
      <c r="J68">
        <v>1.4</v>
      </c>
      <c r="K68">
        <v>583425175.22062886</v>
      </c>
      <c r="L68">
        <v>50125800</v>
      </c>
      <c r="M68">
        <v>79694718.824063033</v>
      </c>
      <c r="N68">
        <v>71667300</v>
      </c>
      <c r="O68">
        <v>15885042.4</v>
      </c>
      <c r="P68">
        <v>226.271209</v>
      </c>
      <c r="Q68">
        <v>1.3301279144455813</v>
      </c>
      <c r="R68">
        <v>43.6080969</v>
      </c>
      <c r="S68">
        <v>779.54591100000005</v>
      </c>
      <c r="T68">
        <v>1.0407077699999999E-15</v>
      </c>
      <c r="U68">
        <v>19.207163182540537</v>
      </c>
      <c r="V68">
        <v>91.850000000000009</v>
      </c>
      <c r="W68">
        <v>-238.8056443034265</v>
      </c>
      <c r="X68">
        <v>62.840800999999999</v>
      </c>
      <c r="Y68">
        <v>92.759387200000006</v>
      </c>
      <c r="Z68">
        <v>165.7</v>
      </c>
      <c r="AA68">
        <v>231.17583999999999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5.491046021824328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>
      <c r="A69">
        <v>930</v>
      </c>
      <c r="B69">
        <v>30</v>
      </c>
      <c r="C69">
        <v>15</v>
      </c>
      <c r="D69">
        <v>2.95</v>
      </c>
      <c r="E69">
        <v>20</v>
      </c>
      <c r="F69">
        <v>13</v>
      </c>
      <c r="G69">
        <v>0.56747999999999998</v>
      </c>
      <c r="H69">
        <v>20</v>
      </c>
      <c r="I69">
        <v>12</v>
      </c>
      <c r="J69">
        <v>1.4</v>
      </c>
      <c r="K69">
        <v>583440078.88409376</v>
      </c>
      <c r="L69">
        <v>50125700</v>
      </c>
      <c r="M69">
        <v>79694718.824063033</v>
      </c>
      <c r="N69">
        <v>71567900</v>
      </c>
      <c r="O69">
        <v>15885042.4</v>
      </c>
      <c r="P69">
        <v>226.40124900000001</v>
      </c>
      <c r="Q69">
        <v>1.3313447434933416</v>
      </c>
      <c r="R69">
        <v>43.595840799999998</v>
      </c>
      <c r="S69">
        <v>779.49201599999992</v>
      </c>
      <c r="T69">
        <v>1.57142089E-16</v>
      </c>
      <c r="U69">
        <v>19.170990685630603</v>
      </c>
      <c r="V69">
        <v>91.850000000000009</v>
      </c>
      <c r="W69">
        <v>-239.22411024029043</v>
      </c>
      <c r="X69">
        <v>62.840892400000001</v>
      </c>
      <c r="Y69">
        <v>92.759518700000001</v>
      </c>
      <c r="Z69">
        <v>165.7</v>
      </c>
      <c r="AA69">
        <v>230.99231499999999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5.5362616429617457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>
      <c r="A70">
        <v>930</v>
      </c>
      <c r="B70">
        <v>30</v>
      </c>
      <c r="C70">
        <v>15</v>
      </c>
      <c r="D70">
        <v>2.95</v>
      </c>
      <c r="E70">
        <v>20</v>
      </c>
      <c r="F70">
        <v>14</v>
      </c>
      <c r="G70">
        <v>0.56747999999999998</v>
      </c>
      <c r="H70">
        <v>20</v>
      </c>
      <c r="I70">
        <v>12</v>
      </c>
      <c r="J70">
        <v>1.4</v>
      </c>
      <c r="K70">
        <v>583451418.61466992</v>
      </c>
      <c r="L70">
        <v>50125600</v>
      </c>
      <c r="M70">
        <v>79694618.762841508</v>
      </c>
      <c r="N70">
        <v>71425200</v>
      </c>
      <c r="O70">
        <v>15885042.4</v>
      </c>
      <c r="P70">
        <v>226.57556600000001</v>
      </c>
      <c r="Q70">
        <v>1.3331326987868242</v>
      </c>
      <c r="R70">
        <v>43.579039799999997</v>
      </c>
      <c r="S70">
        <v>779.44134299999996</v>
      </c>
      <c r="T70">
        <v>2.4929050200000001E-17</v>
      </c>
      <c r="U70">
        <v>19.122206043779002</v>
      </c>
      <c r="V70">
        <v>91.850000000000009</v>
      </c>
      <c r="W70">
        <v>-239.71856132949389</v>
      </c>
      <c r="X70">
        <v>62.841028899999998</v>
      </c>
      <c r="Y70">
        <v>92.759518700000001</v>
      </c>
      <c r="Z70">
        <v>144.29</v>
      </c>
      <c r="AA70">
        <v>230.74950899999999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5.5972424452762475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>
      <c r="A71">
        <v>930</v>
      </c>
      <c r="B71">
        <v>30</v>
      </c>
      <c r="C71">
        <v>15</v>
      </c>
      <c r="D71">
        <v>2.95</v>
      </c>
      <c r="E71">
        <v>20</v>
      </c>
      <c r="F71">
        <v>12</v>
      </c>
      <c r="G71">
        <v>0.3</v>
      </c>
      <c r="H71">
        <v>20</v>
      </c>
      <c r="I71">
        <v>12</v>
      </c>
      <c r="J71">
        <v>1.4</v>
      </c>
      <c r="K71">
        <v>583290778.62103581</v>
      </c>
      <c r="L71">
        <v>50125700</v>
      </c>
      <c r="M71">
        <v>79694618.762841508</v>
      </c>
      <c r="N71">
        <v>71408500</v>
      </c>
      <c r="O71">
        <v>15885042.4</v>
      </c>
      <c r="P71">
        <v>226.503916</v>
      </c>
      <c r="Q71">
        <v>1.3334003700851544</v>
      </c>
      <c r="R71">
        <v>43.587051899999999</v>
      </c>
      <c r="S71">
        <v>779.971949</v>
      </c>
      <c r="T71">
        <v>1.87765813E-14</v>
      </c>
      <c r="U71">
        <v>19.539818169110621</v>
      </c>
      <c r="V71">
        <v>91.850000000000009</v>
      </c>
      <c r="W71">
        <v>-240.83033722393654</v>
      </c>
      <c r="X71">
        <v>62.841028899999998</v>
      </c>
      <c r="Y71">
        <v>92.759518700000001</v>
      </c>
      <c r="Z71">
        <v>165.7</v>
      </c>
      <c r="AA71">
        <v>230.56370699999999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5.0752272886117229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>
      <c r="A72">
        <v>930</v>
      </c>
      <c r="B72">
        <v>30</v>
      </c>
      <c r="C72">
        <v>15</v>
      </c>
      <c r="D72">
        <v>2.95</v>
      </c>
      <c r="E72">
        <v>20</v>
      </c>
      <c r="F72">
        <v>12</v>
      </c>
      <c r="G72">
        <v>0.39</v>
      </c>
      <c r="H72">
        <v>20</v>
      </c>
      <c r="I72">
        <v>12</v>
      </c>
      <c r="J72">
        <v>1.4</v>
      </c>
      <c r="K72">
        <v>583319608.15896797</v>
      </c>
      <c r="L72">
        <v>50125700</v>
      </c>
      <c r="M72">
        <v>79694718.762841508</v>
      </c>
      <c r="N72">
        <v>71559900</v>
      </c>
      <c r="O72">
        <v>15885042.4</v>
      </c>
      <c r="P72">
        <v>226.51953399999999</v>
      </c>
      <c r="Q72">
        <v>1.3304443992556927</v>
      </c>
      <c r="R72">
        <v>43.5961614</v>
      </c>
      <c r="S72">
        <v>779.56111199999998</v>
      </c>
      <c r="T72">
        <v>4.4252577500000001E-15</v>
      </c>
      <c r="U72">
        <v>19.349428293824136</v>
      </c>
      <c r="V72">
        <v>91.850000000000009</v>
      </c>
      <c r="W72">
        <v>-239.66768392615998</v>
      </c>
      <c r="X72">
        <v>62.840896100000002</v>
      </c>
      <c r="Y72">
        <v>92.759518700000001</v>
      </c>
      <c r="Z72">
        <v>165.7</v>
      </c>
      <c r="AA72">
        <v>230.93418600000001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5.3132146327198289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>
      <c r="A73">
        <v>930</v>
      </c>
      <c r="B73">
        <v>30</v>
      </c>
      <c r="C73">
        <v>15</v>
      </c>
      <c r="D73">
        <v>2.95</v>
      </c>
      <c r="E73">
        <v>20</v>
      </c>
      <c r="F73">
        <v>12</v>
      </c>
      <c r="G73">
        <v>0.48</v>
      </c>
      <c r="H73">
        <v>20</v>
      </c>
      <c r="I73">
        <v>12</v>
      </c>
      <c r="J73">
        <v>1.4</v>
      </c>
      <c r="K73">
        <v>583330813.12774301</v>
      </c>
      <c r="L73">
        <v>50125800</v>
      </c>
      <c r="M73">
        <v>79694718.813380092</v>
      </c>
      <c r="N73">
        <v>71631100</v>
      </c>
      <c r="O73">
        <v>15885042.4</v>
      </c>
      <c r="P73">
        <v>226.42246900000001</v>
      </c>
      <c r="Q73">
        <v>1.3296621735268965</v>
      </c>
      <c r="R73">
        <v>43.602633599999997</v>
      </c>
      <c r="S73">
        <v>779.47312499999998</v>
      </c>
      <c r="T73">
        <v>1.8468494900000001E-15</v>
      </c>
      <c r="U73">
        <v>19.252651099707059</v>
      </c>
      <c r="V73">
        <v>91.850000000000009</v>
      </c>
      <c r="W73">
        <v>-239.0779587264602</v>
      </c>
      <c r="X73">
        <v>62.8408303</v>
      </c>
      <c r="Y73">
        <v>92.759518700000001</v>
      </c>
      <c r="Z73">
        <v>165.7</v>
      </c>
      <c r="AA73">
        <v>231.102825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5.4341861253661765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A74">
        <v>930</v>
      </c>
      <c r="B74">
        <v>30</v>
      </c>
      <c r="C74">
        <v>15</v>
      </c>
      <c r="D74">
        <v>2.95</v>
      </c>
      <c r="E74">
        <v>20</v>
      </c>
      <c r="F74">
        <v>12</v>
      </c>
      <c r="G74">
        <v>0.57000000000000006</v>
      </c>
      <c r="H74">
        <v>20</v>
      </c>
      <c r="I74">
        <v>12</v>
      </c>
      <c r="J74">
        <v>1.4</v>
      </c>
      <c r="K74">
        <v>583425972.99353862</v>
      </c>
      <c r="L74">
        <v>50125800</v>
      </c>
      <c r="M74">
        <v>79694718.813380092</v>
      </c>
      <c r="N74">
        <v>71668000</v>
      </c>
      <c r="O74">
        <v>15885042.4</v>
      </c>
      <c r="P74">
        <v>226.26647500000001</v>
      </c>
      <c r="Q74">
        <v>1.3301444805734259</v>
      </c>
      <c r="R74">
        <v>43.608243100000003</v>
      </c>
      <c r="S74">
        <v>779.54927100000009</v>
      </c>
      <c r="T74">
        <v>1.0263438199999999E-15</v>
      </c>
      <c r="U74">
        <v>19.206259317882935</v>
      </c>
      <c r="V74">
        <v>91.850000000000009</v>
      </c>
      <c r="W74">
        <v>-238.80061711645308</v>
      </c>
      <c r="X74">
        <v>62.8408303</v>
      </c>
      <c r="Y74">
        <v>92.759518700000001</v>
      </c>
      <c r="Z74">
        <v>165.7</v>
      </c>
      <c r="AA74">
        <v>231.177155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5.49217585264633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>
      <c r="A75">
        <v>930</v>
      </c>
      <c r="B75">
        <v>30</v>
      </c>
      <c r="C75">
        <v>15</v>
      </c>
      <c r="D75">
        <v>2.95</v>
      </c>
      <c r="E75">
        <v>20</v>
      </c>
      <c r="F75">
        <v>12</v>
      </c>
      <c r="G75">
        <v>0.65999999999999992</v>
      </c>
      <c r="H75">
        <v>20</v>
      </c>
      <c r="I75">
        <v>12</v>
      </c>
      <c r="J75">
        <v>1.4</v>
      </c>
      <c r="K75">
        <v>583443917.79162407</v>
      </c>
      <c r="L75">
        <v>50124900</v>
      </c>
      <c r="M75">
        <v>79694718.813380092</v>
      </c>
      <c r="N75">
        <v>71687800</v>
      </c>
      <c r="O75">
        <v>15885042.4</v>
      </c>
      <c r="P75">
        <v>226.093568</v>
      </c>
      <c r="Q75">
        <v>1.3308114449663859</v>
      </c>
      <c r="R75">
        <v>43.613056999999998</v>
      </c>
      <c r="S75">
        <v>779.69334500000002</v>
      </c>
      <c r="T75">
        <v>6.6853645499999996E-16</v>
      </c>
      <c r="U75">
        <v>19.182907945067619</v>
      </c>
      <c r="V75">
        <v>91.850000000000009</v>
      </c>
      <c r="W75">
        <v>-238.68872321649306</v>
      </c>
      <c r="X75">
        <v>62.8408303</v>
      </c>
      <c r="Y75">
        <v>92.759518700000001</v>
      </c>
      <c r="Z75">
        <v>177.97</v>
      </c>
      <c r="AA75">
        <v>231.20584700000001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5.5213650686654763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>
        <v>930</v>
      </c>
      <c r="B76">
        <v>30</v>
      </c>
      <c r="C76">
        <v>15</v>
      </c>
      <c r="D76">
        <v>2.95</v>
      </c>
      <c r="E76">
        <v>20</v>
      </c>
      <c r="F76">
        <v>12</v>
      </c>
      <c r="G76">
        <v>0.75</v>
      </c>
      <c r="H76">
        <v>20</v>
      </c>
      <c r="I76">
        <v>12</v>
      </c>
      <c r="J76">
        <v>1.4</v>
      </c>
      <c r="K76">
        <v>583454476.60152066</v>
      </c>
      <c r="L76">
        <v>50142700</v>
      </c>
      <c r="M76">
        <v>79694718.813380092</v>
      </c>
      <c r="N76">
        <v>71698200</v>
      </c>
      <c r="O76">
        <v>15885042.4</v>
      </c>
      <c r="P76">
        <v>225.92420300000001</v>
      </c>
      <c r="Q76">
        <v>1.3319854090637149</v>
      </c>
      <c r="R76">
        <v>43.617125799999997</v>
      </c>
      <c r="S76">
        <v>779.85890999999992</v>
      </c>
      <c r="T76">
        <v>4.7997025500000004E-16</v>
      </c>
      <c r="U76">
        <v>19.170539420841411</v>
      </c>
      <c r="V76">
        <v>91.850000000000009</v>
      </c>
      <c r="W76">
        <v>-238.66377520183107</v>
      </c>
      <c r="X76">
        <v>62.8408303</v>
      </c>
      <c r="Y76">
        <v>92.759518700000001</v>
      </c>
      <c r="Z76">
        <v>177.97</v>
      </c>
      <c r="AA76">
        <v>231.21138500000001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5.536825723948235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>
      <c r="A77">
        <v>930</v>
      </c>
      <c r="B77">
        <v>30</v>
      </c>
      <c r="C77">
        <v>15</v>
      </c>
      <c r="D77">
        <v>2.95</v>
      </c>
      <c r="E77">
        <v>20</v>
      </c>
      <c r="F77">
        <v>12</v>
      </c>
      <c r="G77">
        <v>0.84000000000000008</v>
      </c>
      <c r="H77">
        <v>20</v>
      </c>
      <c r="I77">
        <v>12</v>
      </c>
      <c r="J77">
        <v>1.4</v>
      </c>
      <c r="K77">
        <v>583473470.96767259</v>
      </c>
      <c r="L77">
        <v>50142700</v>
      </c>
      <c r="M77">
        <v>79694718.813380092</v>
      </c>
      <c r="N77">
        <v>71703200</v>
      </c>
      <c r="O77">
        <v>15885042.4</v>
      </c>
      <c r="P77">
        <v>225.76734500000001</v>
      </c>
      <c r="Q77">
        <v>1.3328701928532367</v>
      </c>
      <c r="R77">
        <v>43.620546099999999</v>
      </c>
      <c r="S77">
        <v>780.02409699999998</v>
      </c>
      <c r="T77">
        <v>3.6751855599999999E-16</v>
      </c>
      <c r="U77">
        <v>19.163764790194911</v>
      </c>
      <c r="V77">
        <v>91.850000000000009</v>
      </c>
      <c r="W77">
        <v>-238.68347268565304</v>
      </c>
      <c r="X77">
        <v>62.8408303</v>
      </c>
      <c r="Y77">
        <v>92.759518700000001</v>
      </c>
      <c r="Z77">
        <v>177.97</v>
      </c>
      <c r="AA77">
        <v>231.205209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5.5452940122563614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A78">
        <v>930</v>
      </c>
      <c r="B78">
        <v>30</v>
      </c>
      <c r="C78">
        <v>15</v>
      </c>
      <c r="D78">
        <v>2.95</v>
      </c>
      <c r="E78">
        <v>20</v>
      </c>
      <c r="F78">
        <v>12</v>
      </c>
      <c r="G78">
        <v>0.92999999999999994</v>
      </c>
      <c r="H78">
        <v>20</v>
      </c>
      <c r="I78">
        <v>12</v>
      </c>
      <c r="J78">
        <v>1.4</v>
      </c>
      <c r="K78">
        <v>583475695.57005239</v>
      </c>
      <c r="L78">
        <v>50142700</v>
      </c>
      <c r="M78">
        <v>79694718.813380092</v>
      </c>
      <c r="N78">
        <v>71705300</v>
      </c>
      <c r="O78">
        <v>15885042.4</v>
      </c>
      <c r="P78">
        <v>225.62629899999999</v>
      </c>
      <c r="Q78">
        <v>1.3336690185108675</v>
      </c>
      <c r="R78">
        <v>43.623421100000002</v>
      </c>
      <c r="S78">
        <v>780.17896299999995</v>
      </c>
      <c r="T78">
        <v>2.94469683E-16</v>
      </c>
      <c r="U78">
        <v>19.160004082956313</v>
      </c>
      <c r="V78">
        <v>91.850000000000009</v>
      </c>
      <c r="W78">
        <v>-238.72470996965959</v>
      </c>
      <c r="X78">
        <v>62.8408303</v>
      </c>
      <c r="Y78">
        <v>92.759518700000001</v>
      </c>
      <c r="Z78">
        <v>177.97</v>
      </c>
      <c r="AA78">
        <v>231.19350499999999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5.5499948963046091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>
      <c r="A79">
        <v>930</v>
      </c>
      <c r="B79">
        <v>30</v>
      </c>
      <c r="C79">
        <v>15</v>
      </c>
      <c r="D79">
        <v>2.95</v>
      </c>
      <c r="E79">
        <v>20</v>
      </c>
      <c r="F79">
        <v>12</v>
      </c>
      <c r="G79">
        <v>1.02</v>
      </c>
      <c r="H79">
        <v>20</v>
      </c>
      <c r="I79">
        <v>12</v>
      </c>
      <c r="J79">
        <v>1.4</v>
      </c>
      <c r="K79">
        <v>583479018.24088717</v>
      </c>
      <c r="L79">
        <v>50142700</v>
      </c>
      <c r="M79">
        <v>79694718.813380092</v>
      </c>
      <c r="N79">
        <v>71705500</v>
      </c>
      <c r="O79">
        <v>15885042.4</v>
      </c>
      <c r="P79">
        <v>225.50160700000001</v>
      </c>
      <c r="Q79">
        <v>1.3344125635502415</v>
      </c>
      <c r="R79">
        <v>43.625844399999998</v>
      </c>
      <c r="S79">
        <v>780.31951499999991</v>
      </c>
      <c r="T79">
        <v>2.43998884E-16</v>
      </c>
      <c r="U79">
        <v>19.15793490592721</v>
      </c>
      <c r="V79">
        <v>91.850000000000009</v>
      </c>
      <c r="W79">
        <v>-238.77486953579353</v>
      </c>
      <c r="X79">
        <v>62.8408303</v>
      </c>
      <c r="Y79">
        <v>92.759518700000001</v>
      </c>
      <c r="Z79">
        <v>177.97</v>
      </c>
      <c r="AA79">
        <v>231.179666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5.552581367590987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>
        <v>930</v>
      </c>
      <c r="B80">
        <v>30</v>
      </c>
      <c r="C80">
        <v>15</v>
      </c>
      <c r="D80">
        <v>2.95</v>
      </c>
      <c r="E80">
        <v>20</v>
      </c>
      <c r="F80">
        <v>12</v>
      </c>
      <c r="G80">
        <v>1.1099999999999999</v>
      </c>
      <c r="H80">
        <v>20</v>
      </c>
      <c r="I80">
        <v>12</v>
      </c>
      <c r="J80">
        <v>1.4</v>
      </c>
      <c r="K80">
        <v>583485381.66523468</v>
      </c>
      <c r="L80">
        <v>50142700</v>
      </c>
      <c r="M80">
        <v>79694718.813380092</v>
      </c>
      <c r="N80">
        <v>71705000</v>
      </c>
      <c r="O80">
        <v>15885042.4</v>
      </c>
      <c r="P80">
        <v>225.39239599999999</v>
      </c>
      <c r="Q80">
        <v>1.3350880945206904</v>
      </c>
      <c r="R80">
        <v>43.627895100000003</v>
      </c>
      <c r="S80">
        <v>780.44480199999998</v>
      </c>
      <c r="T80">
        <v>2.0748346399999999E-16</v>
      </c>
      <c r="U80">
        <v>19.156845654368411</v>
      </c>
      <c r="V80">
        <v>91.850000000000009</v>
      </c>
      <c r="W80">
        <v>-238.8270475505316</v>
      </c>
      <c r="X80">
        <v>62.8408303</v>
      </c>
      <c r="Y80">
        <v>92.759518700000001</v>
      </c>
      <c r="Z80">
        <v>177.97</v>
      </c>
      <c r="AA80">
        <v>231.165526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5.5539429320394866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>
      <c r="A81">
        <v>930</v>
      </c>
      <c r="B81">
        <v>30</v>
      </c>
      <c r="C81">
        <v>15</v>
      </c>
      <c r="D81">
        <v>2.95</v>
      </c>
      <c r="E81">
        <v>20</v>
      </c>
      <c r="F81">
        <v>12</v>
      </c>
      <c r="G81">
        <v>1.2</v>
      </c>
      <c r="H81">
        <v>20</v>
      </c>
      <c r="I81">
        <v>12</v>
      </c>
      <c r="J81">
        <v>1.4</v>
      </c>
      <c r="K81">
        <v>583536740.96979654</v>
      </c>
      <c r="L81">
        <v>50142700</v>
      </c>
      <c r="M81">
        <v>79694718.813380092</v>
      </c>
      <c r="N81">
        <v>71703900</v>
      </c>
      <c r="O81">
        <v>15885042.4</v>
      </c>
      <c r="P81">
        <v>225.29723200000001</v>
      </c>
      <c r="Q81">
        <v>1.3358283327546734</v>
      </c>
      <c r="R81">
        <v>43.629638800000002</v>
      </c>
      <c r="S81">
        <v>780.55536700000005</v>
      </c>
      <c r="T81">
        <v>1.80105969E-16</v>
      </c>
      <c r="U81">
        <v>19.156332146973103</v>
      </c>
      <c r="V81">
        <v>91.850000000000009</v>
      </c>
      <c r="W81">
        <v>-238.87769977342677</v>
      </c>
      <c r="X81">
        <v>62.8408303</v>
      </c>
      <c r="Y81">
        <v>92.759518700000001</v>
      </c>
      <c r="Z81">
        <v>177.97</v>
      </c>
      <c r="AA81">
        <v>231.15201999999999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5.5545848162836204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A82">
        <v>930</v>
      </c>
      <c r="B82">
        <v>30</v>
      </c>
      <c r="C82">
        <v>15</v>
      </c>
      <c r="D82">
        <v>2.95</v>
      </c>
      <c r="E82">
        <v>20</v>
      </c>
      <c r="F82">
        <v>12</v>
      </c>
      <c r="G82">
        <v>0.56747999999999998</v>
      </c>
      <c r="H82">
        <v>10</v>
      </c>
      <c r="I82">
        <v>12</v>
      </c>
      <c r="J82">
        <v>1.4</v>
      </c>
      <c r="K82">
        <v>583536740.96979654</v>
      </c>
      <c r="L82">
        <v>50142700</v>
      </c>
      <c r="M82">
        <v>79694718.813380092</v>
      </c>
      <c r="N82">
        <v>71703900</v>
      </c>
      <c r="O82">
        <v>15885042.4</v>
      </c>
      <c r="P82">
        <v>225.29723200000001</v>
      </c>
      <c r="Q82">
        <v>1.3358283327546734</v>
      </c>
      <c r="R82">
        <v>43.629638800000002</v>
      </c>
      <c r="S82">
        <v>780.55536700000005</v>
      </c>
      <c r="T82">
        <v>1.80105969E-16</v>
      </c>
      <c r="U82">
        <v>19.156332146973103</v>
      </c>
      <c r="V82">
        <v>91.850000000000009</v>
      </c>
      <c r="W82">
        <v>-238.87769977342677</v>
      </c>
      <c r="X82">
        <v>62.8408303</v>
      </c>
      <c r="Y82">
        <v>92.759518700000001</v>
      </c>
      <c r="Z82">
        <v>177.97</v>
      </c>
      <c r="AA82">
        <v>231.15201999999999</v>
      </c>
      <c r="AB82">
        <v>99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5.5545848162836204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>
      <c r="A83">
        <v>930</v>
      </c>
      <c r="B83">
        <v>30</v>
      </c>
      <c r="C83">
        <v>15</v>
      </c>
      <c r="D83">
        <v>2.95</v>
      </c>
      <c r="E83">
        <v>20</v>
      </c>
      <c r="F83">
        <v>12</v>
      </c>
      <c r="G83">
        <v>0.56747999999999998</v>
      </c>
      <c r="H83">
        <v>12</v>
      </c>
      <c r="I83">
        <v>12</v>
      </c>
      <c r="J83">
        <v>1.4</v>
      </c>
      <c r="K83">
        <v>583536740.96979654</v>
      </c>
      <c r="L83">
        <v>50142700</v>
      </c>
      <c r="M83">
        <v>79694718.813380092</v>
      </c>
      <c r="N83">
        <v>71703900</v>
      </c>
      <c r="O83">
        <v>15885042.4</v>
      </c>
      <c r="P83">
        <v>225.29723200000001</v>
      </c>
      <c r="Q83">
        <v>1.3358283327546734</v>
      </c>
      <c r="R83">
        <v>43.629638800000002</v>
      </c>
      <c r="S83">
        <v>780.55536700000005</v>
      </c>
      <c r="T83">
        <v>1.80105969E-16</v>
      </c>
      <c r="U83">
        <v>19.156332146973103</v>
      </c>
      <c r="V83">
        <v>91.850000000000009</v>
      </c>
      <c r="W83">
        <v>-238.87769977342677</v>
      </c>
      <c r="X83">
        <v>62.8408303</v>
      </c>
      <c r="Y83">
        <v>92.759518700000001</v>
      </c>
      <c r="Z83">
        <v>177.97</v>
      </c>
      <c r="AA83">
        <v>231.15201999999999</v>
      </c>
      <c r="AB83">
        <v>99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5.5545848162836204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>
      <c r="A84">
        <v>930</v>
      </c>
      <c r="B84">
        <v>30</v>
      </c>
      <c r="C84">
        <v>15</v>
      </c>
      <c r="D84">
        <v>2.95</v>
      </c>
      <c r="E84">
        <v>20</v>
      </c>
      <c r="F84">
        <v>12</v>
      </c>
      <c r="G84">
        <v>0.56747999999999998</v>
      </c>
      <c r="H84">
        <v>14</v>
      </c>
      <c r="I84">
        <v>12</v>
      </c>
      <c r="J84">
        <v>1.4</v>
      </c>
      <c r="K84">
        <v>583289015.61875367</v>
      </c>
      <c r="L84">
        <v>50126100</v>
      </c>
      <c r="M84">
        <v>79694818.859193519</v>
      </c>
      <c r="N84">
        <v>71786900</v>
      </c>
      <c r="O84">
        <v>15885277.040000001</v>
      </c>
      <c r="P84">
        <v>226.52711099999999</v>
      </c>
      <c r="Q84">
        <v>1.3258924573001658</v>
      </c>
      <c r="R84">
        <v>43.609273299999998</v>
      </c>
      <c r="S84">
        <v>779.47625700000003</v>
      </c>
      <c r="T84">
        <v>1.03755675E-15</v>
      </c>
      <c r="U84">
        <v>19.185748613020532</v>
      </c>
      <c r="V84">
        <v>91.850000000000009</v>
      </c>
      <c r="W84">
        <v>-239.22686123193125</v>
      </c>
      <c r="X84">
        <v>62.864428599999997</v>
      </c>
      <c r="Y84">
        <v>92.771425600000001</v>
      </c>
      <c r="Z84">
        <v>165.7</v>
      </c>
      <c r="AA84">
        <v>233.19543100000001</v>
      </c>
      <c r="AB84">
        <v>99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5.5178142337243337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>
      <c r="A85">
        <v>930</v>
      </c>
      <c r="B85">
        <v>30</v>
      </c>
      <c r="C85">
        <v>15</v>
      </c>
      <c r="D85">
        <v>2.95</v>
      </c>
      <c r="E85">
        <v>20</v>
      </c>
      <c r="F85">
        <v>12</v>
      </c>
      <c r="G85">
        <v>0.56747999999999998</v>
      </c>
      <c r="H85">
        <v>16</v>
      </c>
      <c r="I85">
        <v>12</v>
      </c>
      <c r="J85">
        <v>1.4</v>
      </c>
      <c r="K85">
        <v>583323523.72046852</v>
      </c>
      <c r="L85">
        <v>50125800</v>
      </c>
      <c r="M85">
        <v>79694718.859193519</v>
      </c>
      <c r="N85">
        <v>71705700</v>
      </c>
      <c r="O85">
        <v>15885088.799999999</v>
      </c>
      <c r="P85">
        <v>226.325818</v>
      </c>
      <c r="Q85">
        <v>1.3287531076342867</v>
      </c>
      <c r="R85">
        <v>43.608348200000002</v>
      </c>
      <c r="S85">
        <v>779.53103399999998</v>
      </c>
      <c r="T85">
        <v>1.0400342100000001E-15</v>
      </c>
      <c r="U85">
        <v>19.202589290766838</v>
      </c>
      <c r="V85">
        <v>91.850000000000009</v>
      </c>
      <c r="W85">
        <v>-238.89560333157343</v>
      </c>
      <c r="X85">
        <v>62.845845400000002</v>
      </c>
      <c r="Y85">
        <v>92.762023400000004</v>
      </c>
      <c r="Z85">
        <v>165.7</v>
      </c>
      <c r="AA85">
        <v>231.910901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5.4967633865414527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>
      <c r="A86">
        <v>930</v>
      </c>
      <c r="B86">
        <v>30</v>
      </c>
      <c r="C86">
        <v>15</v>
      </c>
      <c r="D86">
        <v>2.95</v>
      </c>
      <c r="E86">
        <v>20</v>
      </c>
      <c r="F86">
        <v>12</v>
      </c>
      <c r="G86">
        <v>0.56747999999999998</v>
      </c>
      <c r="H86">
        <v>18</v>
      </c>
      <c r="I86">
        <v>12</v>
      </c>
      <c r="J86">
        <v>1.4</v>
      </c>
      <c r="K86">
        <v>583398229.35016227</v>
      </c>
      <c r="L86">
        <v>50125800</v>
      </c>
      <c r="M86">
        <v>79694718.859193519</v>
      </c>
      <c r="N86">
        <v>71680000</v>
      </c>
      <c r="O86">
        <v>15885049.76</v>
      </c>
      <c r="P86">
        <v>226.28267099999999</v>
      </c>
      <c r="Q86">
        <v>1.3297319477829574</v>
      </c>
      <c r="R86">
        <v>43.608149699999998</v>
      </c>
      <c r="S86">
        <v>779.54278799999997</v>
      </c>
      <c r="T86">
        <v>1.04056624E-15</v>
      </c>
      <c r="U86">
        <v>19.206202960937834</v>
      </c>
      <c r="V86">
        <v>91.850000000000009</v>
      </c>
      <c r="W86">
        <v>-238.82452853618321</v>
      </c>
      <c r="X86">
        <v>62.841859800000002</v>
      </c>
      <c r="Y86">
        <v>92.760007900000005</v>
      </c>
      <c r="Z86">
        <v>165.7</v>
      </c>
      <c r="AA86">
        <v>231.469829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5.4922462988277072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>
      <c r="A87">
        <v>930</v>
      </c>
      <c r="B87">
        <v>30</v>
      </c>
      <c r="C87">
        <v>15</v>
      </c>
      <c r="D87">
        <v>2.95</v>
      </c>
      <c r="E87">
        <v>20</v>
      </c>
      <c r="F87">
        <v>12</v>
      </c>
      <c r="G87">
        <v>0.56747999999999998</v>
      </c>
      <c r="H87">
        <v>20</v>
      </c>
      <c r="I87">
        <v>12</v>
      </c>
      <c r="J87">
        <v>1.4</v>
      </c>
      <c r="K87">
        <v>583425287.09321034</v>
      </c>
      <c r="L87">
        <v>50125800</v>
      </c>
      <c r="M87">
        <v>79694718.824063033</v>
      </c>
      <c r="N87">
        <v>71667300</v>
      </c>
      <c r="O87">
        <v>15885049.76</v>
      </c>
      <c r="P87">
        <v>226.271209</v>
      </c>
      <c r="Q87">
        <v>1.3301282500838421</v>
      </c>
      <c r="R87">
        <v>43.6080969</v>
      </c>
      <c r="S87">
        <v>779.54591100000005</v>
      </c>
      <c r="T87">
        <v>1.0407077699999999E-15</v>
      </c>
      <c r="U87">
        <v>19.207163182540537</v>
      </c>
      <c r="V87">
        <v>91.850000000000009</v>
      </c>
      <c r="W87">
        <v>-238.8056443034265</v>
      </c>
      <c r="X87">
        <v>62.840800999999999</v>
      </c>
      <c r="Y87">
        <v>92.759472500000001</v>
      </c>
      <c r="Z87">
        <v>165.7</v>
      </c>
      <c r="AA87">
        <v>231.17583999999999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5.491046021824328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>
      <c r="A88">
        <v>930</v>
      </c>
      <c r="B88">
        <v>30</v>
      </c>
      <c r="C88">
        <v>15</v>
      </c>
      <c r="D88">
        <v>2.95</v>
      </c>
      <c r="E88">
        <v>20</v>
      </c>
      <c r="F88">
        <v>12</v>
      </c>
      <c r="G88">
        <v>0.56747999999999998</v>
      </c>
      <c r="H88">
        <v>21</v>
      </c>
      <c r="I88">
        <v>12</v>
      </c>
      <c r="J88">
        <v>1.4</v>
      </c>
      <c r="K88">
        <v>583450675.13204336</v>
      </c>
      <c r="L88">
        <v>50143500</v>
      </c>
      <c r="M88">
        <v>79694718.824063033</v>
      </c>
      <c r="N88">
        <v>71663100</v>
      </c>
      <c r="O88">
        <v>15885049.76</v>
      </c>
      <c r="P88">
        <v>226.26907700000001</v>
      </c>
      <c r="Q88">
        <v>1.3306442052220029</v>
      </c>
      <c r="R88">
        <v>43.6080969</v>
      </c>
      <c r="S88">
        <v>779.54591100000005</v>
      </c>
      <c r="T88">
        <v>1.0407339699999999E-15</v>
      </c>
      <c r="U88">
        <v>19.207341800911731</v>
      </c>
      <c r="V88">
        <v>91.850000000000009</v>
      </c>
      <c r="W88">
        <v>-238.80213071912445</v>
      </c>
      <c r="X88">
        <v>62.840603999999999</v>
      </c>
      <c r="Y88">
        <v>92.759372900000002</v>
      </c>
      <c r="Z88">
        <v>165.7</v>
      </c>
      <c r="AA88">
        <v>231.03752700000001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5.4908227488603352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>
      <c r="A89">
        <v>930</v>
      </c>
      <c r="B89">
        <v>30</v>
      </c>
      <c r="C89">
        <v>15</v>
      </c>
      <c r="D89">
        <v>2.95</v>
      </c>
      <c r="E89">
        <v>20</v>
      </c>
      <c r="F89">
        <v>12</v>
      </c>
      <c r="G89">
        <v>0.56747999999999998</v>
      </c>
      <c r="H89">
        <v>23</v>
      </c>
      <c r="I89">
        <v>12</v>
      </c>
      <c r="J89">
        <v>1.4</v>
      </c>
      <c r="K89">
        <v>583505241.12806582</v>
      </c>
      <c r="L89">
        <v>50143500</v>
      </c>
      <c r="M89">
        <v>79694718.824063033</v>
      </c>
      <c r="N89">
        <v>71657200</v>
      </c>
      <c r="O89">
        <v>15885032.24</v>
      </c>
      <c r="P89">
        <v>226.267303</v>
      </c>
      <c r="Q89">
        <v>1.3309334541655613</v>
      </c>
      <c r="R89">
        <v>43.6080969</v>
      </c>
      <c r="S89">
        <v>779.54697499999997</v>
      </c>
      <c r="T89">
        <v>1.0407559699999999E-15</v>
      </c>
      <c r="U89">
        <v>19.207490383728832</v>
      </c>
      <c r="V89">
        <v>91.850000000000009</v>
      </c>
      <c r="W89">
        <v>-238.799208363292</v>
      </c>
      <c r="X89">
        <v>62.840440100000002</v>
      </c>
      <c r="Y89">
        <v>92.759372900000002</v>
      </c>
      <c r="Z89">
        <v>165.7</v>
      </c>
      <c r="AA89">
        <v>230.81195399999999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5.4906370203389603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>
      <c r="A90">
        <v>930</v>
      </c>
      <c r="B90">
        <v>30</v>
      </c>
      <c r="C90">
        <v>15</v>
      </c>
      <c r="D90">
        <v>2.95</v>
      </c>
      <c r="E90">
        <v>20</v>
      </c>
      <c r="F90">
        <v>12</v>
      </c>
      <c r="G90">
        <v>0.56747999999999998</v>
      </c>
      <c r="H90">
        <v>25</v>
      </c>
      <c r="I90">
        <v>12</v>
      </c>
      <c r="J90">
        <v>1.4</v>
      </c>
      <c r="K90">
        <v>583534605.21618712</v>
      </c>
      <c r="L90">
        <v>50143500</v>
      </c>
      <c r="M90">
        <v>79694718.824063033</v>
      </c>
      <c r="N90">
        <v>71653700</v>
      </c>
      <c r="O90">
        <v>15885032.24</v>
      </c>
      <c r="P90">
        <v>226.26675499999999</v>
      </c>
      <c r="Q90">
        <v>1.3310930600489623</v>
      </c>
      <c r="R90">
        <v>43.6080969</v>
      </c>
      <c r="S90">
        <v>779.54697499999997</v>
      </c>
      <c r="T90">
        <v>1.0407626300000001E-15</v>
      </c>
      <c r="U90">
        <v>19.207536365131833</v>
      </c>
      <c r="V90">
        <v>91.850000000000009</v>
      </c>
      <c r="W90">
        <v>-238.79826229541993</v>
      </c>
      <c r="X90">
        <v>62.840440100000002</v>
      </c>
      <c r="Y90">
        <v>92.759264400000006</v>
      </c>
      <c r="Z90">
        <v>165.7</v>
      </c>
      <c r="AA90">
        <v>230.65875600000001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5.4905795435852074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>
      <c r="A91">
        <v>930</v>
      </c>
      <c r="B91">
        <v>30</v>
      </c>
      <c r="C91">
        <v>15</v>
      </c>
      <c r="D91">
        <v>2.95</v>
      </c>
      <c r="E91">
        <v>20</v>
      </c>
      <c r="F91">
        <v>12</v>
      </c>
      <c r="G91">
        <v>0.56747999999999998</v>
      </c>
      <c r="H91">
        <v>27</v>
      </c>
      <c r="I91">
        <v>12</v>
      </c>
      <c r="J91">
        <v>1.4</v>
      </c>
      <c r="K91">
        <v>583582665.40170133</v>
      </c>
      <c r="L91">
        <v>50143500</v>
      </c>
      <c r="M91">
        <v>79694718.824063033</v>
      </c>
      <c r="N91">
        <v>71651500</v>
      </c>
      <c r="O91">
        <v>15885032.24</v>
      </c>
      <c r="P91">
        <v>226.26675499999999</v>
      </c>
      <c r="Q91">
        <v>1.3312801730541628</v>
      </c>
      <c r="R91">
        <v>43.6080969</v>
      </c>
      <c r="S91">
        <v>779.54697499999997</v>
      </c>
      <c r="T91">
        <v>1.0407647299999999E-15</v>
      </c>
      <c r="U91">
        <v>19.207536630948134</v>
      </c>
      <c r="V91">
        <v>91.850000000000009</v>
      </c>
      <c r="W91">
        <v>-238.79797179962458</v>
      </c>
      <c r="X91">
        <v>62.840374799999999</v>
      </c>
      <c r="Y91">
        <v>92.759264400000006</v>
      </c>
      <c r="Z91">
        <v>165.7</v>
      </c>
      <c r="AA91">
        <v>230.56317799999999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5.4905792113148326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>
      <c r="A92">
        <v>930</v>
      </c>
      <c r="B92">
        <v>30</v>
      </c>
      <c r="C92">
        <v>15</v>
      </c>
      <c r="D92">
        <v>2.95</v>
      </c>
      <c r="E92">
        <v>20</v>
      </c>
      <c r="F92">
        <v>12</v>
      </c>
      <c r="G92">
        <v>0.56747999999999998</v>
      </c>
      <c r="H92">
        <v>29</v>
      </c>
      <c r="I92">
        <v>12</v>
      </c>
      <c r="J92">
        <v>1.4</v>
      </c>
      <c r="K92">
        <v>583642795.05152297</v>
      </c>
      <c r="L92">
        <v>50143500</v>
      </c>
      <c r="M92">
        <v>79694718.824063033</v>
      </c>
      <c r="N92">
        <v>71650200</v>
      </c>
      <c r="O92">
        <v>15885032.24</v>
      </c>
      <c r="P92">
        <v>226.26675499999999</v>
      </c>
      <c r="Q92">
        <v>1.3314859388709142</v>
      </c>
      <c r="R92">
        <v>43.6080969</v>
      </c>
      <c r="S92">
        <v>779.54697499999997</v>
      </c>
      <c r="T92">
        <v>1.0407647299999999E-15</v>
      </c>
      <c r="U92">
        <v>19.207536630948134</v>
      </c>
      <c r="V92">
        <v>91.850000000000009</v>
      </c>
      <c r="W92">
        <v>-238.7979738104051</v>
      </c>
      <c r="X92">
        <v>62.840374799999999</v>
      </c>
      <c r="Y92">
        <v>92.759264400000006</v>
      </c>
      <c r="Z92">
        <v>165.7</v>
      </c>
      <c r="AA92">
        <v>230.50655699999999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5.4905792113148326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>
      <c r="A93">
        <v>930</v>
      </c>
      <c r="B93">
        <v>30</v>
      </c>
      <c r="C93">
        <v>15</v>
      </c>
      <c r="D93">
        <v>2.95</v>
      </c>
      <c r="E93">
        <v>20</v>
      </c>
      <c r="F93">
        <v>12</v>
      </c>
      <c r="G93">
        <v>0.56747999999999998</v>
      </c>
      <c r="H93">
        <v>20</v>
      </c>
      <c r="I93">
        <v>7</v>
      </c>
      <c r="J93">
        <v>1.4</v>
      </c>
      <c r="K93">
        <v>583424888.22158778</v>
      </c>
      <c r="L93">
        <v>50125800</v>
      </c>
      <c r="M93">
        <v>79694718.824063033</v>
      </c>
      <c r="N93">
        <v>71668500</v>
      </c>
      <c r="O93">
        <v>15885032.24</v>
      </c>
      <c r="P93">
        <v>226.26602299999999</v>
      </c>
      <c r="Q93">
        <v>1.3301341283872592</v>
      </c>
      <c r="R93">
        <v>43.6080969</v>
      </c>
      <c r="S93">
        <v>779.54697499999997</v>
      </c>
      <c r="T93">
        <v>1.04077174E-15</v>
      </c>
      <c r="U93">
        <v>19.207597606920235</v>
      </c>
      <c r="V93">
        <v>91.850000000000009</v>
      </c>
      <c r="W93">
        <v>-238.79709886890004</v>
      </c>
      <c r="X93">
        <v>62.840374799999999</v>
      </c>
      <c r="Y93">
        <v>92.759264400000006</v>
      </c>
      <c r="Z93">
        <v>165.7</v>
      </c>
      <c r="AA93">
        <v>231.220932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5.4905029913497057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A94">
        <v>930</v>
      </c>
      <c r="B94">
        <v>30</v>
      </c>
      <c r="C94">
        <v>15</v>
      </c>
      <c r="D94">
        <v>2.95</v>
      </c>
      <c r="E94">
        <v>20</v>
      </c>
      <c r="F94">
        <v>12</v>
      </c>
      <c r="G94">
        <v>0.56747999999999998</v>
      </c>
      <c r="H94">
        <v>20</v>
      </c>
      <c r="I94">
        <v>8</v>
      </c>
      <c r="J94">
        <v>1.4</v>
      </c>
      <c r="K94">
        <v>583425131.94174826</v>
      </c>
      <c r="L94">
        <v>50125800</v>
      </c>
      <c r="M94">
        <v>79694718.824063033</v>
      </c>
      <c r="N94">
        <v>71666300</v>
      </c>
      <c r="O94">
        <v>15885032.24</v>
      </c>
      <c r="P94">
        <v>226.266853</v>
      </c>
      <c r="Q94">
        <v>1.3301729011397168</v>
      </c>
      <c r="R94">
        <v>43.6080969</v>
      </c>
      <c r="S94">
        <v>779.54697499999997</v>
      </c>
      <c r="T94">
        <v>1.0407613699999999E-15</v>
      </c>
      <c r="U94">
        <v>19.207528042384233</v>
      </c>
      <c r="V94">
        <v>91.850000000000009</v>
      </c>
      <c r="W94">
        <v>-238.79852972171562</v>
      </c>
      <c r="X94">
        <v>62.840374799999999</v>
      </c>
      <c r="Y94">
        <v>92.759264400000006</v>
      </c>
      <c r="Z94">
        <v>165.7</v>
      </c>
      <c r="AA94">
        <v>231.15599700000001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5.4905899470197088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>
      <c r="A95">
        <v>930</v>
      </c>
      <c r="B95">
        <v>30</v>
      </c>
      <c r="C95">
        <v>15</v>
      </c>
      <c r="D95">
        <v>2.95</v>
      </c>
      <c r="E95">
        <v>20</v>
      </c>
      <c r="F95">
        <v>12</v>
      </c>
      <c r="G95">
        <v>0.56747999999999998</v>
      </c>
      <c r="H95">
        <v>20</v>
      </c>
      <c r="I95">
        <v>8</v>
      </c>
      <c r="J95">
        <v>1.4</v>
      </c>
      <c r="K95">
        <v>583425131.94174826</v>
      </c>
      <c r="L95">
        <v>50125800</v>
      </c>
      <c r="M95">
        <v>79694718.824063033</v>
      </c>
      <c r="N95">
        <v>71666300</v>
      </c>
      <c r="O95">
        <v>15885032.24</v>
      </c>
      <c r="P95">
        <v>226.266853</v>
      </c>
      <c r="Q95">
        <v>1.3301729011397168</v>
      </c>
      <c r="R95">
        <v>43.6080969</v>
      </c>
      <c r="S95">
        <v>779.54697499999997</v>
      </c>
      <c r="T95">
        <v>1.0407613699999999E-15</v>
      </c>
      <c r="U95">
        <v>19.207528042384233</v>
      </c>
      <c r="V95">
        <v>91.850000000000009</v>
      </c>
      <c r="W95">
        <v>-238.79852972171562</v>
      </c>
      <c r="X95">
        <v>62.840374799999999</v>
      </c>
      <c r="Y95">
        <v>92.759264400000006</v>
      </c>
      <c r="Z95">
        <v>165.7</v>
      </c>
      <c r="AA95">
        <v>231.15599700000001</v>
      </c>
      <c r="AB95">
        <v>99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5.4905899470197088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>
      <c r="A96">
        <v>930</v>
      </c>
      <c r="B96">
        <v>30</v>
      </c>
      <c r="C96">
        <v>15</v>
      </c>
      <c r="D96">
        <v>2.95</v>
      </c>
      <c r="E96">
        <v>20</v>
      </c>
      <c r="F96">
        <v>12</v>
      </c>
      <c r="G96">
        <v>0.56747999999999998</v>
      </c>
      <c r="H96">
        <v>20</v>
      </c>
      <c r="I96">
        <v>9</v>
      </c>
      <c r="J96">
        <v>1.4</v>
      </c>
      <c r="K96">
        <v>583425252.18902302</v>
      </c>
      <c r="L96">
        <v>50125800</v>
      </c>
      <c r="M96">
        <v>79694718.824063033</v>
      </c>
      <c r="N96">
        <v>71665300</v>
      </c>
      <c r="O96">
        <v>15885032.24</v>
      </c>
      <c r="P96">
        <v>226.26735600000001</v>
      </c>
      <c r="Q96">
        <v>1.3301898142913993</v>
      </c>
      <c r="R96">
        <v>43.6080969</v>
      </c>
      <c r="S96">
        <v>779.54697499999997</v>
      </c>
      <c r="T96">
        <v>1.04075525E-15</v>
      </c>
      <c r="U96">
        <v>19.207485953379035</v>
      </c>
      <c r="V96">
        <v>91.850000000000009</v>
      </c>
      <c r="W96">
        <v>-238.79929595649179</v>
      </c>
      <c r="X96">
        <v>62.840445000000003</v>
      </c>
      <c r="Y96">
        <v>92.759264400000006</v>
      </c>
      <c r="Z96">
        <v>165.7</v>
      </c>
      <c r="AA96">
        <v>231.12341799999999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5.4906425582762068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>
      <c r="A97">
        <v>930</v>
      </c>
      <c r="B97">
        <v>30</v>
      </c>
      <c r="C97">
        <v>15</v>
      </c>
      <c r="D97">
        <v>2.95</v>
      </c>
      <c r="E97">
        <v>20</v>
      </c>
      <c r="F97">
        <v>12</v>
      </c>
      <c r="G97">
        <v>0.56747999999999998</v>
      </c>
      <c r="H97">
        <v>20</v>
      </c>
      <c r="I97">
        <v>10</v>
      </c>
      <c r="J97">
        <v>1.4</v>
      </c>
      <c r="K97">
        <v>583425281.86135459</v>
      </c>
      <c r="L97">
        <v>50125800</v>
      </c>
      <c r="M97">
        <v>79694718.824063033</v>
      </c>
      <c r="N97">
        <v>71665100</v>
      </c>
      <c r="O97">
        <v>15885032.24</v>
      </c>
      <c r="P97">
        <v>226.268023</v>
      </c>
      <c r="Q97">
        <v>1.3301898840084043</v>
      </c>
      <c r="R97">
        <v>43.6080969</v>
      </c>
      <c r="S97">
        <v>779.54697499999997</v>
      </c>
      <c r="T97">
        <v>1.04074696E-15</v>
      </c>
      <c r="U97">
        <v>19.207430128001132</v>
      </c>
      <c r="V97">
        <v>91.850000000000009</v>
      </c>
      <c r="W97">
        <v>-238.8004446805144</v>
      </c>
      <c r="X97">
        <v>62.840445000000003</v>
      </c>
      <c r="Y97">
        <v>92.759264400000006</v>
      </c>
      <c r="Z97">
        <v>165.7</v>
      </c>
      <c r="AA97">
        <v>231.11749499999999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5.4907123399985842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>
      <c r="A98">
        <v>930</v>
      </c>
      <c r="B98">
        <v>30</v>
      </c>
      <c r="C98">
        <v>15</v>
      </c>
      <c r="D98">
        <v>2.95</v>
      </c>
      <c r="E98">
        <v>20</v>
      </c>
      <c r="F98">
        <v>12</v>
      </c>
      <c r="G98">
        <v>0.56747999999999998</v>
      </c>
      <c r="H98">
        <v>20</v>
      </c>
      <c r="I98">
        <v>10</v>
      </c>
      <c r="J98">
        <v>1.4</v>
      </c>
      <c r="K98">
        <v>583425281.86135459</v>
      </c>
      <c r="L98">
        <v>50125800</v>
      </c>
      <c r="M98">
        <v>79694718.824063033</v>
      </c>
      <c r="N98">
        <v>71665100</v>
      </c>
      <c r="O98">
        <v>15885032.24</v>
      </c>
      <c r="P98">
        <v>226.268023</v>
      </c>
      <c r="Q98">
        <v>1.3301898840084043</v>
      </c>
      <c r="R98">
        <v>43.6080969</v>
      </c>
      <c r="S98">
        <v>779.54697499999997</v>
      </c>
      <c r="T98">
        <v>1.04074696E-15</v>
      </c>
      <c r="U98">
        <v>19.207430128001132</v>
      </c>
      <c r="V98">
        <v>91.850000000000009</v>
      </c>
      <c r="W98">
        <v>-238.8004446805144</v>
      </c>
      <c r="X98">
        <v>62.840445000000003</v>
      </c>
      <c r="Y98">
        <v>92.759264400000006</v>
      </c>
      <c r="Z98">
        <v>165.7</v>
      </c>
      <c r="AA98">
        <v>231.11749499999999</v>
      </c>
      <c r="AB98">
        <v>99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5.4907123399985842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>
      <c r="A99">
        <v>930</v>
      </c>
      <c r="B99">
        <v>30</v>
      </c>
      <c r="C99">
        <v>15</v>
      </c>
      <c r="D99">
        <v>2.95</v>
      </c>
      <c r="E99">
        <v>20</v>
      </c>
      <c r="F99">
        <v>12</v>
      </c>
      <c r="G99">
        <v>0.56747999999999998</v>
      </c>
      <c r="H99">
        <v>20</v>
      </c>
      <c r="I99">
        <v>11</v>
      </c>
      <c r="J99">
        <v>1.4</v>
      </c>
      <c r="K99">
        <v>583425239.82966578</v>
      </c>
      <c r="L99">
        <v>50125800</v>
      </c>
      <c r="M99">
        <v>79694718.824063033</v>
      </c>
      <c r="N99">
        <v>71665800</v>
      </c>
      <c r="O99">
        <v>15885032.24</v>
      </c>
      <c r="P99">
        <v>226.26916800000001</v>
      </c>
      <c r="Q99">
        <v>1.3301693702136705</v>
      </c>
      <c r="R99">
        <v>43.6080969</v>
      </c>
      <c r="S99">
        <v>779.54697499999997</v>
      </c>
      <c r="T99">
        <v>1.0407329599999999E-15</v>
      </c>
      <c r="U99">
        <v>19.207334201289434</v>
      </c>
      <c r="V99">
        <v>91.850000000000009</v>
      </c>
      <c r="W99">
        <v>-238.80228006149528</v>
      </c>
      <c r="X99">
        <v>62.840612299999997</v>
      </c>
      <c r="Y99">
        <v>92.759377099999995</v>
      </c>
      <c r="Z99">
        <v>165.7</v>
      </c>
      <c r="AA99">
        <v>231.135245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5.490832248388207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>
      <c r="A100">
        <v>930</v>
      </c>
      <c r="B100">
        <v>30</v>
      </c>
      <c r="C100">
        <v>15</v>
      </c>
      <c r="D100">
        <v>2.95</v>
      </c>
      <c r="E100">
        <v>20</v>
      </c>
      <c r="F100">
        <v>12</v>
      </c>
      <c r="G100">
        <v>0.56747999999999998</v>
      </c>
      <c r="H100">
        <v>20</v>
      </c>
      <c r="I100">
        <v>12</v>
      </c>
      <c r="J100">
        <v>1.4</v>
      </c>
      <c r="K100">
        <v>583425129.29762483</v>
      </c>
      <c r="L100">
        <v>50125800</v>
      </c>
      <c r="M100">
        <v>79694718.824063033</v>
      </c>
      <c r="N100">
        <v>71667300</v>
      </c>
      <c r="O100">
        <v>15885032.24</v>
      </c>
      <c r="P100">
        <v>226.271209</v>
      </c>
      <c r="Q100">
        <v>1.3301277766681476</v>
      </c>
      <c r="R100">
        <v>43.6080969</v>
      </c>
      <c r="S100">
        <v>779.54591100000005</v>
      </c>
      <c r="T100">
        <v>1.0407077699999999E-15</v>
      </c>
      <c r="U100">
        <v>19.207163182540537</v>
      </c>
      <c r="V100">
        <v>91.850000000000009</v>
      </c>
      <c r="W100">
        <v>-238.8056443034265</v>
      </c>
      <c r="X100">
        <v>62.840800999999999</v>
      </c>
      <c r="Y100">
        <v>92.759472500000001</v>
      </c>
      <c r="Z100">
        <v>165.7</v>
      </c>
      <c r="AA100">
        <v>231.17583999999999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5.491046021824328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>
      <c r="A101">
        <v>930</v>
      </c>
      <c r="B101">
        <v>30</v>
      </c>
      <c r="C101">
        <v>15</v>
      </c>
      <c r="D101">
        <v>2.95</v>
      </c>
      <c r="E101">
        <v>20</v>
      </c>
      <c r="F101">
        <v>12</v>
      </c>
      <c r="G101">
        <v>0.56747999999999998</v>
      </c>
      <c r="H101">
        <v>20</v>
      </c>
      <c r="I101">
        <v>13</v>
      </c>
      <c r="J101">
        <v>1.4</v>
      </c>
      <c r="K101">
        <v>583424939.94108164</v>
      </c>
      <c r="L101">
        <v>50125800</v>
      </c>
      <c r="M101">
        <v>79694718.824063033</v>
      </c>
      <c r="N101">
        <v>71669900</v>
      </c>
      <c r="O101">
        <v>15885032.24</v>
      </c>
      <c r="P101">
        <v>226.27493799999999</v>
      </c>
      <c r="Q101">
        <v>1.3300545653887448</v>
      </c>
      <c r="R101">
        <v>43.6080969</v>
      </c>
      <c r="S101">
        <v>779.544895</v>
      </c>
      <c r="T101">
        <v>1.0406617399999999E-15</v>
      </c>
      <c r="U101">
        <v>19.206850828692133</v>
      </c>
      <c r="V101">
        <v>91.850000000000009</v>
      </c>
      <c r="W101">
        <v>-238.81178776300766</v>
      </c>
      <c r="X101">
        <v>62.841145400000002</v>
      </c>
      <c r="Y101">
        <v>92.759646700000005</v>
      </c>
      <c r="Z101">
        <v>165.7</v>
      </c>
      <c r="AA101">
        <v>231.24041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5.4914364641348339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>
      <c r="A102">
        <v>930</v>
      </c>
      <c r="B102">
        <v>30</v>
      </c>
      <c r="C102">
        <v>15</v>
      </c>
      <c r="D102">
        <v>2.95</v>
      </c>
      <c r="E102">
        <v>20</v>
      </c>
      <c r="F102">
        <v>12</v>
      </c>
      <c r="G102">
        <v>0.56747999999999998</v>
      </c>
      <c r="H102">
        <v>20</v>
      </c>
      <c r="I102">
        <v>13</v>
      </c>
      <c r="J102">
        <v>1.4</v>
      </c>
      <c r="K102">
        <v>583424939.94108164</v>
      </c>
      <c r="L102">
        <v>50125800</v>
      </c>
      <c r="M102">
        <v>79694718.824063033</v>
      </c>
      <c r="N102">
        <v>71669900</v>
      </c>
      <c r="O102">
        <v>15885032.24</v>
      </c>
      <c r="P102">
        <v>226.27493799999999</v>
      </c>
      <c r="Q102">
        <v>1.3300545653887448</v>
      </c>
      <c r="R102">
        <v>43.6080969</v>
      </c>
      <c r="S102">
        <v>779.544895</v>
      </c>
      <c r="T102">
        <v>1.0406617399999999E-15</v>
      </c>
      <c r="U102">
        <v>19.206850828692133</v>
      </c>
      <c r="V102">
        <v>91.850000000000009</v>
      </c>
      <c r="W102">
        <v>-238.81178776300766</v>
      </c>
      <c r="X102">
        <v>62.841145400000002</v>
      </c>
      <c r="Y102">
        <v>92.759646700000005</v>
      </c>
      <c r="Z102">
        <v>165.7</v>
      </c>
      <c r="AA102">
        <v>231.24041</v>
      </c>
      <c r="AB102">
        <v>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5.4914364641348339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>
      <c r="A103">
        <v>930</v>
      </c>
      <c r="B103">
        <v>30</v>
      </c>
      <c r="C103">
        <v>15</v>
      </c>
      <c r="D103">
        <v>2.95</v>
      </c>
      <c r="E103">
        <v>20</v>
      </c>
      <c r="F103">
        <v>12</v>
      </c>
      <c r="G103">
        <v>0.56747999999999998</v>
      </c>
      <c r="H103">
        <v>20</v>
      </c>
      <c r="I103">
        <v>14</v>
      </c>
      <c r="J103">
        <v>1.4</v>
      </c>
      <c r="K103">
        <v>583424657.05278504</v>
      </c>
      <c r="L103">
        <v>50125800</v>
      </c>
      <c r="M103">
        <v>79694718.824063033</v>
      </c>
      <c r="N103">
        <v>71674100</v>
      </c>
      <c r="O103">
        <v>15885032.24</v>
      </c>
      <c r="P103">
        <v>226.28187299999999</v>
      </c>
      <c r="Q103">
        <v>1.3299310194822858</v>
      </c>
      <c r="R103">
        <v>43.608145999999998</v>
      </c>
      <c r="S103">
        <v>779.54300499999999</v>
      </c>
      <c r="T103">
        <v>1.0405761899999999E-15</v>
      </c>
      <c r="U103">
        <v>19.206269831258137</v>
      </c>
      <c r="V103">
        <v>91.850000000000009</v>
      </c>
      <c r="W103">
        <v>-238.82321377751632</v>
      </c>
      <c r="X103">
        <v>62.8417861</v>
      </c>
      <c r="Y103">
        <v>92.759970600000003</v>
      </c>
      <c r="Z103">
        <v>165.7</v>
      </c>
      <c r="AA103">
        <v>231.331974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5.4921627109273281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>
      <c r="A104">
        <v>930</v>
      </c>
      <c r="B104">
        <v>30</v>
      </c>
      <c r="C104">
        <v>15</v>
      </c>
      <c r="D104">
        <v>2.95</v>
      </c>
      <c r="E104">
        <v>20</v>
      </c>
      <c r="F104">
        <v>12</v>
      </c>
      <c r="G104">
        <v>0.56747999999999998</v>
      </c>
      <c r="H104">
        <v>20</v>
      </c>
      <c r="I104">
        <v>12</v>
      </c>
      <c r="J104">
        <v>0.3</v>
      </c>
      <c r="K104">
        <v>583274697.38416147</v>
      </c>
      <c r="L104">
        <v>50134000</v>
      </c>
      <c r="M104">
        <v>79702126.86811994</v>
      </c>
      <c r="N104">
        <v>71800200</v>
      </c>
      <c r="O104">
        <v>15887049.6</v>
      </c>
      <c r="P104">
        <v>225.732326</v>
      </c>
      <c r="Q104">
        <v>1.3304121555134507</v>
      </c>
      <c r="R104">
        <v>43.605611699999997</v>
      </c>
      <c r="S104">
        <v>779.69309699999997</v>
      </c>
      <c r="T104">
        <v>1.0473861799999999E-15</v>
      </c>
      <c r="U104">
        <v>19.252415076587134</v>
      </c>
      <c r="V104">
        <v>91.850000000000009</v>
      </c>
      <c r="W104">
        <v>-237.91580963995202</v>
      </c>
      <c r="X104">
        <v>62.790951900000003</v>
      </c>
      <c r="Y104">
        <v>92.734296700000002</v>
      </c>
      <c r="Z104">
        <v>165.7</v>
      </c>
      <c r="AA104">
        <v>235.69831500000001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5.4344811542660825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>
      <c r="A105">
        <v>930</v>
      </c>
      <c r="B105">
        <v>30</v>
      </c>
      <c r="C105">
        <v>15</v>
      </c>
      <c r="D105">
        <v>2.95</v>
      </c>
      <c r="E105">
        <v>20</v>
      </c>
      <c r="F105">
        <v>12</v>
      </c>
      <c r="G105">
        <v>0.56747999999999998</v>
      </c>
      <c r="H105">
        <v>20</v>
      </c>
      <c r="I105">
        <v>12</v>
      </c>
      <c r="J105">
        <v>0.41</v>
      </c>
      <c r="K105">
        <v>583242825.37612569</v>
      </c>
      <c r="L105">
        <v>50126700</v>
      </c>
      <c r="M105">
        <v>79694918.96314685</v>
      </c>
      <c r="N105">
        <v>71795900</v>
      </c>
      <c r="O105">
        <v>15885095.119999999</v>
      </c>
      <c r="P105">
        <v>226.29053400000001</v>
      </c>
      <c r="Q105">
        <v>1.3269761911691809</v>
      </c>
      <c r="R105">
        <v>43.608185900000002</v>
      </c>
      <c r="S105">
        <v>779.54064499999993</v>
      </c>
      <c r="T105">
        <v>1.0404691600000001E-15</v>
      </c>
      <c r="U105">
        <v>19.205544285636133</v>
      </c>
      <c r="V105">
        <v>91.850000000000009</v>
      </c>
      <c r="W105">
        <v>-238.83748352995067</v>
      </c>
      <c r="X105">
        <v>62.842586300000001</v>
      </c>
      <c r="Y105">
        <v>92.760375199999999</v>
      </c>
      <c r="Z105">
        <v>165.7</v>
      </c>
      <c r="AA105">
        <v>233.67613800000001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5.4930696429548327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>
      <c r="A106">
        <v>930</v>
      </c>
      <c r="B106">
        <v>30</v>
      </c>
      <c r="C106">
        <v>15</v>
      </c>
      <c r="D106">
        <v>2.95</v>
      </c>
      <c r="E106">
        <v>20</v>
      </c>
      <c r="F106">
        <v>12</v>
      </c>
      <c r="G106">
        <v>0.56747999999999998</v>
      </c>
      <c r="H106">
        <v>20</v>
      </c>
      <c r="I106">
        <v>12</v>
      </c>
      <c r="J106">
        <v>0.52</v>
      </c>
      <c r="K106">
        <v>583250893.02356505</v>
      </c>
      <c r="L106">
        <v>50126500</v>
      </c>
      <c r="M106">
        <v>79694718.845428944</v>
      </c>
      <c r="N106">
        <v>71732100</v>
      </c>
      <c r="O106">
        <v>15885058.32</v>
      </c>
      <c r="P106">
        <v>226.287398</v>
      </c>
      <c r="Q106">
        <v>1.328259471749901</v>
      </c>
      <c r="R106">
        <v>43.608185900000002</v>
      </c>
      <c r="S106">
        <v>779.54150000000004</v>
      </c>
      <c r="T106">
        <v>1.04050791E-15</v>
      </c>
      <c r="U106">
        <v>19.205807060530436</v>
      </c>
      <c r="V106">
        <v>91.850000000000009</v>
      </c>
      <c r="W106">
        <v>-238.83231590368538</v>
      </c>
      <c r="X106">
        <v>62.842296500000003</v>
      </c>
      <c r="Y106">
        <v>92.760228699999999</v>
      </c>
      <c r="Z106">
        <v>165.7</v>
      </c>
      <c r="AA106">
        <v>232.66936899999999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5.4927411743369543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>
      <c r="A107">
        <v>930</v>
      </c>
      <c r="B107">
        <v>30</v>
      </c>
      <c r="C107">
        <v>15</v>
      </c>
      <c r="D107">
        <v>2.95</v>
      </c>
      <c r="E107">
        <v>20</v>
      </c>
      <c r="F107">
        <v>12</v>
      </c>
      <c r="G107">
        <v>0.56747999999999998</v>
      </c>
      <c r="H107">
        <v>20</v>
      </c>
      <c r="I107">
        <v>12</v>
      </c>
      <c r="J107">
        <v>0.62999999999999989</v>
      </c>
      <c r="K107">
        <v>583367682.64532185</v>
      </c>
      <c r="L107">
        <v>50126300</v>
      </c>
      <c r="M107">
        <v>79694718.845428944</v>
      </c>
      <c r="N107">
        <v>71713800</v>
      </c>
      <c r="O107">
        <v>15885058.32</v>
      </c>
      <c r="P107">
        <v>226.282569</v>
      </c>
      <c r="Q107">
        <v>1.3289912866826923</v>
      </c>
      <c r="R107">
        <v>43.608185900000002</v>
      </c>
      <c r="S107">
        <v>779.54281500000002</v>
      </c>
      <c r="T107">
        <v>1.0405675399999999E-15</v>
      </c>
      <c r="U107">
        <v>19.206211539008937</v>
      </c>
      <c r="V107">
        <v>91.850000000000009</v>
      </c>
      <c r="W107">
        <v>-238.82436083564372</v>
      </c>
      <c r="X107">
        <v>62.841850399999998</v>
      </c>
      <c r="Y107">
        <v>92.7600032</v>
      </c>
      <c r="Z107">
        <v>165.7</v>
      </c>
      <c r="AA107">
        <v>232.24455900000001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5.4922355762388282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>
      <c r="A108">
        <v>930</v>
      </c>
      <c r="B108">
        <v>30</v>
      </c>
      <c r="C108">
        <v>15</v>
      </c>
      <c r="D108">
        <v>2.95</v>
      </c>
      <c r="E108">
        <v>20</v>
      </c>
      <c r="F108">
        <v>12</v>
      </c>
      <c r="G108">
        <v>0.56747999999999998</v>
      </c>
      <c r="H108">
        <v>20</v>
      </c>
      <c r="I108">
        <v>12</v>
      </c>
      <c r="J108">
        <v>0.74</v>
      </c>
      <c r="K108">
        <v>583281917.41806638</v>
      </c>
      <c r="L108">
        <v>50126300</v>
      </c>
      <c r="M108">
        <v>79694718.845428944</v>
      </c>
      <c r="N108">
        <v>71701200</v>
      </c>
      <c r="O108">
        <v>15885058.32</v>
      </c>
      <c r="P108">
        <v>226.279156</v>
      </c>
      <c r="Q108">
        <v>1.3289998353044481</v>
      </c>
      <c r="R108">
        <v>43.608133500000001</v>
      </c>
      <c r="S108">
        <v>779.54374500000006</v>
      </c>
      <c r="T108">
        <v>1.04060962E-15</v>
      </c>
      <c r="U108">
        <v>19.206497397826336</v>
      </c>
      <c r="V108">
        <v>91.850000000000009</v>
      </c>
      <c r="W108">
        <v>-238.81873741052451</v>
      </c>
      <c r="X108">
        <v>62.841535100000002</v>
      </c>
      <c r="Y108">
        <v>92.759843700000005</v>
      </c>
      <c r="Z108">
        <v>165.7</v>
      </c>
      <c r="AA108">
        <v>231.968774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5.4918782527170791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>
      <c r="A109">
        <v>930</v>
      </c>
      <c r="B109">
        <v>30</v>
      </c>
      <c r="C109">
        <v>15</v>
      </c>
      <c r="D109">
        <v>2.95</v>
      </c>
      <c r="E109">
        <v>20</v>
      </c>
      <c r="F109">
        <v>12</v>
      </c>
      <c r="G109">
        <v>0.56747999999999998</v>
      </c>
      <c r="H109">
        <v>20</v>
      </c>
      <c r="I109">
        <v>12</v>
      </c>
      <c r="J109">
        <v>0.84999999999999987</v>
      </c>
      <c r="K109">
        <v>583304873.9160161</v>
      </c>
      <c r="L109">
        <v>50126300</v>
      </c>
      <c r="M109">
        <v>79694718.845428944</v>
      </c>
      <c r="N109">
        <v>71691500</v>
      </c>
      <c r="O109">
        <v>15885058.32</v>
      </c>
      <c r="P109">
        <v>226.27672000000001</v>
      </c>
      <c r="Q109">
        <v>1.3292722481434953</v>
      </c>
      <c r="R109">
        <v>43.608133500000001</v>
      </c>
      <c r="S109">
        <v>779.54374500000006</v>
      </c>
      <c r="T109">
        <v>1.0406397099999999E-15</v>
      </c>
      <c r="U109">
        <v>19.206701538259932</v>
      </c>
      <c r="V109">
        <v>91.850000000000009</v>
      </c>
      <c r="W109">
        <v>-238.81472329337009</v>
      </c>
      <c r="X109">
        <v>62.84131</v>
      </c>
      <c r="Y109">
        <v>92.759729899999996</v>
      </c>
      <c r="Z109">
        <v>165.7</v>
      </c>
      <c r="AA109">
        <v>231.77321499999999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5.4916230771750847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>
      <c r="A110">
        <v>930</v>
      </c>
      <c r="B110">
        <v>30</v>
      </c>
      <c r="C110">
        <v>15</v>
      </c>
      <c r="D110">
        <v>2.95</v>
      </c>
      <c r="E110">
        <v>20</v>
      </c>
      <c r="F110">
        <v>12</v>
      </c>
      <c r="G110">
        <v>0.56747999999999998</v>
      </c>
      <c r="H110">
        <v>20</v>
      </c>
      <c r="I110">
        <v>12</v>
      </c>
      <c r="J110">
        <v>0.96</v>
      </c>
      <c r="K110">
        <v>583305614.82464588</v>
      </c>
      <c r="L110">
        <v>50126300</v>
      </c>
      <c r="M110">
        <v>79694718.845428944</v>
      </c>
      <c r="N110">
        <v>71684000</v>
      </c>
      <c r="O110">
        <v>15885041.92</v>
      </c>
      <c r="P110">
        <v>226.274947</v>
      </c>
      <c r="Q110">
        <v>1.3294312022138342</v>
      </c>
      <c r="R110">
        <v>43.608133500000001</v>
      </c>
      <c r="S110">
        <v>779.544892</v>
      </c>
      <c r="T110">
        <v>1.0406615699999999E-15</v>
      </c>
      <c r="U110">
        <v>19.206850090679936</v>
      </c>
      <c r="V110">
        <v>91.850000000000009</v>
      </c>
      <c r="W110">
        <v>-238.81180235791169</v>
      </c>
      <c r="X110">
        <v>62.841146199999997</v>
      </c>
      <c r="Y110">
        <v>92.759729899999996</v>
      </c>
      <c r="Z110">
        <v>165.7</v>
      </c>
      <c r="AA110">
        <v>231.55829299999999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5.4914373866500803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>
      <c r="A111">
        <v>930</v>
      </c>
      <c r="B111">
        <v>30</v>
      </c>
      <c r="C111">
        <v>15</v>
      </c>
      <c r="D111">
        <v>2.95</v>
      </c>
      <c r="E111">
        <v>20</v>
      </c>
      <c r="F111">
        <v>12</v>
      </c>
      <c r="G111">
        <v>0.56747999999999998</v>
      </c>
      <c r="H111">
        <v>20</v>
      </c>
      <c r="I111">
        <v>12</v>
      </c>
      <c r="J111">
        <v>1.0699999999999998</v>
      </c>
      <c r="K111">
        <v>583338191.77019203</v>
      </c>
      <c r="L111">
        <v>50126300</v>
      </c>
      <c r="M111">
        <v>79694718.845428944</v>
      </c>
      <c r="N111">
        <v>71678200</v>
      </c>
      <c r="O111">
        <v>15885041.92</v>
      </c>
      <c r="P111">
        <v>226.273628</v>
      </c>
      <c r="Q111">
        <v>1.3296498389241227</v>
      </c>
      <c r="R111">
        <v>43.608133500000001</v>
      </c>
      <c r="S111">
        <v>779.544892</v>
      </c>
      <c r="T111">
        <v>1.04067798E-15</v>
      </c>
      <c r="U111">
        <v>19.206960516999732</v>
      </c>
      <c r="V111">
        <v>91.850000000000009</v>
      </c>
      <c r="W111">
        <v>-238.80963055690393</v>
      </c>
      <c r="X111">
        <v>62.841024400000002</v>
      </c>
      <c r="Y111">
        <v>92.7595855</v>
      </c>
      <c r="Z111">
        <v>165.7</v>
      </c>
      <c r="AA111">
        <v>231.46243100000001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5.4912993537503336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>
      <c r="A112">
        <v>930</v>
      </c>
      <c r="B112">
        <v>30</v>
      </c>
      <c r="C112">
        <v>15</v>
      </c>
      <c r="D112">
        <v>2.95</v>
      </c>
      <c r="E112">
        <v>20</v>
      </c>
      <c r="F112">
        <v>12</v>
      </c>
      <c r="G112">
        <v>0.56747999999999998</v>
      </c>
      <c r="H112">
        <v>20</v>
      </c>
      <c r="I112">
        <v>12</v>
      </c>
      <c r="J112">
        <v>1.18</v>
      </c>
      <c r="K112">
        <v>583346643.2679882</v>
      </c>
      <c r="L112">
        <v>50125800</v>
      </c>
      <c r="M112">
        <v>79694718.845428944</v>
      </c>
      <c r="N112">
        <v>71673600</v>
      </c>
      <c r="O112">
        <v>15885041.92</v>
      </c>
      <c r="P112">
        <v>226.27261200000001</v>
      </c>
      <c r="Q112">
        <v>1.3297611518358754</v>
      </c>
      <c r="R112">
        <v>43.608133500000001</v>
      </c>
      <c r="S112">
        <v>779.544892</v>
      </c>
      <c r="T112">
        <v>1.0406903700000001E-15</v>
      </c>
      <c r="U112">
        <v>19.207045654102838</v>
      </c>
      <c r="V112">
        <v>91.850000000000009</v>
      </c>
      <c r="W112">
        <v>-238.80787814261879</v>
      </c>
      <c r="X112">
        <v>62.840930499999999</v>
      </c>
      <c r="Y112">
        <v>92.7595855</v>
      </c>
      <c r="Z112">
        <v>165.7</v>
      </c>
      <c r="AA112">
        <v>231.360939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5.491192932371451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>
      <c r="A113">
        <v>930</v>
      </c>
      <c r="B113">
        <v>30</v>
      </c>
      <c r="C113">
        <v>15</v>
      </c>
      <c r="D113">
        <v>2.95</v>
      </c>
      <c r="E113">
        <v>20</v>
      </c>
      <c r="F113">
        <v>12</v>
      </c>
      <c r="G113">
        <v>0.56747999999999998</v>
      </c>
      <c r="H113">
        <v>20</v>
      </c>
      <c r="I113">
        <v>12</v>
      </c>
      <c r="J113">
        <v>1.2899999999999998</v>
      </c>
      <c r="K113">
        <v>583387993.06028855</v>
      </c>
      <c r="L113">
        <v>50125800</v>
      </c>
      <c r="M113">
        <v>79694718.845428944</v>
      </c>
      <c r="N113">
        <v>71670100</v>
      </c>
      <c r="O113">
        <v>15885041.92</v>
      </c>
      <c r="P113">
        <v>226.27183500000001</v>
      </c>
      <c r="Q113">
        <v>1.3299580563020892</v>
      </c>
      <c r="R113">
        <v>43.608133500000001</v>
      </c>
      <c r="S113">
        <v>779.54574000000002</v>
      </c>
      <c r="T113">
        <v>1.0407000099999999E-15</v>
      </c>
      <c r="U113">
        <v>19.207110686228233</v>
      </c>
      <c r="V113">
        <v>91.850000000000009</v>
      </c>
      <c r="W113">
        <v>-238.80667544444427</v>
      </c>
      <c r="X113">
        <v>62.840858799999999</v>
      </c>
      <c r="Y113">
        <v>92.7595855</v>
      </c>
      <c r="Z113">
        <v>165.7</v>
      </c>
      <c r="AA113">
        <v>231.26375400000001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5.4911116422147082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>
      <c r="A114">
        <v>930</v>
      </c>
      <c r="B114">
        <v>30</v>
      </c>
      <c r="C114">
        <v>15</v>
      </c>
      <c r="D114">
        <v>2.95</v>
      </c>
      <c r="E114">
        <v>20</v>
      </c>
      <c r="F114">
        <v>12</v>
      </c>
      <c r="G114">
        <v>0.56747999999999998</v>
      </c>
      <c r="H114">
        <v>20</v>
      </c>
      <c r="I114">
        <v>12</v>
      </c>
      <c r="J114">
        <v>1.4</v>
      </c>
      <c r="K114">
        <v>583425275.87727046</v>
      </c>
      <c r="L114">
        <v>50125800</v>
      </c>
      <c r="M114">
        <v>79694718.845428944</v>
      </c>
      <c r="N114">
        <v>71667300</v>
      </c>
      <c r="O114">
        <v>15885041.92</v>
      </c>
      <c r="P114">
        <v>226.271209</v>
      </c>
      <c r="Q114">
        <v>1.3301282164339658</v>
      </c>
      <c r="R114">
        <v>43.608133500000001</v>
      </c>
      <c r="S114">
        <v>779.54574000000002</v>
      </c>
      <c r="T114">
        <v>1.0407077699999999E-15</v>
      </c>
      <c r="U114">
        <v>19.207163182540537</v>
      </c>
      <c r="V114">
        <v>91.850000000000009</v>
      </c>
      <c r="W114">
        <v>-238.80559667789285</v>
      </c>
      <c r="X114">
        <v>62.840858799999999</v>
      </c>
      <c r="Y114">
        <v>92.759472500000001</v>
      </c>
      <c r="Z114">
        <v>165.7</v>
      </c>
      <c r="AA114">
        <v>231.17583999999999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5.491046021824328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08E6-6B6E-441D-912F-DFD4AD8DC1B5}">
  <dimension ref="A1:AP122"/>
  <sheetViews>
    <sheetView topLeftCell="R1" workbookViewId="0">
      <selection activeCell="AP2" sqref="AP2"/>
    </sheetView>
  </sheetViews>
  <sheetFormatPr defaultRowHeight="16.5"/>
  <sheetData>
    <row r="1" spans="1:42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156</v>
      </c>
      <c r="Q1" t="s">
        <v>209</v>
      </c>
      <c r="R1" t="s">
        <v>186</v>
      </c>
      <c r="S1" t="s">
        <v>187</v>
      </c>
      <c r="T1" t="s">
        <v>188</v>
      </c>
      <c r="U1" t="s">
        <v>189</v>
      </c>
      <c r="V1" t="s">
        <v>210</v>
      </c>
      <c r="W1" t="s">
        <v>211</v>
      </c>
      <c r="X1" t="s">
        <v>357</v>
      </c>
      <c r="Y1" t="s">
        <v>358</v>
      </c>
      <c r="Z1" t="s">
        <v>359</v>
      </c>
      <c r="AA1" t="s">
        <v>360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220</v>
      </c>
      <c r="AK1" t="s">
        <v>361</v>
      </c>
      <c r="AL1" t="s">
        <v>362</v>
      </c>
      <c r="AM1" t="s">
        <v>363</v>
      </c>
      <c r="AN1" t="s">
        <v>364</v>
      </c>
    </row>
    <row r="2" spans="1:42">
      <c r="A2">
        <v>930</v>
      </c>
      <c r="B2">
        <v>30</v>
      </c>
      <c r="C2">
        <v>15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1.4</v>
      </c>
      <c r="K2">
        <v>508751175.14679545</v>
      </c>
      <c r="L2">
        <v>54426600</v>
      </c>
      <c r="M2">
        <v>79694718.824063033</v>
      </c>
      <c r="N2">
        <v>71667300</v>
      </c>
      <c r="O2">
        <v>15885038.24</v>
      </c>
      <c r="P2">
        <v>226.271209</v>
      </c>
      <c r="Q2">
        <v>1.1899968044160101</v>
      </c>
      <c r="R2">
        <v>43.6080969</v>
      </c>
      <c r="S2">
        <v>779.54591100000005</v>
      </c>
      <c r="T2">
        <v>1.0407077699999999E-15</v>
      </c>
      <c r="U2">
        <v>19.207163182540537</v>
      </c>
      <c r="V2">
        <v>91.850000000000009</v>
      </c>
      <c r="W2">
        <v>-238.8056443034265</v>
      </c>
      <c r="X2">
        <v>62.840800999999999</v>
      </c>
      <c r="Y2">
        <v>92.759472500000001</v>
      </c>
      <c r="Z2">
        <v>165.7</v>
      </c>
      <c r="AA2">
        <v>231.17583999999999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>
        <f>SUM(AB2:AN2)+Q2</f>
        <v>1.1899968044160101</v>
      </c>
    </row>
    <row r="3" spans="1:42">
      <c r="A3">
        <v>932.82579982566438</v>
      </c>
      <c r="B3">
        <v>38</v>
      </c>
      <c r="C3">
        <v>11</v>
      </c>
      <c r="D3">
        <v>1.9570407905820593</v>
      </c>
      <c r="E3">
        <v>17</v>
      </c>
      <c r="F3">
        <v>12</v>
      </c>
      <c r="G3">
        <v>1.0176171227884299</v>
      </c>
      <c r="H3">
        <v>25</v>
      </c>
      <c r="I3">
        <v>13</v>
      </c>
      <c r="J3">
        <v>0.60783205686918251</v>
      </c>
      <c r="K3">
        <v>508867991.01741952</v>
      </c>
      <c r="L3">
        <v>54465400</v>
      </c>
      <c r="M3">
        <v>79698114.180677161</v>
      </c>
      <c r="N3">
        <v>71648000</v>
      </c>
      <c r="O3">
        <v>15885700.16</v>
      </c>
      <c r="P3">
        <v>225.93079599999999</v>
      </c>
      <c r="Q3">
        <v>1.1932759705370959</v>
      </c>
      <c r="R3">
        <v>43.587001600000001</v>
      </c>
      <c r="S3">
        <v>780.2250469999999</v>
      </c>
      <c r="T3">
        <v>3.6100110699999999E-16</v>
      </c>
      <c r="U3">
        <v>19.11909257117431</v>
      </c>
      <c r="V3">
        <v>100.934</v>
      </c>
      <c r="W3">
        <v>-227.26382477312177</v>
      </c>
      <c r="X3">
        <v>62.8629392</v>
      </c>
      <c r="Y3">
        <v>93.330004900000006</v>
      </c>
      <c r="Z3">
        <v>144.29</v>
      </c>
      <c r="AA3">
        <v>231.671964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 s="27">
        <f>SUM(AB3:AN3)+Q3</f>
        <v>1.1932759705370959</v>
      </c>
    </row>
    <row r="4" spans="1:42">
      <c r="A4">
        <v>940.38324402941191</v>
      </c>
      <c r="B4">
        <v>30</v>
      </c>
      <c r="C4">
        <v>13</v>
      </c>
      <c r="D4">
        <v>8.4054462310203917</v>
      </c>
      <c r="E4">
        <v>21</v>
      </c>
      <c r="F4">
        <v>5</v>
      </c>
      <c r="G4">
        <v>0.3888972277340062</v>
      </c>
      <c r="H4">
        <v>14</v>
      </c>
      <c r="I4">
        <v>12</v>
      </c>
      <c r="J4">
        <v>0.69201140366929292</v>
      </c>
      <c r="K4">
        <v>509177521.02718621</v>
      </c>
      <c r="L4">
        <v>54465400</v>
      </c>
      <c r="M4">
        <v>79698100.017343566</v>
      </c>
      <c r="N4">
        <v>71648000</v>
      </c>
      <c r="O4">
        <v>15894902.319999998</v>
      </c>
      <c r="P4">
        <v>227.39489</v>
      </c>
      <c r="Q4">
        <v>1.1865170581802673</v>
      </c>
      <c r="R4">
        <v>43.658115199999997</v>
      </c>
      <c r="S4">
        <v>780.00312900000006</v>
      </c>
      <c r="T4">
        <v>2.7850555500000001E-9</v>
      </c>
      <c r="U4">
        <v>19.644648803466527</v>
      </c>
      <c r="V4">
        <v>100.934</v>
      </c>
      <c r="W4">
        <v>-238.47691442076729</v>
      </c>
      <c r="X4">
        <v>62.861309900000002</v>
      </c>
      <c r="Y4">
        <v>92.430064099999996</v>
      </c>
      <c r="Z4">
        <v>180.98100000000002</v>
      </c>
      <c r="AA4">
        <v>236.67806899999999</v>
      </c>
      <c r="AB4">
        <v>100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P4" s="27">
        <f>SUM(AB4:AN4)+Q4</f>
        <v>101.18651705818027</v>
      </c>
    </row>
    <row r="5" spans="1:42">
      <c r="A5">
        <v>928.81862722889525</v>
      </c>
      <c r="B5">
        <v>39</v>
      </c>
      <c r="C5">
        <v>12</v>
      </c>
      <c r="D5">
        <v>12.232089044874311</v>
      </c>
      <c r="E5">
        <v>21</v>
      </c>
      <c r="F5">
        <v>9</v>
      </c>
      <c r="G5">
        <v>0.84194988728342501</v>
      </c>
      <c r="H5">
        <v>20</v>
      </c>
      <c r="I5">
        <v>8</v>
      </c>
      <c r="J5">
        <v>0.53540526808063582</v>
      </c>
      <c r="K5">
        <v>510469107.29632419</v>
      </c>
      <c r="L5">
        <v>54477700</v>
      </c>
      <c r="M5">
        <v>79693420.894090295</v>
      </c>
      <c r="N5">
        <v>71805800</v>
      </c>
      <c r="O5">
        <v>15889481.84</v>
      </c>
      <c r="P5">
        <v>225.615038</v>
      </c>
      <c r="Q5">
        <v>1.1969167998893384</v>
      </c>
      <c r="R5">
        <v>43.636574600000003</v>
      </c>
      <c r="S5">
        <v>780.10154699999998</v>
      </c>
      <c r="T5">
        <v>1.48291057E-13</v>
      </c>
      <c r="U5">
        <v>19.214191789819584</v>
      </c>
      <c r="V5">
        <v>100.934</v>
      </c>
      <c r="W5">
        <v>-238.00293329069396</v>
      </c>
      <c r="X5">
        <v>62.839306000000001</v>
      </c>
      <c r="Y5">
        <v>92.117291100000003</v>
      </c>
      <c r="Z5">
        <v>180.98100000000002</v>
      </c>
      <c r="AA5">
        <v>232.611311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P5" s="27">
        <f>SUM(AB5:AN5)+Q5</f>
        <v>1.1969167998893384</v>
      </c>
    </row>
    <row r="6" spans="1:42">
      <c r="A6">
        <v>932.71169397637198</v>
      </c>
      <c r="B6">
        <v>28</v>
      </c>
      <c r="C6">
        <v>12</v>
      </c>
      <c r="D6">
        <v>14.272939743654204</v>
      </c>
      <c r="E6">
        <v>28</v>
      </c>
      <c r="F6">
        <v>5</v>
      </c>
      <c r="G6">
        <v>0.38285839203936861</v>
      </c>
      <c r="H6">
        <v>18</v>
      </c>
      <c r="I6">
        <v>11</v>
      </c>
      <c r="J6">
        <v>0.88069386303768105</v>
      </c>
      <c r="K6">
        <v>510513827.96742487</v>
      </c>
      <c r="L6">
        <v>54483600</v>
      </c>
      <c r="M6">
        <v>79698314.503425553</v>
      </c>
      <c r="N6">
        <v>72125400</v>
      </c>
      <c r="O6">
        <v>15892167.279999999</v>
      </c>
      <c r="P6">
        <v>226.16191499999999</v>
      </c>
      <c r="Q6">
        <v>1.1880338452680868</v>
      </c>
      <c r="R6">
        <v>43.661390900000001</v>
      </c>
      <c r="S6">
        <v>780.12635799999998</v>
      </c>
      <c r="T6">
        <v>2.84126164E-9</v>
      </c>
      <c r="U6">
        <v>19.684661069021718</v>
      </c>
      <c r="V6">
        <v>100.934</v>
      </c>
      <c r="W6">
        <v>-237.45277097564062</v>
      </c>
      <c r="X6">
        <v>62.835446599999997</v>
      </c>
      <c r="Y6">
        <v>92.389194500000002</v>
      </c>
      <c r="Z6">
        <v>180.98100000000002</v>
      </c>
      <c r="AA6">
        <v>232.43481499999999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 s="27">
        <f>SUM(AB6:AN6)+Q6</f>
        <v>1.1880338452680868</v>
      </c>
    </row>
    <row r="7" spans="1:42">
      <c r="A7">
        <v>950.85127350145467</v>
      </c>
      <c r="B7">
        <v>30</v>
      </c>
      <c r="C7">
        <v>14</v>
      </c>
      <c r="D7">
        <v>1.375256051839385</v>
      </c>
      <c r="E7">
        <v>29</v>
      </c>
      <c r="F7">
        <v>6</v>
      </c>
      <c r="G7">
        <v>0.6449652059471036</v>
      </c>
      <c r="H7">
        <v>27</v>
      </c>
      <c r="I7">
        <v>11</v>
      </c>
      <c r="J7">
        <v>0.57796828437451708</v>
      </c>
      <c r="K7">
        <v>509345514.19345474</v>
      </c>
      <c r="L7">
        <v>54485400</v>
      </c>
      <c r="M7">
        <v>79721683.561900601</v>
      </c>
      <c r="N7">
        <v>72797900</v>
      </c>
      <c r="O7">
        <v>15895110.479999999</v>
      </c>
      <c r="P7">
        <v>226.241153</v>
      </c>
      <c r="Q7">
        <v>1.171025660201338</v>
      </c>
      <c r="R7">
        <v>43.620665000000002</v>
      </c>
      <c r="S7">
        <v>780.31597900000008</v>
      </c>
      <c r="T7">
        <v>1.2206393200000001E-10</v>
      </c>
      <c r="U7">
        <v>19.461169847963223</v>
      </c>
      <c r="V7">
        <v>80.72</v>
      </c>
      <c r="W7">
        <v>-200.3937929599561</v>
      </c>
      <c r="X7">
        <v>62.894697200000003</v>
      </c>
      <c r="Y7">
        <v>93.619419199999996</v>
      </c>
      <c r="Z7">
        <v>203.285</v>
      </c>
      <c r="AA7">
        <v>232.090857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 s="27">
        <f>SUM(AB7:AN7)+Q7</f>
        <v>1.171025660201338</v>
      </c>
    </row>
    <row r="8" spans="1:42">
      <c r="A8">
        <v>940.6479285012291</v>
      </c>
      <c r="B8">
        <v>38</v>
      </c>
      <c r="C8">
        <v>15</v>
      </c>
      <c r="D8">
        <v>13.319673862065814</v>
      </c>
      <c r="E8">
        <v>15</v>
      </c>
      <c r="F8">
        <v>7</v>
      </c>
      <c r="G8">
        <v>0.84298622735392637</v>
      </c>
      <c r="H8">
        <v>20</v>
      </c>
      <c r="I8">
        <v>13</v>
      </c>
      <c r="J8">
        <v>0.54903319402399176</v>
      </c>
      <c r="K8">
        <v>510751410.90873301</v>
      </c>
      <c r="L8">
        <v>54505100</v>
      </c>
      <c r="M8">
        <v>79708201.215272203</v>
      </c>
      <c r="N8">
        <v>72090600</v>
      </c>
      <c r="O8">
        <v>15894910.640000001</v>
      </c>
      <c r="P8">
        <v>226.908109</v>
      </c>
      <c r="Q8">
        <v>1.1859330303220883</v>
      </c>
      <c r="R8">
        <v>43.625594</v>
      </c>
      <c r="S8">
        <v>779.85719899999992</v>
      </c>
      <c r="T8">
        <v>1.21709968E-11</v>
      </c>
      <c r="U8">
        <v>19.276681960199596</v>
      </c>
      <c r="V8">
        <v>100.934</v>
      </c>
      <c r="W8">
        <v>-238.5912670530187</v>
      </c>
      <c r="X8">
        <v>62.823845599999999</v>
      </c>
      <c r="Y8">
        <v>92.114847600000004</v>
      </c>
      <c r="Z8">
        <v>177.97</v>
      </c>
      <c r="AA8">
        <v>232.77447000000001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P8" s="27">
        <f>SUM(AB8:AN8)+Q8</f>
        <v>1.1859330303220883</v>
      </c>
    </row>
    <row r="9" spans="1:42">
      <c r="A9">
        <v>934.05766867708701</v>
      </c>
      <c r="B9">
        <v>35</v>
      </c>
      <c r="C9">
        <v>16</v>
      </c>
      <c r="D9">
        <v>12.745642728878769</v>
      </c>
      <c r="E9">
        <v>24</v>
      </c>
      <c r="F9">
        <v>14</v>
      </c>
      <c r="G9">
        <v>1.1205531182778421</v>
      </c>
      <c r="H9">
        <v>19</v>
      </c>
      <c r="I9">
        <v>14</v>
      </c>
      <c r="J9">
        <v>0.65109529063136229</v>
      </c>
      <c r="K9">
        <v>510763239.48928386</v>
      </c>
      <c r="L9">
        <v>54502200</v>
      </c>
      <c r="M9">
        <v>79699812.220971912</v>
      </c>
      <c r="N9">
        <v>71902900</v>
      </c>
      <c r="O9">
        <v>15892028.32</v>
      </c>
      <c r="P9">
        <v>225.61392599999999</v>
      </c>
      <c r="Q9">
        <v>1.196387235910858</v>
      </c>
      <c r="R9">
        <v>43.636796799999999</v>
      </c>
      <c r="S9">
        <v>780.70223099999998</v>
      </c>
      <c r="T9">
        <v>2.6828389299999999E-18</v>
      </c>
      <c r="U9">
        <v>19.13993581147373</v>
      </c>
      <c r="V9">
        <v>100.934</v>
      </c>
      <c r="W9">
        <v>-239.05057007245833</v>
      </c>
      <c r="X9">
        <v>62.839244299999997</v>
      </c>
      <c r="Y9">
        <v>92.212795900000003</v>
      </c>
      <c r="Z9">
        <v>180.98100000000002</v>
      </c>
      <c r="AA9">
        <v>232.86471499999999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P9" s="27">
        <f>SUM(AB9:AN9)+Q9</f>
        <v>1.196387235910858</v>
      </c>
    </row>
    <row r="10" spans="1:42">
      <c r="A10">
        <v>919.15978879004422</v>
      </c>
      <c r="B10">
        <v>36</v>
      </c>
      <c r="C10">
        <v>11</v>
      </c>
      <c r="D10">
        <v>2.7914271341753509</v>
      </c>
      <c r="E10">
        <v>19</v>
      </c>
      <c r="F10">
        <v>13</v>
      </c>
      <c r="G10">
        <v>0.47704334708458718</v>
      </c>
      <c r="H10">
        <v>13</v>
      </c>
      <c r="I10">
        <v>10</v>
      </c>
      <c r="J10">
        <v>1.0744598617911325</v>
      </c>
      <c r="K10">
        <v>508588175.23564315</v>
      </c>
      <c r="L10">
        <v>54416700</v>
      </c>
      <c r="M10">
        <v>79684931.532255396</v>
      </c>
      <c r="N10">
        <v>71219500</v>
      </c>
      <c r="O10">
        <v>15892810.640000001</v>
      </c>
      <c r="P10">
        <v>226.29458600000001</v>
      </c>
      <c r="Q10">
        <v>1.1979270332113197</v>
      </c>
      <c r="R10">
        <v>43.567695800000003</v>
      </c>
      <c r="S10">
        <v>779.40665899999999</v>
      </c>
      <c r="T10">
        <v>3.4235160199999998E-16</v>
      </c>
      <c r="U10">
        <v>19.157133437514005</v>
      </c>
      <c r="V10">
        <v>100.934</v>
      </c>
      <c r="W10">
        <v>-236.58942910502103</v>
      </c>
      <c r="X10">
        <v>62.878481600000001</v>
      </c>
      <c r="Y10">
        <v>92.797868399999999</v>
      </c>
      <c r="Z10">
        <v>144.29</v>
      </c>
      <c r="AA10">
        <v>232.29070899999999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 s="27">
        <f>SUM(AB10:AN10)+Q10</f>
        <v>1.1979270332113197</v>
      </c>
    </row>
    <row r="11" spans="1:42">
      <c r="A11">
        <v>934.55340455082762</v>
      </c>
      <c r="B11">
        <v>28</v>
      </c>
      <c r="C11">
        <v>13</v>
      </c>
      <c r="D11">
        <v>12.373253630081924</v>
      </c>
      <c r="E11">
        <v>26</v>
      </c>
      <c r="F11">
        <v>13</v>
      </c>
      <c r="G11">
        <v>0.7716103899845469</v>
      </c>
      <c r="H11">
        <v>28</v>
      </c>
      <c r="I11">
        <v>12</v>
      </c>
      <c r="J11">
        <v>1.1492730628403314</v>
      </c>
      <c r="K11">
        <v>510669949.72559845</v>
      </c>
      <c r="L11">
        <v>54484500</v>
      </c>
      <c r="M11">
        <v>79700411.390988782</v>
      </c>
      <c r="N11">
        <v>71893800</v>
      </c>
      <c r="O11">
        <v>15891981.199999999</v>
      </c>
      <c r="P11">
        <v>226.00117800000001</v>
      </c>
      <c r="Q11">
        <v>1.1938890325417342</v>
      </c>
      <c r="R11">
        <v>43.633828100000002</v>
      </c>
      <c r="S11">
        <v>780.15626999999995</v>
      </c>
      <c r="T11">
        <v>4.2592500200000003E-17</v>
      </c>
      <c r="U11">
        <v>19.167749682574296</v>
      </c>
      <c r="V11">
        <v>100.934</v>
      </c>
      <c r="W11">
        <v>-238.28187701379539</v>
      </c>
      <c r="X11">
        <v>62.831502499999999</v>
      </c>
      <c r="Y11">
        <v>92.404729500000002</v>
      </c>
      <c r="Z11">
        <v>180.98100000000002</v>
      </c>
      <c r="AA11">
        <v>230.87047699999999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 s="27">
        <f>SUM(AB11:AN11)+Q11</f>
        <v>1.1938890325417342</v>
      </c>
    </row>
    <row r="12" spans="1:42">
      <c r="A12">
        <v>925.04123488809955</v>
      </c>
      <c r="B12">
        <v>32</v>
      </c>
      <c r="C12">
        <v>11</v>
      </c>
      <c r="D12">
        <v>12.858002810939112</v>
      </c>
      <c r="E12">
        <v>15</v>
      </c>
      <c r="F12">
        <v>8</v>
      </c>
      <c r="G12">
        <v>0.47594915482209232</v>
      </c>
      <c r="H12">
        <v>25</v>
      </c>
      <c r="I12">
        <v>9</v>
      </c>
      <c r="J12">
        <v>0.64647930505881768</v>
      </c>
      <c r="K12">
        <v>510181030.23047948</v>
      </c>
      <c r="L12">
        <v>54455500</v>
      </c>
      <c r="M12">
        <v>79688626.759646893</v>
      </c>
      <c r="N12">
        <v>71387800</v>
      </c>
      <c r="O12">
        <v>15888370.16</v>
      </c>
      <c r="P12">
        <v>226.13019700000001</v>
      </c>
      <c r="Q12">
        <v>1.2010517228443287</v>
      </c>
      <c r="R12">
        <v>43.595891799999997</v>
      </c>
      <c r="S12">
        <v>779.66248599999994</v>
      </c>
      <c r="T12">
        <v>5.6683458600000003E-12</v>
      </c>
      <c r="U12">
        <v>19.335739412829444</v>
      </c>
      <c r="V12">
        <v>100.934</v>
      </c>
      <c r="W12">
        <v>-239.47823487836496</v>
      </c>
      <c r="X12">
        <v>62.846380699999997</v>
      </c>
      <c r="Y12">
        <v>92.296740499999999</v>
      </c>
      <c r="Z12">
        <v>165.7</v>
      </c>
      <c r="AA12">
        <v>231.58549500000001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 s="27">
        <f>SUM(AB12:AN12)+Q12</f>
        <v>1.2010517228443287</v>
      </c>
    </row>
    <row r="13" spans="1:42">
      <c r="A13">
        <v>935.12603068255135</v>
      </c>
      <c r="B13">
        <v>30</v>
      </c>
      <c r="C13">
        <v>10</v>
      </c>
      <c r="D13">
        <v>6.774202417109505</v>
      </c>
      <c r="E13">
        <v>21</v>
      </c>
      <c r="F13">
        <v>7</v>
      </c>
      <c r="G13">
        <v>0.8157316896702167</v>
      </c>
      <c r="H13">
        <v>23</v>
      </c>
      <c r="I13">
        <v>10</v>
      </c>
      <c r="J13">
        <v>0.68271343270053364</v>
      </c>
      <c r="K13">
        <v>509616683.86516982</v>
      </c>
      <c r="L13">
        <v>54466400</v>
      </c>
      <c r="M13">
        <v>79701210.475336581</v>
      </c>
      <c r="N13">
        <v>71991600</v>
      </c>
      <c r="O13">
        <v>15889308.720000001</v>
      </c>
      <c r="P13">
        <v>226.133893</v>
      </c>
      <c r="Q13">
        <v>1.1877639712130073</v>
      </c>
      <c r="R13">
        <v>43.637992300000001</v>
      </c>
      <c r="S13">
        <v>780.07427200000006</v>
      </c>
      <c r="T13">
        <v>1.0669796499999999E-11</v>
      </c>
      <c r="U13">
        <v>19.281233557124576</v>
      </c>
      <c r="V13">
        <v>100.934</v>
      </c>
      <c r="W13">
        <v>-237.08672701799915</v>
      </c>
      <c r="X13">
        <v>62.832687900000003</v>
      </c>
      <c r="Y13">
        <v>92.476132800000002</v>
      </c>
      <c r="Z13">
        <v>180.98100000000002</v>
      </c>
      <c r="AA13">
        <v>231.95347599999999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P13" s="27">
        <f>SUM(AB13:AN13)+Q13</f>
        <v>1.1877639712130073</v>
      </c>
    </row>
    <row r="14" spans="1:42">
      <c r="A14">
        <v>958.50372693076122</v>
      </c>
      <c r="B14">
        <v>35</v>
      </c>
      <c r="C14">
        <v>14</v>
      </c>
      <c r="D14">
        <v>6.1782236291483246</v>
      </c>
      <c r="E14">
        <v>24</v>
      </c>
      <c r="F14">
        <v>5</v>
      </c>
      <c r="G14">
        <v>0.52797512188171736</v>
      </c>
      <c r="H14">
        <v>26</v>
      </c>
      <c r="I14">
        <v>10</v>
      </c>
      <c r="J14">
        <v>0.44069946832630158</v>
      </c>
      <c r="K14">
        <v>505002897.34468842</v>
      </c>
      <c r="L14">
        <v>54466400</v>
      </c>
      <c r="M14">
        <v>79701302.616818875</v>
      </c>
      <c r="N14">
        <v>71991600</v>
      </c>
      <c r="O14">
        <v>16379179.200000001</v>
      </c>
      <c r="P14">
        <v>219.409606</v>
      </c>
      <c r="Q14">
        <v>1.2098905007776801</v>
      </c>
      <c r="R14">
        <v>43.651795300000003</v>
      </c>
      <c r="S14">
        <v>780.06817100000001</v>
      </c>
      <c r="T14">
        <v>1.58005697E-9</v>
      </c>
      <c r="U14">
        <v>19.531245949057901</v>
      </c>
      <c r="V14">
        <v>100.934</v>
      </c>
      <c r="W14">
        <v>-235.95588535550013</v>
      </c>
      <c r="X14">
        <v>62.905344999999997</v>
      </c>
      <c r="Y14">
        <v>92.398408700000005</v>
      </c>
      <c r="Z14">
        <v>180.98100000000002</v>
      </c>
      <c r="AA14">
        <v>233.18982</v>
      </c>
      <c r="AB14">
        <v>100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P14" s="27">
        <f>SUM(AB14:AN14)+Q14</f>
        <v>101.20989050077768</v>
      </c>
    </row>
    <row r="15" spans="1:42">
      <c r="A15">
        <v>959.78145450945908</v>
      </c>
      <c r="B15">
        <v>29</v>
      </c>
      <c r="C15">
        <v>19</v>
      </c>
      <c r="D15">
        <v>12.450742300056508</v>
      </c>
      <c r="E15">
        <v>18</v>
      </c>
      <c r="F15">
        <v>5</v>
      </c>
      <c r="G15">
        <v>0.30424715151970322</v>
      </c>
      <c r="H15">
        <v>15</v>
      </c>
      <c r="I15">
        <v>8</v>
      </c>
      <c r="J15">
        <v>0.59965931410627471</v>
      </c>
      <c r="K15">
        <v>505011081.92086869</v>
      </c>
      <c r="L15">
        <v>54466400</v>
      </c>
      <c r="M15">
        <v>79701302.553132057</v>
      </c>
      <c r="N15">
        <v>71991600</v>
      </c>
      <c r="O15">
        <v>16382431.6</v>
      </c>
      <c r="P15">
        <v>219.488911</v>
      </c>
      <c r="Q15">
        <v>1.2094786611871355</v>
      </c>
      <c r="R15">
        <v>43.647221600000002</v>
      </c>
      <c r="S15">
        <v>780.38618299999996</v>
      </c>
      <c r="T15">
        <v>4.7355884499999997E-9</v>
      </c>
      <c r="U15">
        <v>19.809365468839328</v>
      </c>
      <c r="V15">
        <v>100.934</v>
      </c>
      <c r="W15">
        <v>-237.8298362451815</v>
      </c>
      <c r="X15">
        <v>62.907405599999997</v>
      </c>
      <c r="Y15">
        <v>92.421755899999994</v>
      </c>
      <c r="Z15">
        <v>177.97</v>
      </c>
      <c r="AA15">
        <v>232.836468</v>
      </c>
      <c r="AB15">
        <v>100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 s="27">
        <f>SUM(AB15:AN15)+Q15</f>
        <v>101.20947866118713</v>
      </c>
    </row>
    <row r="16" spans="1:42">
      <c r="A16">
        <v>932.91377279492565</v>
      </c>
      <c r="B16">
        <v>28</v>
      </c>
      <c r="C16">
        <v>19</v>
      </c>
      <c r="D16">
        <v>7.7270343773119246</v>
      </c>
      <c r="E16">
        <v>23</v>
      </c>
      <c r="F16">
        <v>10</v>
      </c>
      <c r="G16">
        <v>1.0352243723695607</v>
      </c>
      <c r="H16">
        <v>24</v>
      </c>
      <c r="I16">
        <v>8</v>
      </c>
      <c r="J16">
        <v>1.1201310486358509</v>
      </c>
      <c r="K16">
        <v>509681555.3579033</v>
      </c>
      <c r="L16">
        <v>54460600</v>
      </c>
      <c r="M16">
        <v>79698414.090077519</v>
      </c>
      <c r="N16">
        <v>71846300</v>
      </c>
      <c r="O16">
        <v>15888796.959999999</v>
      </c>
      <c r="P16">
        <v>225.50283300000001</v>
      </c>
      <c r="Q16">
        <v>1.1940139555269607</v>
      </c>
      <c r="R16">
        <v>43.639038300000003</v>
      </c>
      <c r="S16">
        <v>780.48695799999996</v>
      </c>
      <c r="T16">
        <v>1.1152791E-12</v>
      </c>
      <c r="U16">
        <v>19.185287676314154</v>
      </c>
      <c r="V16">
        <v>91.850000000000009</v>
      </c>
      <c r="W16">
        <v>-239.48403416393978</v>
      </c>
      <c r="X16">
        <v>62.833500000000001</v>
      </c>
      <c r="Y16">
        <v>92.524601599999997</v>
      </c>
      <c r="Z16">
        <v>180.98100000000002</v>
      </c>
      <c r="AA16">
        <v>231.198139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 s="27">
        <f>SUM(AB16:AN16)+Q16</f>
        <v>1.1940139555269607</v>
      </c>
    </row>
    <row r="17" spans="1:42">
      <c r="A17">
        <v>937.4251532115386</v>
      </c>
      <c r="B17">
        <v>34</v>
      </c>
      <c r="C17">
        <v>19</v>
      </c>
      <c r="D17">
        <v>4.3746395746065003</v>
      </c>
      <c r="E17">
        <v>29</v>
      </c>
      <c r="F17">
        <v>5</v>
      </c>
      <c r="G17">
        <v>1.1091370626918882</v>
      </c>
      <c r="H17">
        <v>13</v>
      </c>
      <c r="I17">
        <v>7</v>
      </c>
      <c r="J17">
        <v>0.59216058288504003</v>
      </c>
      <c r="K17">
        <v>509230256.7430898</v>
      </c>
      <c r="L17">
        <v>54471000</v>
      </c>
      <c r="M17">
        <v>79704406.92551513</v>
      </c>
      <c r="N17">
        <v>72127000</v>
      </c>
      <c r="O17">
        <v>15889255.68</v>
      </c>
      <c r="P17">
        <v>226.07142999999999</v>
      </c>
      <c r="Q17">
        <v>1.1843777296619984</v>
      </c>
      <c r="R17">
        <v>43.645097999999997</v>
      </c>
      <c r="S17">
        <v>780.41688899999997</v>
      </c>
      <c r="T17">
        <v>5.1481764900000002E-10</v>
      </c>
      <c r="U17">
        <v>19.330066601545568</v>
      </c>
      <c r="V17">
        <v>100.934</v>
      </c>
      <c r="W17">
        <v>-238.49972589129644</v>
      </c>
      <c r="X17">
        <v>62.830003300000001</v>
      </c>
      <c r="Y17">
        <v>92.544380200000006</v>
      </c>
      <c r="Z17">
        <v>203.285</v>
      </c>
      <c r="AA17">
        <v>233.286079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 s="27">
        <f>SUM(AB17:AN17)+Q17</f>
        <v>1.1843777296619984</v>
      </c>
    </row>
    <row r="18" spans="1:42">
      <c r="A18">
        <v>926.54212300773304</v>
      </c>
      <c r="B18">
        <v>34</v>
      </c>
      <c r="C18">
        <v>12</v>
      </c>
      <c r="D18">
        <v>3.0972957532174883</v>
      </c>
      <c r="E18">
        <v>24</v>
      </c>
      <c r="F18">
        <v>8</v>
      </c>
      <c r="G18">
        <v>1.0560452345642248</v>
      </c>
      <c r="H18">
        <v>27</v>
      </c>
      <c r="I18">
        <v>7</v>
      </c>
      <c r="J18">
        <v>0.8669995854035728</v>
      </c>
      <c r="K18">
        <v>508933756.30083376</v>
      </c>
      <c r="L18">
        <v>54457200</v>
      </c>
      <c r="M18">
        <v>79690624.449458674</v>
      </c>
      <c r="N18">
        <v>71689800</v>
      </c>
      <c r="O18">
        <v>15883796.08</v>
      </c>
      <c r="P18">
        <v>225.07003499999999</v>
      </c>
      <c r="Q18">
        <v>1.1970572534331059</v>
      </c>
      <c r="R18">
        <v>43.636852900000001</v>
      </c>
      <c r="S18">
        <v>780.48965999999996</v>
      </c>
      <c r="T18">
        <v>7.3626245700000002E-13</v>
      </c>
      <c r="U18">
        <v>19.211521938140326</v>
      </c>
      <c r="V18">
        <v>100.934</v>
      </c>
      <c r="W18">
        <v>-236.45368835732555</v>
      </c>
      <c r="X18">
        <v>62.848475700000002</v>
      </c>
      <c r="Y18">
        <v>92.708526899999995</v>
      </c>
      <c r="Z18">
        <v>203.285</v>
      </c>
      <c r="AA18">
        <v>231.55327700000001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P18" s="27">
        <f>SUM(AB18:AN18)+Q18</f>
        <v>1.1970572534331059</v>
      </c>
    </row>
    <row r="19" spans="1:42">
      <c r="A19">
        <v>925.87451499172005</v>
      </c>
      <c r="B19">
        <v>32</v>
      </c>
      <c r="C19">
        <v>15</v>
      </c>
      <c r="D19">
        <v>3.0606928207417887</v>
      </c>
      <c r="E19">
        <v>17</v>
      </c>
      <c r="F19">
        <v>8</v>
      </c>
      <c r="G19">
        <v>0.58145806011855805</v>
      </c>
      <c r="H19">
        <v>21</v>
      </c>
      <c r="I19">
        <v>13</v>
      </c>
      <c r="J19">
        <v>0.4559471797718353</v>
      </c>
      <c r="K19">
        <v>508439319.02506095</v>
      </c>
      <c r="L19">
        <v>54422000</v>
      </c>
      <c r="M19">
        <v>79689725.505632758</v>
      </c>
      <c r="N19">
        <v>71714900</v>
      </c>
      <c r="O19">
        <v>15883556.720000001</v>
      </c>
      <c r="P19">
        <v>225.84483</v>
      </c>
      <c r="Q19">
        <v>1.1902857459024443</v>
      </c>
      <c r="R19">
        <v>43.621352199999997</v>
      </c>
      <c r="S19">
        <v>779.69876999999997</v>
      </c>
      <c r="T19">
        <v>2.9697380399999998E-12</v>
      </c>
      <c r="U19">
        <v>19.308394767142818</v>
      </c>
      <c r="V19">
        <v>100.934</v>
      </c>
      <c r="W19">
        <v>-238.24048584989845</v>
      </c>
      <c r="X19">
        <v>62.848899899999999</v>
      </c>
      <c r="Y19">
        <v>92.717389900000001</v>
      </c>
      <c r="Z19">
        <v>177.97</v>
      </c>
      <c r="AA19">
        <v>233.14347100000001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P19" s="27">
        <f>SUM(AB19:AN19)+Q19</f>
        <v>1.1902857459024443</v>
      </c>
    </row>
    <row r="20" spans="1:42">
      <c r="A20">
        <v>935.70307062957409</v>
      </c>
      <c r="B20">
        <v>38</v>
      </c>
      <c r="C20">
        <v>18</v>
      </c>
      <c r="D20">
        <v>1.45734644008898</v>
      </c>
      <c r="E20">
        <v>29</v>
      </c>
      <c r="F20">
        <v>13</v>
      </c>
      <c r="G20">
        <v>0.85196125064415207</v>
      </c>
      <c r="H20">
        <v>12</v>
      </c>
      <c r="I20">
        <v>8</v>
      </c>
      <c r="J20">
        <v>1.2220030146913456</v>
      </c>
      <c r="K20">
        <v>508891971.58582187</v>
      </c>
      <c r="L20">
        <v>54422000</v>
      </c>
      <c r="M20">
        <v>79689707.544920862</v>
      </c>
      <c r="N20">
        <v>71714900</v>
      </c>
      <c r="O20">
        <v>15888524.32</v>
      </c>
      <c r="P20">
        <v>225.437659</v>
      </c>
      <c r="Q20">
        <v>1.1937986254214883</v>
      </c>
      <c r="R20">
        <v>43.618836999999999</v>
      </c>
      <c r="S20">
        <v>780.61146800000006</v>
      </c>
      <c r="T20">
        <v>2.67727245E-17</v>
      </c>
      <c r="U20">
        <v>19.196670111354781</v>
      </c>
      <c r="V20">
        <v>91.850000000000009</v>
      </c>
      <c r="W20">
        <v>-216.22900746950609</v>
      </c>
      <c r="X20">
        <v>62.883658099999998</v>
      </c>
      <c r="Y20">
        <v>93.422392900000006</v>
      </c>
      <c r="Z20">
        <v>180.98100000000002</v>
      </c>
      <c r="AA20">
        <v>232.60212000000001</v>
      </c>
      <c r="AB20">
        <v>100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 s="27">
        <f>SUM(AB20:AN20)+Q20</f>
        <v>101.19379862542149</v>
      </c>
    </row>
    <row r="21" spans="1:42">
      <c r="A21">
        <v>926.01063425387781</v>
      </c>
      <c r="B21">
        <v>38</v>
      </c>
      <c r="C21">
        <v>19</v>
      </c>
      <c r="D21">
        <v>6.7411011287253348</v>
      </c>
      <c r="E21">
        <v>20</v>
      </c>
      <c r="F21">
        <v>7</v>
      </c>
      <c r="G21">
        <v>0.92330150457632554</v>
      </c>
      <c r="H21">
        <v>18</v>
      </c>
      <c r="I21">
        <v>11</v>
      </c>
      <c r="J21">
        <v>1.372417612186944</v>
      </c>
      <c r="K21">
        <v>509529468.77030122</v>
      </c>
      <c r="L21">
        <v>54453700</v>
      </c>
      <c r="M21">
        <v>79689925.269991502</v>
      </c>
      <c r="N21">
        <v>71701200</v>
      </c>
      <c r="O21">
        <v>15885523.92</v>
      </c>
      <c r="P21">
        <v>225.408355</v>
      </c>
      <c r="Q21">
        <v>1.1967628560854873</v>
      </c>
      <c r="R21">
        <v>43.639007499999998</v>
      </c>
      <c r="S21">
        <v>780.10116799999992</v>
      </c>
      <c r="T21">
        <v>8.89575169E-12</v>
      </c>
      <c r="U21">
        <v>19.258468199296246</v>
      </c>
      <c r="V21">
        <v>100.934</v>
      </c>
      <c r="W21">
        <v>-238.05506412726876</v>
      </c>
      <c r="X21">
        <v>62.845122000000003</v>
      </c>
      <c r="Y21">
        <v>92.303879600000002</v>
      </c>
      <c r="Z21">
        <v>180.98100000000002</v>
      </c>
      <c r="AA21">
        <v>231.61307199999999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 s="27">
        <f>SUM(AB21:AN21)+Q21</f>
        <v>1.1967628560854873</v>
      </c>
    </row>
    <row r="22" spans="1:42">
      <c r="A22">
        <v>953.4514969745386</v>
      </c>
      <c r="B22">
        <v>31</v>
      </c>
      <c r="C22">
        <v>10</v>
      </c>
      <c r="D22">
        <v>10.549585719210903</v>
      </c>
      <c r="E22">
        <v>26</v>
      </c>
      <c r="F22">
        <v>6</v>
      </c>
      <c r="G22">
        <v>0.62435909388398336</v>
      </c>
      <c r="H22">
        <v>21</v>
      </c>
      <c r="I22">
        <v>11</v>
      </c>
      <c r="J22">
        <v>1.1149334241327977</v>
      </c>
      <c r="K22">
        <v>510824689.77858287</v>
      </c>
      <c r="L22">
        <v>54519600</v>
      </c>
      <c r="M22">
        <v>79725178.91954194</v>
      </c>
      <c r="N22">
        <v>72586600</v>
      </c>
      <c r="O22">
        <v>15901696.560000001</v>
      </c>
      <c r="P22">
        <v>227.75660999999999</v>
      </c>
      <c r="Q22">
        <v>1.1724009331474381</v>
      </c>
      <c r="R22">
        <v>43.6450879</v>
      </c>
      <c r="S22">
        <v>780.03856699999994</v>
      </c>
      <c r="T22">
        <v>1.3950629900000001E-10</v>
      </c>
      <c r="U22">
        <v>19.398112622377354</v>
      </c>
      <c r="V22">
        <v>100.934</v>
      </c>
      <c r="W22">
        <v>-237.39175861648977</v>
      </c>
      <c r="X22">
        <v>62.801599199999998</v>
      </c>
      <c r="Y22">
        <v>92.341682899999995</v>
      </c>
      <c r="Z22">
        <v>203.285</v>
      </c>
      <c r="AA22">
        <v>231.61142000000001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 s="27">
        <f>SUM(AB22:AN22)+Q22</f>
        <v>1.1724009331474381</v>
      </c>
    </row>
    <row r="23" spans="1:42">
      <c r="A23">
        <v>935.17651902916646</v>
      </c>
      <c r="B23">
        <v>39</v>
      </c>
      <c r="C23">
        <v>17</v>
      </c>
      <c r="D23">
        <v>15</v>
      </c>
      <c r="E23">
        <v>14</v>
      </c>
      <c r="F23">
        <v>12</v>
      </c>
      <c r="G23">
        <v>1.2</v>
      </c>
      <c r="H23">
        <v>28</v>
      </c>
      <c r="I23">
        <v>14</v>
      </c>
      <c r="J23">
        <v>0.32770197505229443</v>
      </c>
      <c r="K23">
        <v>511416639.99620992</v>
      </c>
      <c r="L23">
        <v>54521500</v>
      </c>
      <c r="M23">
        <v>79701210.710361511</v>
      </c>
      <c r="N23">
        <v>70786100</v>
      </c>
      <c r="O23">
        <v>15893095.68</v>
      </c>
      <c r="P23">
        <v>227.487639</v>
      </c>
      <c r="Q23">
        <v>1.2105287087782155</v>
      </c>
      <c r="R23">
        <v>43.497300600000003</v>
      </c>
      <c r="S23">
        <v>780.27905600000008</v>
      </c>
      <c r="T23">
        <v>6.4665057499999996E-16</v>
      </c>
      <c r="U23">
        <v>18.78444803116583</v>
      </c>
      <c r="V23">
        <v>100.934</v>
      </c>
      <c r="W23">
        <v>-240.25392253436758</v>
      </c>
      <c r="X23">
        <v>62.826785899999997</v>
      </c>
      <c r="Y23">
        <v>92.069230599999997</v>
      </c>
      <c r="Z23">
        <v>121.52199999999999</v>
      </c>
      <c r="AA23">
        <v>232.42959300000001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 s="27">
        <f>SUM(AB23:AN23)+Q23</f>
        <v>1.2105287087782155</v>
      </c>
    </row>
    <row r="24" spans="1:42">
      <c r="A24">
        <v>923.61265271582329</v>
      </c>
      <c r="B24">
        <v>30</v>
      </c>
      <c r="C24">
        <v>18</v>
      </c>
      <c r="D24">
        <v>15</v>
      </c>
      <c r="E24">
        <v>29</v>
      </c>
      <c r="F24">
        <v>5</v>
      </c>
      <c r="G24">
        <v>1.2</v>
      </c>
      <c r="H24">
        <v>23</v>
      </c>
      <c r="I24">
        <v>12</v>
      </c>
      <c r="J24">
        <v>0.3</v>
      </c>
      <c r="K24">
        <v>510949630.46364284</v>
      </c>
      <c r="L24">
        <v>54499700</v>
      </c>
      <c r="M24">
        <v>79697932.655197933</v>
      </c>
      <c r="N24">
        <v>71825000</v>
      </c>
      <c r="O24">
        <v>15902229.84</v>
      </c>
      <c r="P24">
        <v>224.56906599999999</v>
      </c>
      <c r="Q24">
        <v>1.2039992856037094</v>
      </c>
      <c r="R24">
        <v>43.643353099999999</v>
      </c>
      <c r="S24">
        <v>780.62556400000005</v>
      </c>
      <c r="T24">
        <v>4.6675832500000003E-10</v>
      </c>
      <c r="U24">
        <v>19.363762660598319</v>
      </c>
      <c r="V24">
        <v>100.934</v>
      </c>
      <c r="W24">
        <v>-237.35893429335707</v>
      </c>
      <c r="X24">
        <v>62.789392599999999</v>
      </c>
      <c r="Y24">
        <v>92.310547499999998</v>
      </c>
      <c r="Z24">
        <v>203.285</v>
      </c>
      <c r="AA24">
        <v>235.588809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P24" s="27">
        <f>SUM(AB24:AN24)+Q24</f>
        <v>1.2039992856037094</v>
      </c>
    </row>
    <row r="25" spans="1:42">
      <c r="A25">
        <v>910</v>
      </c>
      <c r="B25">
        <v>39</v>
      </c>
      <c r="C25">
        <v>19</v>
      </c>
      <c r="D25">
        <v>7.6478615916297725</v>
      </c>
      <c r="E25">
        <v>11</v>
      </c>
      <c r="F25">
        <v>5</v>
      </c>
      <c r="G25">
        <v>1.2</v>
      </c>
      <c r="H25">
        <v>18</v>
      </c>
      <c r="I25">
        <v>14</v>
      </c>
      <c r="J25">
        <v>1.4</v>
      </c>
      <c r="K25">
        <v>509640588.62113506</v>
      </c>
      <c r="L25">
        <v>54434500</v>
      </c>
      <c r="M25">
        <v>79674145.754550651</v>
      </c>
      <c r="N25">
        <v>71180400</v>
      </c>
      <c r="O25">
        <v>15892982.879999999</v>
      </c>
      <c r="P25">
        <v>224.97673900000001</v>
      </c>
      <c r="Q25">
        <v>1.2092361877378304</v>
      </c>
      <c r="R25">
        <v>43.614820999999999</v>
      </c>
      <c r="S25">
        <v>779.78285700000004</v>
      </c>
      <c r="T25">
        <v>6.6591251099999999E-10</v>
      </c>
      <c r="U25">
        <v>19.337076271858763</v>
      </c>
      <c r="V25">
        <v>100.934</v>
      </c>
      <c r="W25">
        <v>-239.01103356724835</v>
      </c>
      <c r="X25">
        <v>62.869774900000003</v>
      </c>
      <c r="Y25">
        <v>92.253592900000001</v>
      </c>
      <c r="Z25">
        <v>165.7</v>
      </c>
      <c r="AA25">
        <v>231.536236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 s="27">
        <f>SUM(AB25:AN25)+Q25</f>
        <v>1.2092361877378304</v>
      </c>
    </row>
    <row r="26" spans="1:42">
      <c r="A26">
        <v>910</v>
      </c>
      <c r="B26">
        <v>27</v>
      </c>
      <c r="C26">
        <v>10</v>
      </c>
      <c r="D26">
        <v>15</v>
      </c>
      <c r="E26">
        <v>29</v>
      </c>
      <c r="F26">
        <v>5</v>
      </c>
      <c r="G26">
        <v>0.30000000000000004</v>
      </c>
      <c r="H26">
        <v>10</v>
      </c>
      <c r="I26">
        <v>7</v>
      </c>
      <c r="J26">
        <v>1.4</v>
      </c>
      <c r="K26">
        <v>510379511.40354216</v>
      </c>
      <c r="L26">
        <v>54457500</v>
      </c>
      <c r="M26">
        <v>79674445.950952604</v>
      </c>
      <c r="N26">
        <v>71694800</v>
      </c>
      <c r="O26">
        <v>15896878.720000001</v>
      </c>
      <c r="P26">
        <v>224.714404</v>
      </c>
      <c r="Q26">
        <v>1.2032269580881552</v>
      </c>
      <c r="R26">
        <v>43.669903599999998</v>
      </c>
      <c r="S26">
        <v>780.24691800000005</v>
      </c>
      <c r="T26">
        <v>4.7250486699999996E-9</v>
      </c>
      <c r="U26">
        <v>19.813885329859055</v>
      </c>
      <c r="V26">
        <v>100.934</v>
      </c>
      <c r="W26">
        <v>-237.30952948694741</v>
      </c>
      <c r="X26">
        <v>62.874866699999998</v>
      </c>
      <c r="Y26">
        <v>92.434525399999998</v>
      </c>
      <c r="Z26">
        <v>180.98100000000002</v>
      </c>
      <c r="AA26">
        <v>233.64414199999999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P26" s="27">
        <f>SUM(AB26:AN26)+Q26</f>
        <v>1.2032269580881552</v>
      </c>
    </row>
    <row r="27" spans="1:42">
      <c r="A27">
        <v>910</v>
      </c>
      <c r="B27">
        <v>39</v>
      </c>
      <c r="C27">
        <v>10</v>
      </c>
      <c r="D27">
        <v>15</v>
      </c>
      <c r="E27">
        <v>29</v>
      </c>
      <c r="F27">
        <v>14</v>
      </c>
      <c r="G27">
        <v>0.3</v>
      </c>
      <c r="H27">
        <v>29</v>
      </c>
      <c r="I27">
        <v>14</v>
      </c>
      <c r="J27">
        <v>1.4</v>
      </c>
      <c r="K27">
        <v>511289384.31188405</v>
      </c>
      <c r="L27">
        <v>54510600</v>
      </c>
      <c r="M27">
        <v>79674345.837959856</v>
      </c>
      <c r="N27">
        <v>71482000</v>
      </c>
      <c r="O27">
        <v>15896749.279999999</v>
      </c>
      <c r="P27">
        <v>224.94353000000001</v>
      </c>
      <c r="Q27">
        <v>1.2099653357081592</v>
      </c>
      <c r="R27">
        <v>43.649478799999997</v>
      </c>
      <c r="S27">
        <v>779.7820989999999</v>
      </c>
      <c r="T27">
        <v>3.2185993900000001E-16</v>
      </c>
      <c r="U27">
        <v>19.592060834254003</v>
      </c>
      <c r="V27">
        <v>100.934</v>
      </c>
      <c r="W27">
        <v>-237.64041313421689</v>
      </c>
      <c r="X27">
        <v>62.864329900000001</v>
      </c>
      <c r="Y27">
        <v>92.098955700000005</v>
      </c>
      <c r="Z27">
        <v>177.97</v>
      </c>
      <c r="AA27">
        <v>231.22300899999999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P27" s="27">
        <f>SUM(AB27:AN27)+Q27</f>
        <v>1.2099653357081592</v>
      </c>
    </row>
    <row r="28" spans="1:42">
      <c r="A28">
        <v>910</v>
      </c>
      <c r="B28">
        <v>27</v>
      </c>
      <c r="C28">
        <v>10</v>
      </c>
      <c r="D28">
        <v>1</v>
      </c>
      <c r="E28">
        <v>10</v>
      </c>
      <c r="F28">
        <v>5</v>
      </c>
      <c r="G28">
        <v>1.2</v>
      </c>
      <c r="H28">
        <v>29</v>
      </c>
      <c r="I28">
        <v>14</v>
      </c>
      <c r="J28">
        <v>0.3</v>
      </c>
      <c r="K28">
        <v>508209799.72180641</v>
      </c>
      <c r="L28">
        <v>54410900</v>
      </c>
      <c r="M28">
        <v>79679851.99421598</v>
      </c>
      <c r="N28">
        <v>72083900</v>
      </c>
      <c r="O28">
        <v>15890990.720000001</v>
      </c>
      <c r="P28">
        <v>220.18014600000001</v>
      </c>
      <c r="Q28">
        <v>1.2125806322141013</v>
      </c>
      <c r="R28">
        <v>43.573293</v>
      </c>
      <c r="S28">
        <v>780.23663299999998</v>
      </c>
      <c r="T28">
        <v>5.9125376199999999E-10</v>
      </c>
      <c r="U28">
        <v>19.399126830901771</v>
      </c>
      <c r="V28">
        <v>80.72</v>
      </c>
      <c r="W28">
        <v>-149.08674123663414</v>
      </c>
      <c r="X28">
        <v>63.061661200000003</v>
      </c>
      <c r="Y28">
        <v>94.915333200000006</v>
      </c>
      <c r="Z28">
        <v>144.29</v>
      </c>
      <c r="AA28">
        <v>234.21393499999999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 s="27">
        <f>SUM(AB28:AN28)+Q28</f>
        <v>1.2125806322141013</v>
      </c>
    </row>
    <row r="29" spans="1:42">
      <c r="A29">
        <v>910</v>
      </c>
      <c r="B29">
        <v>27</v>
      </c>
      <c r="C29">
        <v>19</v>
      </c>
      <c r="D29">
        <v>1</v>
      </c>
      <c r="E29">
        <v>29</v>
      </c>
      <c r="F29">
        <v>14</v>
      </c>
      <c r="G29">
        <v>0.3</v>
      </c>
      <c r="H29">
        <v>29</v>
      </c>
      <c r="I29">
        <v>14</v>
      </c>
      <c r="J29">
        <v>1.4</v>
      </c>
      <c r="K29">
        <v>508376035.67768288</v>
      </c>
      <c r="L29">
        <v>54423200</v>
      </c>
      <c r="M29">
        <v>79674245.772013173</v>
      </c>
      <c r="N29">
        <v>72957600</v>
      </c>
      <c r="O29">
        <v>15889447.6</v>
      </c>
      <c r="P29">
        <v>217.82803100000001</v>
      </c>
      <c r="Q29">
        <v>1.2087357011724813</v>
      </c>
      <c r="R29">
        <v>43.678209199999998</v>
      </c>
      <c r="S29">
        <v>779.85224799999992</v>
      </c>
      <c r="T29">
        <v>5.47532671E-9</v>
      </c>
      <c r="U29">
        <v>20.195554305539311</v>
      </c>
      <c r="V29">
        <v>68.709999999999994</v>
      </c>
      <c r="W29">
        <v>-167.97772140565243</v>
      </c>
      <c r="X29">
        <v>63.118173900000002</v>
      </c>
      <c r="Y29">
        <v>95.104360600000007</v>
      </c>
      <c r="Z29">
        <v>177.97</v>
      </c>
      <c r="AA29">
        <v>229.80251699999999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 s="27">
        <f>SUM(AB29:AN29)+Q29</f>
        <v>1.2087357011724813</v>
      </c>
    </row>
    <row r="30" spans="1:42">
      <c r="A30">
        <v>910</v>
      </c>
      <c r="B30">
        <v>39</v>
      </c>
      <c r="C30">
        <v>19</v>
      </c>
      <c r="D30">
        <v>1</v>
      </c>
      <c r="E30">
        <v>29</v>
      </c>
      <c r="F30">
        <v>5</v>
      </c>
      <c r="G30">
        <v>0.3</v>
      </c>
      <c r="H30">
        <v>29</v>
      </c>
      <c r="I30">
        <v>7</v>
      </c>
      <c r="J30">
        <v>0.3</v>
      </c>
      <c r="K30">
        <v>508741753.43898034</v>
      </c>
      <c r="L30">
        <v>54468200</v>
      </c>
      <c r="M30">
        <v>79683055.227452293</v>
      </c>
      <c r="N30">
        <v>72536000</v>
      </c>
      <c r="O30">
        <v>15891761.039999999</v>
      </c>
      <c r="P30">
        <v>219.99372199999999</v>
      </c>
      <c r="Q30">
        <v>1.2073277186173521</v>
      </c>
      <c r="R30">
        <v>43.627974700000003</v>
      </c>
      <c r="S30">
        <v>780.989238</v>
      </c>
      <c r="T30">
        <v>3.9011697300000003E-9</v>
      </c>
      <c r="U30">
        <v>20.096476487627115</v>
      </c>
      <c r="V30">
        <v>80.72</v>
      </c>
      <c r="W30">
        <v>-145.50044472717047</v>
      </c>
      <c r="X30">
        <v>63.044105600000002</v>
      </c>
      <c r="Y30">
        <v>94.807423900000003</v>
      </c>
      <c r="Z30">
        <v>180.98100000000002</v>
      </c>
      <c r="AA30">
        <v>235.206039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 s="27">
        <f>SUM(AB30:AN30)+Q30</f>
        <v>1.2073277186173521</v>
      </c>
    </row>
    <row r="31" spans="1:42">
      <c r="A31">
        <v>932.97644665999405</v>
      </c>
      <c r="B31">
        <v>27</v>
      </c>
      <c r="C31">
        <v>10</v>
      </c>
      <c r="D31">
        <v>3.4560471670554858</v>
      </c>
      <c r="E31">
        <v>17</v>
      </c>
      <c r="F31">
        <v>7</v>
      </c>
      <c r="G31">
        <v>1.2</v>
      </c>
      <c r="H31">
        <v>29</v>
      </c>
      <c r="I31">
        <v>7</v>
      </c>
      <c r="J31">
        <v>0.3</v>
      </c>
      <c r="K31">
        <v>509582317.0009461</v>
      </c>
      <c r="L31">
        <v>54468200</v>
      </c>
      <c r="M31">
        <v>79683021.61847657</v>
      </c>
      <c r="N31">
        <v>72536000</v>
      </c>
      <c r="O31">
        <v>15890658.48</v>
      </c>
      <c r="P31">
        <v>225.222185</v>
      </c>
      <c r="Q31">
        <v>1.1818335723151943</v>
      </c>
      <c r="R31">
        <v>43.62847</v>
      </c>
      <c r="S31">
        <v>780.41815599999995</v>
      </c>
      <c r="T31">
        <v>6.7102725000000001E-12</v>
      </c>
      <c r="U31">
        <v>19.305854524200576</v>
      </c>
      <c r="V31">
        <v>100.934</v>
      </c>
      <c r="W31">
        <v>-233.98070131569645</v>
      </c>
      <c r="X31">
        <v>62.7733743</v>
      </c>
      <c r="Y31">
        <v>92.743765300000007</v>
      </c>
      <c r="Z31">
        <v>180.98100000000002</v>
      </c>
      <c r="AA31">
        <v>235.43651600000001</v>
      </c>
      <c r="AB31">
        <v>100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 s="27">
        <f>SUM(AB31:AN31)+Q31</f>
        <v>101.1818335723152</v>
      </c>
    </row>
    <row r="32" spans="1:42">
      <c r="A32">
        <v>910</v>
      </c>
      <c r="B32">
        <v>27</v>
      </c>
      <c r="C32">
        <v>10</v>
      </c>
      <c r="D32">
        <v>15</v>
      </c>
      <c r="E32">
        <v>10</v>
      </c>
      <c r="F32">
        <v>5</v>
      </c>
      <c r="G32">
        <v>1.2</v>
      </c>
      <c r="H32">
        <v>10</v>
      </c>
      <c r="I32">
        <v>7</v>
      </c>
      <c r="J32">
        <v>0.3</v>
      </c>
      <c r="K32">
        <v>510235910.33474648</v>
      </c>
      <c r="L32">
        <v>54435500</v>
      </c>
      <c r="M32">
        <v>79687760.546123952</v>
      </c>
      <c r="N32">
        <v>71262600</v>
      </c>
      <c r="O32">
        <v>15900880.08</v>
      </c>
      <c r="P32">
        <v>224.54341500000001</v>
      </c>
      <c r="Q32">
        <v>1.2117732641037982</v>
      </c>
      <c r="R32">
        <v>43.596586500000001</v>
      </c>
      <c r="S32">
        <v>779.95539199999996</v>
      </c>
      <c r="T32">
        <v>7.1208050600000001E-10</v>
      </c>
      <c r="U32">
        <v>19.373114287181568</v>
      </c>
      <c r="V32">
        <v>100.934</v>
      </c>
      <c r="W32">
        <v>-238.35212659590408</v>
      </c>
      <c r="X32">
        <v>62.819864600000002</v>
      </c>
      <c r="Y32">
        <v>92.404515900000007</v>
      </c>
      <c r="Z32">
        <v>144.29</v>
      </c>
      <c r="AA32">
        <v>236.178686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P32" s="27">
        <f>SUM(AB32:AN32)+Q32</f>
        <v>1.2117732641037982</v>
      </c>
    </row>
    <row r="33" spans="1:42">
      <c r="A33">
        <v>910</v>
      </c>
      <c r="B33">
        <v>27</v>
      </c>
      <c r="C33">
        <v>19</v>
      </c>
      <c r="D33">
        <v>15</v>
      </c>
      <c r="E33">
        <v>10</v>
      </c>
      <c r="F33">
        <v>5</v>
      </c>
      <c r="G33">
        <v>0.3</v>
      </c>
      <c r="H33">
        <v>29</v>
      </c>
      <c r="I33">
        <v>7</v>
      </c>
      <c r="J33">
        <v>0.3</v>
      </c>
      <c r="K33">
        <v>510519802.62885809</v>
      </c>
      <c r="L33">
        <v>54463500</v>
      </c>
      <c r="M33">
        <v>79679952.303405255</v>
      </c>
      <c r="N33">
        <v>70276700</v>
      </c>
      <c r="O33">
        <v>15898350.959999999</v>
      </c>
      <c r="P33">
        <v>225.071482</v>
      </c>
      <c r="Q33">
        <v>1.2296721294109076</v>
      </c>
      <c r="R33">
        <v>43.521304000000001</v>
      </c>
      <c r="S33">
        <v>780.77825599999994</v>
      </c>
      <c r="T33">
        <v>6.8646699700000001E-9</v>
      </c>
      <c r="U33">
        <v>19.619806295610413</v>
      </c>
      <c r="V33">
        <v>91.850000000000009</v>
      </c>
      <c r="W33">
        <v>-242.41066013370684</v>
      </c>
      <c r="X33">
        <v>62.818363499999997</v>
      </c>
      <c r="Y33">
        <v>92.428154199999994</v>
      </c>
      <c r="Z33">
        <v>144.29</v>
      </c>
      <c r="AA33">
        <v>232.67594099999999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 s="27">
        <f>SUM(AB33:AN33)+Q33</f>
        <v>1.2296721294109076</v>
      </c>
    </row>
    <row r="34" spans="1:42">
      <c r="A34">
        <v>910</v>
      </c>
      <c r="B34">
        <v>39</v>
      </c>
      <c r="C34">
        <v>19</v>
      </c>
      <c r="D34">
        <v>15</v>
      </c>
      <c r="E34">
        <v>29</v>
      </c>
      <c r="F34">
        <v>14</v>
      </c>
      <c r="G34">
        <v>1.2</v>
      </c>
      <c r="H34">
        <v>10</v>
      </c>
      <c r="I34">
        <v>7</v>
      </c>
      <c r="J34">
        <v>0.3</v>
      </c>
      <c r="K34">
        <v>511076162.97222656</v>
      </c>
      <c r="L34">
        <v>54490200</v>
      </c>
      <c r="M34">
        <v>79689262.11056</v>
      </c>
      <c r="N34">
        <v>71557300</v>
      </c>
      <c r="O34">
        <v>15901185.119999999</v>
      </c>
      <c r="P34">
        <v>223.505066</v>
      </c>
      <c r="Q34">
        <v>1.215214848770594</v>
      </c>
      <c r="R34">
        <v>43.6443893</v>
      </c>
      <c r="S34">
        <v>780.61360100000002</v>
      </c>
      <c r="T34">
        <v>4.69771805E-10</v>
      </c>
      <c r="U34">
        <v>19.365084115987372</v>
      </c>
      <c r="V34">
        <v>100.934</v>
      </c>
      <c r="W34">
        <v>-236.95351217102606</v>
      </c>
      <c r="X34">
        <v>62.801498000000002</v>
      </c>
      <c r="Y34">
        <v>92.051886100000004</v>
      </c>
      <c r="Z34">
        <v>203.285</v>
      </c>
      <c r="AA34">
        <v>236.91906800000001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P34" s="27">
        <f>SUM(AB34:AN34)+Q34</f>
        <v>1.215214848770594</v>
      </c>
    </row>
    <row r="35" spans="1:42">
      <c r="A35">
        <v>910</v>
      </c>
      <c r="B35">
        <v>27</v>
      </c>
      <c r="C35">
        <v>19</v>
      </c>
      <c r="D35">
        <v>1</v>
      </c>
      <c r="E35">
        <v>16</v>
      </c>
      <c r="F35">
        <v>14</v>
      </c>
      <c r="G35">
        <v>1.2</v>
      </c>
      <c r="H35">
        <v>10</v>
      </c>
      <c r="I35">
        <v>7</v>
      </c>
      <c r="J35">
        <v>0.3</v>
      </c>
      <c r="K35">
        <v>507898334.20740187</v>
      </c>
      <c r="L35">
        <v>54377500</v>
      </c>
      <c r="M35">
        <v>79681053.666097865</v>
      </c>
      <c r="N35">
        <v>71717300</v>
      </c>
      <c r="O35">
        <v>15892231.040000001</v>
      </c>
      <c r="P35">
        <v>218.992378</v>
      </c>
      <c r="Q35">
        <v>1.2249083797927076</v>
      </c>
      <c r="R35">
        <v>43.512556799999999</v>
      </c>
      <c r="S35">
        <v>780.26609499999995</v>
      </c>
      <c r="T35">
        <v>2.23497353E-9</v>
      </c>
      <c r="U35">
        <v>19.11874283199116</v>
      </c>
      <c r="V35">
        <v>68.709999999999994</v>
      </c>
      <c r="W35">
        <v>-170.8625852940217</v>
      </c>
      <c r="X35">
        <v>63.149687299999997</v>
      </c>
      <c r="Y35">
        <v>95.122821200000004</v>
      </c>
      <c r="Z35">
        <v>100.934</v>
      </c>
      <c r="AA35">
        <v>234.43765400000001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P35" s="27">
        <f>SUM(AB35:AN35)+Q35</f>
        <v>1.2249083797927076</v>
      </c>
    </row>
    <row r="36" spans="1:42">
      <c r="A36">
        <v>910</v>
      </c>
      <c r="B36">
        <v>27</v>
      </c>
      <c r="C36">
        <v>19</v>
      </c>
      <c r="D36">
        <v>15</v>
      </c>
      <c r="E36">
        <v>24</v>
      </c>
      <c r="F36">
        <v>14</v>
      </c>
      <c r="G36">
        <v>1.2</v>
      </c>
      <c r="H36">
        <v>23</v>
      </c>
      <c r="I36">
        <v>7</v>
      </c>
      <c r="J36">
        <v>1.4</v>
      </c>
      <c r="K36">
        <v>510899087.48642564</v>
      </c>
      <c r="L36">
        <v>54456300</v>
      </c>
      <c r="M36">
        <v>79674245.772218615</v>
      </c>
      <c r="N36">
        <v>71243300</v>
      </c>
      <c r="O36">
        <v>15896744.720000001</v>
      </c>
      <c r="P36">
        <v>223.775879</v>
      </c>
      <c r="Q36">
        <v>1.2187324406329694</v>
      </c>
      <c r="R36">
        <v>43.638447900000003</v>
      </c>
      <c r="S36">
        <v>780.79531999999995</v>
      </c>
      <c r="T36">
        <v>1.78020604E-12</v>
      </c>
      <c r="U36">
        <v>19.143623814198552</v>
      </c>
      <c r="V36">
        <v>91.850000000000009</v>
      </c>
      <c r="W36">
        <v>-239.54276258527781</v>
      </c>
      <c r="X36">
        <v>62.864336399999999</v>
      </c>
      <c r="Y36">
        <v>92.453349700000004</v>
      </c>
      <c r="Z36">
        <v>180.98100000000002</v>
      </c>
      <c r="AA36">
        <v>231.03067200000001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 s="27">
        <f>SUM(AB36:AN36)+Q36</f>
        <v>1.2187324406329694</v>
      </c>
    </row>
    <row r="37" spans="1:42">
      <c r="A37">
        <v>910</v>
      </c>
      <c r="B37">
        <v>39</v>
      </c>
      <c r="C37">
        <v>10</v>
      </c>
      <c r="D37">
        <v>1</v>
      </c>
      <c r="E37">
        <v>15</v>
      </c>
      <c r="F37">
        <v>13</v>
      </c>
      <c r="G37">
        <v>1.2</v>
      </c>
      <c r="H37">
        <v>29</v>
      </c>
      <c r="I37">
        <v>7</v>
      </c>
      <c r="J37">
        <v>0.3</v>
      </c>
      <c r="K37">
        <v>508794617.61675477</v>
      </c>
      <c r="L37">
        <v>54445500</v>
      </c>
      <c r="M37">
        <v>79679051.316875786</v>
      </c>
      <c r="N37">
        <v>70827600</v>
      </c>
      <c r="O37">
        <v>15890843.360000001</v>
      </c>
      <c r="P37">
        <v>221.921762</v>
      </c>
      <c r="Q37">
        <v>1.230531233271497</v>
      </c>
      <c r="R37">
        <v>43.446047700000001</v>
      </c>
      <c r="S37">
        <v>781.11008600000002</v>
      </c>
      <c r="T37">
        <v>7.5565953300000006E-17</v>
      </c>
      <c r="U37">
        <v>18.766038012067202</v>
      </c>
      <c r="V37">
        <v>80.72</v>
      </c>
      <c r="W37">
        <v>-141.32163799645517</v>
      </c>
      <c r="X37">
        <v>63.0732997</v>
      </c>
      <c r="Y37">
        <v>94.8498515</v>
      </c>
      <c r="Z37">
        <v>100.934</v>
      </c>
      <c r="AA37">
        <v>232.38987599999999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P37" s="27">
        <f>SUM(AB37:AN37)+Q37</f>
        <v>1.230531233271497</v>
      </c>
    </row>
    <row r="38" spans="1:42">
      <c r="A38">
        <v>910</v>
      </c>
      <c r="B38">
        <v>39</v>
      </c>
      <c r="C38">
        <v>19</v>
      </c>
      <c r="D38">
        <v>1</v>
      </c>
      <c r="E38">
        <v>29</v>
      </c>
      <c r="F38">
        <v>5</v>
      </c>
      <c r="G38">
        <v>1.2</v>
      </c>
      <c r="H38">
        <v>10</v>
      </c>
      <c r="I38">
        <v>7</v>
      </c>
      <c r="J38">
        <v>0.3</v>
      </c>
      <c r="K38">
        <v>508581885.22403973</v>
      </c>
      <c r="L38">
        <v>54438000</v>
      </c>
      <c r="M38">
        <v>79688661.48108764</v>
      </c>
      <c r="N38">
        <v>72453600</v>
      </c>
      <c r="O38">
        <v>15893775.120000001</v>
      </c>
      <c r="P38">
        <v>219.60501500000001</v>
      </c>
      <c r="Q38">
        <v>1.2100198153743447</v>
      </c>
      <c r="R38">
        <v>43.607027799999997</v>
      </c>
      <c r="S38">
        <v>781.177594</v>
      </c>
      <c r="T38">
        <v>3.9164763599999999E-10</v>
      </c>
      <c r="U38">
        <v>19.62446366719702</v>
      </c>
      <c r="V38">
        <v>80.72</v>
      </c>
      <c r="W38">
        <v>-146.74192296688813</v>
      </c>
      <c r="X38">
        <v>63.0514242</v>
      </c>
      <c r="Y38">
        <v>94.811628900000002</v>
      </c>
      <c r="Z38">
        <v>203.285</v>
      </c>
      <c r="AA38">
        <v>236.34303499999999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P38" s="27">
        <f>SUM(AB38:AN38)+Q38</f>
        <v>1.2100198153743447</v>
      </c>
    </row>
    <row r="39" spans="1:42">
      <c r="A39">
        <v>910</v>
      </c>
      <c r="B39">
        <v>27</v>
      </c>
      <c r="C39">
        <v>10</v>
      </c>
      <c r="D39">
        <v>1</v>
      </c>
      <c r="E39">
        <v>29</v>
      </c>
      <c r="F39">
        <v>5</v>
      </c>
      <c r="G39">
        <v>1.2</v>
      </c>
      <c r="H39">
        <v>17</v>
      </c>
      <c r="I39">
        <v>14</v>
      </c>
      <c r="J39">
        <v>0.3</v>
      </c>
      <c r="K39">
        <v>508226910.72925138</v>
      </c>
      <c r="L39">
        <v>54413700</v>
      </c>
      <c r="M39">
        <v>79682654.924837142</v>
      </c>
      <c r="N39">
        <v>72441300</v>
      </c>
      <c r="O39">
        <v>15891709.52</v>
      </c>
      <c r="P39">
        <v>219.14346599999999</v>
      </c>
      <c r="Q39">
        <v>1.2112269473712785</v>
      </c>
      <c r="R39">
        <v>43.626843700000002</v>
      </c>
      <c r="S39">
        <v>780.80570399999999</v>
      </c>
      <c r="T39">
        <v>3.77107356E-10</v>
      </c>
      <c r="U39">
        <v>19.425473344801002</v>
      </c>
      <c r="V39">
        <v>80.72</v>
      </c>
      <c r="W39">
        <v>-147.26239180310168</v>
      </c>
      <c r="X39">
        <v>63.041744600000001</v>
      </c>
      <c r="Y39">
        <v>94.903878800000001</v>
      </c>
      <c r="Z39">
        <v>203.285</v>
      </c>
      <c r="AA39">
        <v>235.02880500000001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P39" s="27">
        <f>SUM(AB39:AN39)+Q39</f>
        <v>1.2112269473712785</v>
      </c>
    </row>
    <row r="40" spans="1:42">
      <c r="A40">
        <v>921.14128862304938</v>
      </c>
      <c r="B40">
        <v>39</v>
      </c>
      <c r="C40">
        <v>10</v>
      </c>
      <c r="D40">
        <v>15</v>
      </c>
      <c r="E40">
        <v>10</v>
      </c>
      <c r="F40">
        <v>5</v>
      </c>
      <c r="G40">
        <v>0.3</v>
      </c>
      <c r="H40">
        <v>10</v>
      </c>
      <c r="I40">
        <v>7</v>
      </c>
      <c r="J40">
        <v>0.3</v>
      </c>
      <c r="K40">
        <v>510730720.37887871</v>
      </c>
      <c r="L40">
        <v>54482500</v>
      </c>
      <c r="M40">
        <v>79697039.274929792</v>
      </c>
      <c r="N40">
        <v>70760100</v>
      </c>
      <c r="O40">
        <v>15903008</v>
      </c>
      <c r="P40">
        <v>226.458023</v>
      </c>
      <c r="Q40">
        <v>1.2137229133010081</v>
      </c>
      <c r="R40">
        <v>43.524372800000002</v>
      </c>
      <c r="S40">
        <v>780.66774800000007</v>
      </c>
      <c r="T40">
        <v>6.8313767400000004E-9</v>
      </c>
      <c r="U40">
        <v>19.580759302639461</v>
      </c>
      <c r="V40">
        <v>100.934</v>
      </c>
      <c r="W40">
        <v>-242.29792758442517</v>
      </c>
      <c r="X40">
        <v>62.8473173</v>
      </c>
      <c r="Y40">
        <v>92.092193499999993</v>
      </c>
      <c r="Z40">
        <v>144.29</v>
      </c>
      <c r="AA40">
        <v>236.26076900000001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P40" s="27">
        <f>SUM(AB40:AN40)+Q40</f>
        <v>1.2137229133010081</v>
      </c>
    </row>
    <row r="41" spans="1:42">
      <c r="A41">
        <v>912.59796413629124</v>
      </c>
      <c r="B41">
        <v>39</v>
      </c>
      <c r="C41">
        <v>19</v>
      </c>
      <c r="D41">
        <v>15</v>
      </c>
      <c r="E41">
        <v>16</v>
      </c>
      <c r="F41">
        <v>14</v>
      </c>
      <c r="G41">
        <v>0.3</v>
      </c>
      <c r="H41">
        <v>29</v>
      </c>
      <c r="I41">
        <v>7</v>
      </c>
      <c r="J41">
        <v>0.3</v>
      </c>
      <c r="K41">
        <v>511043901.36215234</v>
      </c>
      <c r="L41">
        <v>54505100</v>
      </c>
      <c r="M41">
        <v>79685751.029463306</v>
      </c>
      <c r="N41">
        <v>71400200</v>
      </c>
      <c r="O41">
        <v>15899535.84</v>
      </c>
      <c r="P41">
        <v>224.347745</v>
      </c>
      <c r="Q41">
        <v>1.2139370538699397</v>
      </c>
      <c r="R41">
        <v>43.630635300000002</v>
      </c>
      <c r="S41">
        <v>780.554573</v>
      </c>
      <c r="T41">
        <v>5.2053118699999999E-9</v>
      </c>
      <c r="U41">
        <v>19.864025006423251</v>
      </c>
      <c r="V41">
        <v>100.934</v>
      </c>
      <c r="W41">
        <v>-238.43062238254629</v>
      </c>
      <c r="X41">
        <v>62.796812000000003</v>
      </c>
      <c r="Y41">
        <v>92.049897900000005</v>
      </c>
      <c r="Z41">
        <v>177.97</v>
      </c>
      <c r="AA41">
        <v>235.04736500000001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P41" s="27">
        <f>SUM(AB41:AN41)+Q41</f>
        <v>1.2139370538699397</v>
      </c>
    </row>
    <row r="42" spans="1:42">
      <c r="A42">
        <v>919.79353225806619</v>
      </c>
      <c r="B42">
        <v>39</v>
      </c>
      <c r="C42">
        <v>10</v>
      </c>
      <c r="D42">
        <v>1</v>
      </c>
      <c r="E42">
        <v>29</v>
      </c>
      <c r="F42">
        <v>5</v>
      </c>
      <c r="G42">
        <v>0.3</v>
      </c>
      <c r="H42">
        <v>29</v>
      </c>
      <c r="I42">
        <v>14</v>
      </c>
      <c r="J42">
        <v>1.4</v>
      </c>
      <c r="K42">
        <v>509011585.28076601</v>
      </c>
      <c r="L42">
        <v>54471300</v>
      </c>
      <c r="M42">
        <v>79685930.654198974</v>
      </c>
      <c r="N42">
        <v>72571900</v>
      </c>
      <c r="O42">
        <v>15891884</v>
      </c>
      <c r="P42">
        <v>221.98347200000001</v>
      </c>
      <c r="Q42">
        <v>1.196678754923338</v>
      </c>
      <c r="R42">
        <v>43.6229625</v>
      </c>
      <c r="S42">
        <v>780.90075000000002</v>
      </c>
      <c r="T42">
        <v>4.0495784399999997E-9</v>
      </c>
      <c r="U42">
        <v>19.77801298203044</v>
      </c>
      <c r="V42">
        <v>80.72</v>
      </c>
      <c r="W42">
        <v>-137.1403383758981</v>
      </c>
      <c r="X42">
        <v>63.099656899999999</v>
      </c>
      <c r="Y42">
        <v>94.865764600000006</v>
      </c>
      <c r="Z42">
        <v>180.98100000000002</v>
      </c>
      <c r="AA42">
        <v>230.896998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P42" s="27">
        <f>SUM(AB42:AN42)+Q42</f>
        <v>1.196678754923338</v>
      </c>
    </row>
    <row r="43" spans="1:42">
      <c r="A43">
        <v>910</v>
      </c>
      <c r="B43">
        <v>27</v>
      </c>
      <c r="C43">
        <v>10</v>
      </c>
      <c r="D43">
        <v>15</v>
      </c>
      <c r="E43">
        <v>24</v>
      </c>
      <c r="F43">
        <v>5</v>
      </c>
      <c r="G43">
        <v>1.2</v>
      </c>
      <c r="H43">
        <v>29</v>
      </c>
      <c r="I43">
        <v>14</v>
      </c>
      <c r="J43">
        <v>0.3</v>
      </c>
      <c r="K43">
        <v>510974118.68063438</v>
      </c>
      <c r="L43">
        <v>54482200</v>
      </c>
      <c r="M43">
        <v>79681753.86085628</v>
      </c>
      <c r="N43">
        <v>71460200</v>
      </c>
      <c r="O43">
        <v>15898704.640000001</v>
      </c>
      <c r="P43">
        <v>223.65544499999999</v>
      </c>
      <c r="Q43">
        <v>1.2158466315631493</v>
      </c>
      <c r="R43">
        <v>43.641953800000003</v>
      </c>
      <c r="S43">
        <v>780.48334999999997</v>
      </c>
      <c r="T43">
        <v>4.91624051E-10</v>
      </c>
      <c r="U43">
        <v>19.365711224388143</v>
      </c>
      <c r="V43">
        <v>100.934</v>
      </c>
      <c r="W43">
        <v>-236.72834442197359</v>
      </c>
      <c r="X43">
        <v>62.810730300000003</v>
      </c>
      <c r="Y43">
        <v>92.399537800000004</v>
      </c>
      <c r="Z43">
        <v>203.285</v>
      </c>
      <c r="AA43">
        <v>235.54233199999999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P43" s="27">
        <f>SUM(AB43:AN43)+Q43</f>
        <v>1.2158466315631493</v>
      </c>
    </row>
    <row r="44" spans="1:42">
      <c r="A44">
        <v>919.04826850947188</v>
      </c>
      <c r="B44">
        <v>27</v>
      </c>
      <c r="C44">
        <v>19</v>
      </c>
      <c r="D44">
        <v>15</v>
      </c>
      <c r="E44">
        <v>19</v>
      </c>
      <c r="F44">
        <v>5</v>
      </c>
      <c r="G44">
        <v>1.2</v>
      </c>
      <c r="H44">
        <v>10</v>
      </c>
      <c r="I44">
        <v>7</v>
      </c>
      <c r="J44">
        <v>0.3</v>
      </c>
      <c r="K44">
        <v>510554440.28688955</v>
      </c>
      <c r="L44">
        <v>54466300</v>
      </c>
      <c r="M44">
        <v>79700048.216765493</v>
      </c>
      <c r="N44">
        <v>71830900</v>
      </c>
      <c r="O44">
        <v>15903458</v>
      </c>
      <c r="P44">
        <v>224.33767499999999</v>
      </c>
      <c r="Q44">
        <v>1.2032719630051425</v>
      </c>
      <c r="R44">
        <v>43.640949300000003</v>
      </c>
      <c r="S44">
        <v>780.31746700000008</v>
      </c>
      <c r="T44">
        <v>5.2623410999999996E-10</v>
      </c>
      <c r="U44">
        <v>19.390473459392783</v>
      </c>
      <c r="V44">
        <v>91.850000000000009</v>
      </c>
      <c r="W44">
        <v>-237.41597199683977</v>
      </c>
      <c r="X44">
        <v>62.787472100000002</v>
      </c>
      <c r="Y44">
        <v>92.413351800000001</v>
      </c>
      <c r="Z44">
        <v>180.98100000000002</v>
      </c>
      <c r="AA44">
        <v>236.98714699999999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 s="27">
        <f>SUM(AB44:AN44)+Q44</f>
        <v>1.2032719630051425</v>
      </c>
    </row>
    <row r="45" spans="1:42">
      <c r="A45">
        <v>910</v>
      </c>
      <c r="B45">
        <v>39</v>
      </c>
      <c r="C45">
        <v>10</v>
      </c>
      <c r="D45">
        <v>15</v>
      </c>
      <c r="E45">
        <v>16</v>
      </c>
      <c r="F45">
        <v>14</v>
      </c>
      <c r="G45">
        <v>0.3</v>
      </c>
      <c r="H45">
        <v>15</v>
      </c>
      <c r="I45">
        <v>7</v>
      </c>
      <c r="J45">
        <v>1.4</v>
      </c>
      <c r="K45">
        <v>510944252.70230085</v>
      </c>
      <c r="L45">
        <v>54455800</v>
      </c>
      <c r="M45">
        <v>79672845.073307067</v>
      </c>
      <c r="N45">
        <v>68035600</v>
      </c>
      <c r="O45">
        <v>15896696.4</v>
      </c>
      <c r="P45">
        <v>227.38279800000001</v>
      </c>
      <c r="Q45">
        <v>1.2617984269768183</v>
      </c>
      <c r="R45">
        <v>43.337890100000003</v>
      </c>
      <c r="S45">
        <v>782.31831999999997</v>
      </c>
      <c r="T45">
        <v>4.2164981900000001E-15</v>
      </c>
      <c r="U45">
        <v>19.023792685740048</v>
      </c>
      <c r="V45">
        <v>100.934</v>
      </c>
      <c r="W45">
        <v>-241.08680580267537</v>
      </c>
      <c r="X45">
        <v>62.869956999999999</v>
      </c>
      <c r="Y45">
        <v>92.102201500000007</v>
      </c>
      <c r="Z45">
        <v>100.934</v>
      </c>
      <c r="AA45">
        <v>226.85747599999999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P45" s="27">
        <f>SUM(AB45:AN45)+Q45</f>
        <v>1.2617984269768183</v>
      </c>
    </row>
    <row r="46" spans="1:42">
      <c r="A46">
        <v>921.86809527154446</v>
      </c>
      <c r="B46">
        <v>27</v>
      </c>
      <c r="C46">
        <v>10</v>
      </c>
      <c r="D46">
        <v>15</v>
      </c>
      <c r="E46">
        <v>29</v>
      </c>
      <c r="F46">
        <v>14</v>
      </c>
      <c r="G46">
        <v>0.3</v>
      </c>
      <c r="H46">
        <v>10</v>
      </c>
      <c r="I46">
        <v>7</v>
      </c>
      <c r="J46">
        <v>1.4</v>
      </c>
      <c r="K46">
        <v>510273351.95648503</v>
      </c>
      <c r="L46">
        <v>54472700</v>
      </c>
      <c r="M46">
        <v>79688527.445821077</v>
      </c>
      <c r="N46">
        <v>71919900</v>
      </c>
      <c r="O46">
        <v>15899974.720000001</v>
      </c>
      <c r="P46">
        <v>225.90777800000001</v>
      </c>
      <c r="Q46">
        <v>1.1924502742192047</v>
      </c>
      <c r="R46">
        <v>43.647943300000001</v>
      </c>
      <c r="S46">
        <v>779.79113300000006</v>
      </c>
      <c r="T46">
        <v>3.1929730099999999E-16</v>
      </c>
      <c r="U46">
        <v>19.587161326378006</v>
      </c>
      <c r="V46">
        <v>100.934</v>
      </c>
      <c r="W46">
        <v>-237.96431851593871</v>
      </c>
      <c r="X46">
        <v>62.8574938</v>
      </c>
      <c r="Y46">
        <v>92.427738099999999</v>
      </c>
      <c r="Z46">
        <v>177.97</v>
      </c>
      <c r="AA46">
        <v>233.632666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P46" s="27">
        <f>SUM(AB46:AN46)+Q46</f>
        <v>1.1924502742192047</v>
      </c>
    </row>
    <row r="47" spans="1:42">
      <c r="A47">
        <v>910</v>
      </c>
      <c r="B47">
        <v>39</v>
      </c>
      <c r="C47">
        <v>10</v>
      </c>
      <c r="D47">
        <v>15</v>
      </c>
      <c r="E47">
        <v>29</v>
      </c>
      <c r="F47">
        <v>5</v>
      </c>
      <c r="G47">
        <v>0.3</v>
      </c>
      <c r="H47">
        <v>16</v>
      </c>
      <c r="I47">
        <v>14</v>
      </c>
      <c r="J47">
        <v>0.3</v>
      </c>
      <c r="K47">
        <v>510849720.23021281</v>
      </c>
      <c r="L47">
        <v>54485100</v>
      </c>
      <c r="M47">
        <v>79683756.000939056</v>
      </c>
      <c r="N47">
        <v>71677500</v>
      </c>
      <c r="O47">
        <v>15899229.279999999</v>
      </c>
      <c r="P47">
        <v>223.90839800000001</v>
      </c>
      <c r="Q47">
        <v>1.2098690300320891</v>
      </c>
      <c r="R47">
        <v>43.668183900000002</v>
      </c>
      <c r="S47">
        <v>780.46597500000007</v>
      </c>
      <c r="T47">
        <v>4.7581881400000001E-9</v>
      </c>
      <c r="U47">
        <v>19.886720652040296</v>
      </c>
      <c r="V47">
        <v>100.934</v>
      </c>
      <c r="W47">
        <v>-235.83734610535993</v>
      </c>
      <c r="X47">
        <v>62.796874199999998</v>
      </c>
      <c r="Y47">
        <v>92.060090400000007</v>
      </c>
      <c r="Z47">
        <v>180.98100000000002</v>
      </c>
      <c r="AA47">
        <v>235.97768600000001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 s="27">
        <f>SUM(AB47:AN47)+Q47</f>
        <v>1.2098690300320891</v>
      </c>
    </row>
    <row r="48" spans="1:42">
      <c r="A48">
        <v>910</v>
      </c>
      <c r="B48">
        <v>39</v>
      </c>
      <c r="C48">
        <v>10</v>
      </c>
      <c r="D48">
        <v>1</v>
      </c>
      <c r="E48">
        <v>29</v>
      </c>
      <c r="F48">
        <v>14</v>
      </c>
      <c r="G48">
        <v>0.3</v>
      </c>
      <c r="H48">
        <v>19</v>
      </c>
      <c r="I48">
        <v>7</v>
      </c>
      <c r="J48">
        <v>0.3</v>
      </c>
      <c r="K48">
        <v>508413386.73128194</v>
      </c>
      <c r="L48">
        <v>54450600</v>
      </c>
      <c r="M48">
        <v>79683155.359140202</v>
      </c>
      <c r="N48">
        <v>72300000</v>
      </c>
      <c r="O48">
        <v>15891801.520000001</v>
      </c>
      <c r="P48">
        <v>220.866682</v>
      </c>
      <c r="Q48">
        <v>1.2059116144247393</v>
      </c>
      <c r="R48">
        <v>43.597535000000001</v>
      </c>
      <c r="S48">
        <v>780.56349599999999</v>
      </c>
      <c r="T48">
        <v>2.0993347400000001E-16</v>
      </c>
      <c r="U48">
        <v>19.597531545589003</v>
      </c>
      <c r="V48">
        <v>80.72</v>
      </c>
      <c r="W48">
        <v>-137.90366964895313</v>
      </c>
      <c r="X48">
        <v>63.046442300000002</v>
      </c>
      <c r="Y48">
        <v>94.834311900000003</v>
      </c>
      <c r="Z48">
        <v>177.97</v>
      </c>
      <c r="AA48">
        <v>235.49681699999999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P48" s="27">
        <f>SUM(AB48:AN48)+Q48</f>
        <v>1.2059116144247393</v>
      </c>
    </row>
    <row r="49" spans="1:42">
      <c r="A49">
        <v>913.98676749849312</v>
      </c>
      <c r="B49">
        <v>39</v>
      </c>
      <c r="C49">
        <v>10</v>
      </c>
      <c r="D49">
        <v>15</v>
      </c>
      <c r="E49">
        <v>10</v>
      </c>
      <c r="F49">
        <v>5</v>
      </c>
      <c r="G49">
        <v>1.2</v>
      </c>
      <c r="H49">
        <v>29</v>
      </c>
      <c r="I49">
        <v>14</v>
      </c>
      <c r="J49">
        <v>1.4</v>
      </c>
      <c r="K49">
        <v>511281659.51602817</v>
      </c>
      <c r="L49">
        <v>54496600</v>
      </c>
      <c r="M49">
        <v>79678739.602814227</v>
      </c>
      <c r="N49">
        <v>71110500</v>
      </c>
      <c r="O49">
        <v>15897621.039999999</v>
      </c>
      <c r="P49">
        <v>225.353443</v>
      </c>
      <c r="Q49">
        <v>1.214744061058979</v>
      </c>
      <c r="R49">
        <v>43.600506600000003</v>
      </c>
      <c r="S49">
        <v>779.80967599999997</v>
      </c>
      <c r="T49">
        <v>7.0917824200000003E-10</v>
      </c>
      <c r="U49">
        <v>19.332238890753874</v>
      </c>
      <c r="V49">
        <v>100.934</v>
      </c>
      <c r="W49">
        <v>-239.1366784777407</v>
      </c>
      <c r="X49">
        <v>62.858629200000003</v>
      </c>
      <c r="Y49">
        <v>92.096739400000004</v>
      </c>
      <c r="Z49">
        <v>144.29</v>
      </c>
      <c r="AA49">
        <v>230.20068800000001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 s="27">
        <f>SUM(AB49:AN49)+Q49</f>
        <v>1.214744061058979</v>
      </c>
    </row>
    <row r="50" spans="1:42">
      <c r="A50">
        <v>923.39974930698259</v>
      </c>
      <c r="B50">
        <v>39</v>
      </c>
      <c r="C50">
        <v>19</v>
      </c>
      <c r="D50">
        <v>15</v>
      </c>
      <c r="E50">
        <v>29</v>
      </c>
      <c r="F50">
        <v>14</v>
      </c>
      <c r="G50">
        <v>1.2</v>
      </c>
      <c r="H50">
        <v>29</v>
      </c>
      <c r="I50">
        <v>14</v>
      </c>
      <c r="J50">
        <v>0.3</v>
      </c>
      <c r="K50">
        <v>511487135.64906943</v>
      </c>
      <c r="L50">
        <v>54534800</v>
      </c>
      <c r="M50">
        <v>79697632.899878606</v>
      </c>
      <c r="N50">
        <v>71813200</v>
      </c>
      <c r="O50">
        <v>15900869.280000001</v>
      </c>
      <c r="P50">
        <v>224.58111600000001</v>
      </c>
      <c r="Q50">
        <v>1.2064812953699882</v>
      </c>
      <c r="R50">
        <v>43.644455299999997</v>
      </c>
      <c r="S50">
        <v>780.61694699999998</v>
      </c>
      <c r="T50">
        <v>4.6742080600000004E-10</v>
      </c>
      <c r="U50">
        <v>19.362543987771204</v>
      </c>
      <c r="V50">
        <v>100.934</v>
      </c>
      <c r="W50">
        <v>-237.18348644264722</v>
      </c>
      <c r="X50">
        <v>62.789102100000001</v>
      </c>
      <c r="Y50">
        <v>92.048567399999996</v>
      </c>
      <c r="Z50">
        <v>203.285</v>
      </c>
      <c r="AA50">
        <v>235.51070899999999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 s="27">
        <f>SUM(AB50:AN50)+Q50</f>
        <v>1.2064812953699882</v>
      </c>
    </row>
    <row r="51" spans="1:42">
      <c r="A51">
        <v>914.4582337290617</v>
      </c>
      <c r="B51">
        <v>27</v>
      </c>
      <c r="C51">
        <v>19</v>
      </c>
      <c r="D51">
        <v>1</v>
      </c>
      <c r="E51">
        <v>10</v>
      </c>
      <c r="F51">
        <v>5</v>
      </c>
      <c r="G51">
        <v>0.3</v>
      </c>
      <c r="H51">
        <v>16</v>
      </c>
      <c r="I51">
        <v>14</v>
      </c>
      <c r="J51">
        <v>1.4</v>
      </c>
      <c r="K51">
        <v>507941801.80719423</v>
      </c>
      <c r="L51">
        <v>54375200</v>
      </c>
      <c r="M51">
        <v>79678738.607245341</v>
      </c>
      <c r="N51">
        <v>71599900</v>
      </c>
      <c r="O51">
        <v>15889548.479999999</v>
      </c>
      <c r="P51">
        <v>219.71434500000001</v>
      </c>
      <c r="Q51">
        <v>1.2233302187656114</v>
      </c>
      <c r="R51">
        <v>43.512135700000002</v>
      </c>
      <c r="S51">
        <v>780.23506600000007</v>
      </c>
      <c r="T51">
        <v>7.3404575900000003E-9</v>
      </c>
      <c r="U51">
        <v>19.78151837855205</v>
      </c>
      <c r="V51">
        <v>68.709999999999994</v>
      </c>
      <c r="W51">
        <v>-173.26804446926263</v>
      </c>
      <c r="X51">
        <v>63.1569389</v>
      </c>
      <c r="Y51">
        <v>95.127232899999996</v>
      </c>
      <c r="Z51">
        <v>144.29</v>
      </c>
      <c r="AA51">
        <v>229.102214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P51" s="27">
        <f>SUM(AB51:AN51)+Q51</f>
        <v>1.2233302187656114</v>
      </c>
    </row>
    <row r="52" spans="1:42">
      <c r="A52">
        <v>910</v>
      </c>
      <c r="B52">
        <v>39</v>
      </c>
      <c r="C52">
        <v>10</v>
      </c>
      <c r="D52">
        <v>1</v>
      </c>
      <c r="E52">
        <v>10</v>
      </c>
      <c r="F52">
        <v>5</v>
      </c>
      <c r="G52">
        <v>1.2</v>
      </c>
      <c r="H52">
        <v>10</v>
      </c>
      <c r="I52">
        <v>7</v>
      </c>
      <c r="J52">
        <v>1.4</v>
      </c>
      <c r="K52">
        <v>508281591.60085523</v>
      </c>
      <c r="L52">
        <v>54404600</v>
      </c>
      <c r="M52">
        <v>79674145.775094792</v>
      </c>
      <c r="N52">
        <v>71829100</v>
      </c>
      <c r="O52">
        <v>15889602.16</v>
      </c>
      <c r="P52">
        <v>221.811992</v>
      </c>
      <c r="Q52">
        <v>1.208824997053453</v>
      </c>
      <c r="R52">
        <v>43.551932700000002</v>
      </c>
      <c r="S52">
        <v>780.47042299999998</v>
      </c>
      <c r="T52">
        <v>6.3544360600000001E-10</v>
      </c>
      <c r="U52">
        <v>19.293262968115016</v>
      </c>
      <c r="V52">
        <v>80.72</v>
      </c>
      <c r="W52">
        <v>-139.96139626119782</v>
      </c>
      <c r="X52">
        <v>63.130215399999997</v>
      </c>
      <c r="Y52">
        <v>94.882951700000007</v>
      </c>
      <c r="Z52">
        <v>144.29</v>
      </c>
      <c r="AA52">
        <v>232.28158300000001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P52" s="27">
        <f>SUM(AB52:AN52)+Q52</f>
        <v>1.208824997053453</v>
      </c>
    </row>
    <row r="53" spans="1:42">
      <c r="A53">
        <v>915.01572712059772</v>
      </c>
      <c r="B53">
        <v>27</v>
      </c>
      <c r="C53">
        <v>19</v>
      </c>
      <c r="D53">
        <v>1</v>
      </c>
      <c r="E53">
        <v>29</v>
      </c>
      <c r="F53">
        <v>14</v>
      </c>
      <c r="G53">
        <v>0.3</v>
      </c>
      <c r="H53">
        <v>10</v>
      </c>
      <c r="I53">
        <v>7</v>
      </c>
      <c r="J53">
        <v>1.4</v>
      </c>
      <c r="K53">
        <v>508104470.33061433</v>
      </c>
      <c r="L53">
        <v>54394200</v>
      </c>
      <c r="M53">
        <v>79680138.145824015</v>
      </c>
      <c r="N53">
        <v>73210700</v>
      </c>
      <c r="O53">
        <v>15890705.68</v>
      </c>
      <c r="P53">
        <v>218.314842</v>
      </c>
      <c r="Q53">
        <v>1.1994918733329414</v>
      </c>
      <c r="R53">
        <v>43.678631899999999</v>
      </c>
      <c r="S53">
        <v>779.83063700000002</v>
      </c>
      <c r="T53">
        <v>5.45471194E-9</v>
      </c>
      <c r="U53">
        <v>20.185394785183988</v>
      </c>
      <c r="V53">
        <v>68.709999999999994</v>
      </c>
      <c r="W53">
        <v>-168.05000628895553</v>
      </c>
      <c r="X53">
        <v>63.122750799999999</v>
      </c>
      <c r="Y53">
        <v>95.107200300000002</v>
      </c>
      <c r="Z53">
        <v>177.97</v>
      </c>
      <c r="AA53">
        <v>232.23944900000001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 s="27">
        <f>SUM(AB53:AN53)+Q53</f>
        <v>1.1994918733329414</v>
      </c>
    </row>
    <row r="54" spans="1:42">
      <c r="A54">
        <v>918.45616917988718</v>
      </c>
      <c r="B54">
        <v>39</v>
      </c>
      <c r="C54">
        <v>19</v>
      </c>
      <c r="D54">
        <v>1</v>
      </c>
      <c r="E54">
        <v>10</v>
      </c>
      <c r="F54">
        <v>5</v>
      </c>
      <c r="G54">
        <v>1.2</v>
      </c>
      <c r="H54">
        <v>29</v>
      </c>
      <c r="I54">
        <v>14</v>
      </c>
      <c r="J54">
        <v>1.4</v>
      </c>
      <c r="K54">
        <v>508848965.24955964</v>
      </c>
      <c r="L54">
        <v>54450600</v>
      </c>
      <c r="M54">
        <v>79684032.625614375</v>
      </c>
      <c r="N54">
        <v>72073500</v>
      </c>
      <c r="O54">
        <v>15891476.4</v>
      </c>
      <c r="P54">
        <v>221.69618199999999</v>
      </c>
      <c r="Q54">
        <v>1.2072433431176484</v>
      </c>
      <c r="R54">
        <v>43.5560987</v>
      </c>
      <c r="S54">
        <v>780.4997259999999</v>
      </c>
      <c r="T54">
        <v>6.0833816499999998E-10</v>
      </c>
      <c r="U54">
        <v>19.570460148897332</v>
      </c>
      <c r="V54">
        <v>80.72</v>
      </c>
      <c r="W54">
        <v>-148.65438436849379</v>
      </c>
      <c r="X54">
        <v>63.099077600000001</v>
      </c>
      <c r="Y54">
        <v>94.839442300000002</v>
      </c>
      <c r="Z54">
        <v>144.29</v>
      </c>
      <c r="AA54">
        <v>230.402931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P54" s="27">
        <f>SUM(AB54:AN54)+Q54</f>
        <v>1.2072433431176484</v>
      </c>
    </row>
    <row r="55" spans="1:42">
      <c r="A55">
        <v>910</v>
      </c>
      <c r="B55">
        <v>27</v>
      </c>
      <c r="C55">
        <v>10</v>
      </c>
      <c r="D55">
        <v>6.6123012777282844</v>
      </c>
      <c r="E55">
        <v>16</v>
      </c>
      <c r="F55">
        <v>14</v>
      </c>
      <c r="G55">
        <v>0.3</v>
      </c>
      <c r="H55">
        <v>20</v>
      </c>
      <c r="I55">
        <v>14</v>
      </c>
      <c r="J55">
        <v>0.3</v>
      </c>
      <c r="K55">
        <v>508848210.62614655</v>
      </c>
      <c r="L55">
        <v>54428600</v>
      </c>
      <c r="M55">
        <v>79682054.245853424</v>
      </c>
      <c r="N55">
        <v>71409500</v>
      </c>
      <c r="O55">
        <v>15894579.359999999</v>
      </c>
      <c r="P55">
        <v>224.29466400000001</v>
      </c>
      <c r="Q55">
        <v>1.205890186965513</v>
      </c>
      <c r="R55">
        <v>43.628526200000003</v>
      </c>
      <c r="S55">
        <v>780.52456599999994</v>
      </c>
      <c r="T55">
        <v>5.19151691E-9</v>
      </c>
      <c r="U55">
        <v>19.848022780298354</v>
      </c>
      <c r="V55">
        <v>100.934</v>
      </c>
      <c r="W55">
        <v>-237.86681518648879</v>
      </c>
      <c r="X55">
        <v>62.821813200000001</v>
      </c>
      <c r="Y55">
        <v>92.543040399999995</v>
      </c>
      <c r="Z55">
        <v>177.97</v>
      </c>
      <c r="AA55">
        <v>235.90881300000001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P55" s="27">
        <f>SUM(AB55:AN55)+Q55</f>
        <v>1.205890186965513</v>
      </c>
    </row>
    <row r="56" spans="1:42">
      <c r="A56">
        <v>910</v>
      </c>
      <c r="B56">
        <v>39</v>
      </c>
      <c r="C56">
        <v>19</v>
      </c>
      <c r="D56">
        <v>15</v>
      </c>
      <c r="E56">
        <v>29</v>
      </c>
      <c r="F56">
        <v>5</v>
      </c>
      <c r="G56">
        <v>0.3</v>
      </c>
      <c r="H56">
        <v>29</v>
      </c>
      <c r="I56">
        <v>7</v>
      </c>
      <c r="J56">
        <v>1.4</v>
      </c>
      <c r="K56">
        <v>511254665.29502767</v>
      </c>
      <c r="L56">
        <v>54510600</v>
      </c>
      <c r="M56">
        <v>79674445.86405091</v>
      </c>
      <c r="N56">
        <v>71577000</v>
      </c>
      <c r="O56">
        <v>15896753.440000001</v>
      </c>
      <c r="P56">
        <v>224.64229499999999</v>
      </c>
      <c r="Q56">
        <v>1.2096161243956927</v>
      </c>
      <c r="R56">
        <v>43.6714828</v>
      </c>
      <c r="S56">
        <v>780.256575</v>
      </c>
      <c r="T56">
        <v>4.7334468799999998E-9</v>
      </c>
      <c r="U56">
        <v>19.822190807890387</v>
      </c>
      <c r="V56">
        <v>100.934</v>
      </c>
      <c r="W56">
        <v>-237.37785511055023</v>
      </c>
      <c r="X56">
        <v>62.863626500000002</v>
      </c>
      <c r="Y56">
        <v>92.088075399999994</v>
      </c>
      <c r="Z56">
        <v>180.98100000000002</v>
      </c>
      <c r="AA56">
        <v>231.23621900000001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 s="27">
        <f>SUM(AB56:AN56)+Q56</f>
        <v>1.2096161243956927</v>
      </c>
    </row>
    <row r="57" spans="1:42">
      <c r="A57">
        <v>922.03158229143548</v>
      </c>
      <c r="B57">
        <v>27</v>
      </c>
      <c r="C57">
        <v>10</v>
      </c>
      <c r="D57">
        <v>1</v>
      </c>
      <c r="E57">
        <v>10</v>
      </c>
      <c r="F57">
        <v>5</v>
      </c>
      <c r="G57">
        <v>1.2</v>
      </c>
      <c r="H57">
        <v>10</v>
      </c>
      <c r="I57">
        <v>7</v>
      </c>
      <c r="J57">
        <v>1.4</v>
      </c>
      <c r="K57">
        <v>507713814.44535458</v>
      </c>
      <c r="L57">
        <v>54384400</v>
      </c>
      <c r="M57">
        <v>79688327.005560219</v>
      </c>
      <c r="N57">
        <v>72372600</v>
      </c>
      <c r="O57">
        <v>15892674.32</v>
      </c>
      <c r="P57">
        <v>221.686598</v>
      </c>
      <c r="Q57">
        <v>1.19654539689378</v>
      </c>
      <c r="R57">
        <v>43.574755199999998</v>
      </c>
      <c r="S57">
        <v>780.116894</v>
      </c>
      <c r="T57">
        <v>5.8794802899999999E-10</v>
      </c>
      <c r="U57">
        <v>19.348596993058077</v>
      </c>
      <c r="V57">
        <v>80.72</v>
      </c>
      <c r="W57">
        <v>-149.38065150342277</v>
      </c>
      <c r="X57">
        <v>63.103138100000002</v>
      </c>
      <c r="Y57">
        <v>94.939805399999997</v>
      </c>
      <c r="Z57">
        <v>144.29</v>
      </c>
      <c r="AA57">
        <v>231.993269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P57" s="27">
        <f>SUM(AB57:AN57)+Q57</f>
        <v>1.19654539689378</v>
      </c>
    </row>
    <row r="58" spans="1:42">
      <c r="A58">
        <v>910</v>
      </c>
      <c r="B58">
        <v>27</v>
      </c>
      <c r="C58">
        <v>19</v>
      </c>
      <c r="D58">
        <v>1</v>
      </c>
      <c r="E58">
        <v>16</v>
      </c>
      <c r="F58">
        <v>14</v>
      </c>
      <c r="G58">
        <v>0.3</v>
      </c>
      <c r="H58">
        <v>29</v>
      </c>
      <c r="I58">
        <v>7</v>
      </c>
      <c r="J58">
        <v>0.3</v>
      </c>
      <c r="K58">
        <v>508086400.2242133</v>
      </c>
      <c r="L58">
        <v>54412700</v>
      </c>
      <c r="M58">
        <v>79680753.020395637</v>
      </c>
      <c r="N58">
        <v>72603500</v>
      </c>
      <c r="O58">
        <v>15891233.92</v>
      </c>
      <c r="P58">
        <v>217.53875300000001</v>
      </c>
      <c r="Q58">
        <v>1.2164116095603565</v>
      </c>
      <c r="R58">
        <v>43.624508400000003</v>
      </c>
      <c r="S58">
        <v>780.13581399999998</v>
      </c>
      <c r="T58">
        <v>5.9862760000000001E-9</v>
      </c>
      <c r="U58">
        <v>20.175437061979508</v>
      </c>
      <c r="V58">
        <v>68.709999999999994</v>
      </c>
      <c r="W58">
        <v>-170.53413210885674</v>
      </c>
      <c r="X58">
        <v>63.0642456</v>
      </c>
      <c r="Y58">
        <v>95.072895700000004</v>
      </c>
      <c r="Z58">
        <v>165.7</v>
      </c>
      <c r="AA58">
        <v>233.12456299999999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P58" s="27">
        <f>SUM(AB58:AN58)+Q58</f>
        <v>1.2164116095603565</v>
      </c>
    </row>
    <row r="59" spans="1:42">
      <c r="A59">
        <v>910</v>
      </c>
      <c r="B59">
        <v>27</v>
      </c>
      <c r="C59">
        <v>10</v>
      </c>
      <c r="D59">
        <v>1</v>
      </c>
      <c r="E59">
        <v>29</v>
      </c>
      <c r="F59">
        <v>5</v>
      </c>
      <c r="G59">
        <v>0.3</v>
      </c>
      <c r="H59">
        <v>29</v>
      </c>
      <c r="I59">
        <v>7</v>
      </c>
      <c r="J59">
        <v>1.4</v>
      </c>
      <c r="K59">
        <v>508355614.14835382</v>
      </c>
      <c r="L59">
        <v>54423300</v>
      </c>
      <c r="M59">
        <v>79674345.845150292</v>
      </c>
      <c r="N59">
        <v>72554300</v>
      </c>
      <c r="O59">
        <v>15889466.08</v>
      </c>
      <c r="P59">
        <v>220.268328</v>
      </c>
      <c r="Q59">
        <v>1.2033659216970465</v>
      </c>
      <c r="R59">
        <v>43.648818499999997</v>
      </c>
      <c r="S59">
        <v>780.44689599999992</v>
      </c>
      <c r="T59">
        <v>3.7487258700000002E-9</v>
      </c>
      <c r="U59">
        <v>19.819225552792201</v>
      </c>
      <c r="V59">
        <v>80.72</v>
      </c>
      <c r="W59">
        <v>-146.34746209763091</v>
      </c>
      <c r="X59">
        <v>63.106802799999997</v>
      </c>
      <c r="Y59">
        <v>94.941374300000007</v>
      </c>
      <c r="Z59">
        <v>180.98100000000002</v>
      </c>
      <c r="AA59">
        <v>230.84571399999999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P59" s="27">
        <f>SUM(AB59:AN59)+Q59</f>
        <v>1.2033659216970465</v>
      </c>
    </row>
    <row r="60" spans="1:42">
      <c r="A60">
        <v>945.45960885599902</v>
      </c>
      <c r="B60">
        <v>27</v>
      </c>
      <c r="C60">
        <v>19</v>
      </c>
      <c r="D60">
        <v>15</v>
      </c>
      <c r="E60">
        <v>29</v>
      </c>
      <c r="F60">
        <v>14</v>
      </c>
      <c r="G60">
        <v>1.2</v>
      </c>
      <c r="H60">
        <v>29</v>
      </c>
      <c r="I60">
        <v>7</v>
      </c>
      <c r="J60">
        <v>1.4</v>
      </c>
      <c r="K60">
        <v>511669440.17106706</v>
      </c>
      <c r="L60">
        <v>54528800</v>
      </c>
      <c r="M60">
        <v>79714392.94933863</v>
      </c>
      <c r="N60">
        <v>72148900</v>
      </c>
      <c r="O60">
        <v>15898454.959999999</v>
      </c>
      <c r="P60">
        <v>225.98952800000001</v>
      </c>
      <c r="Q60">
        <v>1.1928353333704906</v>
      </c>
      <c r="R60">
        <v>43.642760600000003</v>
      </c>
      <c r="S60">
        <v>781.19692699999996</v>
      </c>
      <c r="T60">
        <v>1.76040888E-12</v>
      </c>
      <c r="U60">
        <v>19.15842344911033</v>
      </c>
      <c r="V60">
        <v>91.850000000000009</v>
      </c>
      <c r="W60">
        <v>-239.90806439557497</v>
      </c>
      <c r="X60">
        <v>62.813439299999999</v>
      </c>
      <c r="Y60">
        <v>92.433291299999993</v>
      </c>
      <c r="Z60">
        <v>203.285</v>
      </c>
      <c r="AA60">
        <v>230.879975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P60" s="27">
        <f>SUM(AB60:AN60)+Q60</f>
        <v>1.1928353333704906</v>
      </c>
    </row>
    <row r="61" spans="1:42">
      <c r="A61">
        <v>918.70006349131347</v>
      </c>
      <c r="B61">
        <v>39</v>
      </c>
      <c r="C61">
        <v>19</v>
      </c>
      <c r="D61">
        <v>1</v>
      </c>
      <c r="E61">
        <v>23</v>
      </c>
      <c r="F61">
        <v>14</v>
      </c>
      <c r="G61">
        <v>1.2</v>
      </c>
      <c r="H61">
        <v>29</v>
      </c>
      <c r="I61">
        <v>14</v>
      </c>
      <c r="J61">
        <v>1.4</v>
      </c>
      <c r="K61">
        <v>509125558.44239473</v>
      </c>
      <c r="L61">
        <v>54468700</v>
      </c>
      <c r="M61">
        <v>79684432.289306849</v>
      </c>
      <c r="N61">
        <v>72313000</v>
      </c>
      <c r="O61">
        <v>15890284.32</v>
      </c>
      <c r="P61">
        <v>220.473929</v>
      </c>
      <c r="Q61">
        <v>1.2103547698812678</v>
      </c>
      <c r="R61">
        <v>43.599403600000002</v>
      </c>
      <c r="S61">
        <v>781.54278799999997</v>
      </c>
      <c r="T61">
        <v>1.3936230100000001E-18</v>
      </c>
      <c r="U61">
        <v>19.42254937403326</v>
      </c>
      <c r="V61">
        <v>80.72</v>
      </c>
      <c r="W61">
        <v>-148.19972466497657</v>
      </c>
      <c r="X61">
        <v>63.098983400000002</v>
      </c>
      <c r="Y61">
        <v>94.839374300000003</v>
      </c>
      <c r="Z61">
        <v>177.97</v>
      </c>
      <c r="AA61">
        <v>230.16213400000001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P61" s="27">
        <f>SUM(AB61:AN61)+Q61</f>
        <v>1.2103547698812678</v>
      </c>
    </row>
    <row r="62" spans="1:42">
      <c r="A62">
        <v>937.88686953324952</v>
      </c>
      <c r="B62">
        <v>39</v>
      </c>
      <c r="C62">
        <v>19</v>
      </c>
      <c r="D62">
        <v>15</v>
      </c>
      <c r="E62">
        <v>29</v>
      </c>
      <c r="F62">
        <v>5</v>
      </c>
      <c r="G62">
        <v>1.2</v>
      </c>
      <c r="H62">
        <v>29</v>
      </c>
      <c r="I62">
        <v>14</v>
      </c>
      <c r="J62">
        <v>1.4</v>
      </c>
      <c r="K62">
        <v>511729087.72945279</v>
      </c>
      <c r="L62">
        <v>54542300</v>
      </c>
      <c r="M62">
        <v>79704705.852905735</v>
      </c>
      <c r="N62">
        <v>72008800</v>
      </c>
      <c r="O62">
        <v>15894966.959999999</v>
      </c>
      <c r="P62">
        <v>226.06846899999999</v>
      </c>
      <c r="Q62">
        <v>1.19559720080945</v>
      </c>
      <c r="R62">
        <v>43.646702900000001</v>
      </c>
      <c r="S62">
        <v>780.47931800000003</v>
      </c>
      <c r="T62">
        <v>4.6331161499999998E-10</v>
      </c>
      <c r="U62">
        <v>19.316913047372218</v>
      </c>
      <c r="V62">
        <v>100.934</v>
      </c>
      <c r="W62">
        <v>-238.25724108681192</v>
      </c>
      <c r="X62">
        <v>62.825171099999999</v>
      </c>
      <c r="Y62">
        <v>92.073065900000003</v>
      </c>
      <c r="Z62">
        <v>203.285</v>
      </c>
      <c r="AA62">
        <v>230.534841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P62" s="27">
        <f>SUM(AB62:AN62)+Q62</f>
        <v>1.19559720080945</v>
      </c>
    </row>
    <row r="63" spans="1:42">
      <c r="A63">
        <v>920.97943229991733</v>
      </c>
      <c r="B63">
        <v>27</v>
      </c>
      <c r="C63">
        <v>19</v>
      </c>
      <c r="D63">
        <v>15</v>
      </c>
      <c r="E63">
        <v>10</v>
      </c>
      <c r="F63">
        <v>5</v>
      </c>
      <c r="G63">
        <v>1.2</v>
      </c>
      <c r="H63">
        <v>19</v>
      </c>
      <c r="I63">
        <v>14</v>
      </c>
      <c r="J63">
        <v>0.3</v>
      </c>
      <c r="K63">
        <v>510589499.02059472</v>
      </c>
      <c r="L63">
        <v>54461300</v>
      </c>
      <c r="M63">
        <v>79695037.334536046</v>
      </c>
      <c r="N63">
        <v>71513000</v>
      </c>
      <c r="O63">
        <v>15901893.040000001</v>
      </c>
      <c r="P63">
        <v>225.415314</v>
      </c>
      <c r="Q63">
        <v>1.2037526498638274</v>
      </c>
      <c r="R63">
        <v>43.5980931</v>
      </c>
      <c r="S63">
        <v>779.92538100000002</v>
      </c>
      <c r="T63">
        <v>7.0849171199999996E-10</v>
      </c>
      <c r="U63">
        <v>19.370372786101846</v>
      </c>
      <c r="V63">
        <v>91.850000000000009</v>
      </c>
      <c r="W63">
        <v>-239.51769043653536</v>
      </c>
      <c r="X63">
        <v>62.811734100000002</v>
      </c>
      <c r="Y63">
        <v>92.427083699999997</v>
      </c>
      <c r="Z63">
        <v>144.29</v>
      </c>
      <c r="AA63">
        <v>236.18876900000001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P63" s="27">
        <f>SUM(AB63:AN63)+Q63</f>
        <v>1.2037526498638274</v>
      </c>
    </row>
    <row r="64" spans="1:42">
      <c r="A64">
        <v>919.23107581298621</v>
      </c>
      <c r="B64">
        <v>27</v>
      </c>
      <c r="C64">
        <v>10</v>
      </c>
      <c r="D64">
        <v>15</v>
      </c>
      <c r="E64">
        <v>29</v>
      </c>
      <c r="F64">
        <v>14</v>
      </c>
      <c r="G64">
        <v>0.3</v>
      </c>
      <c r="H64">
        <v>29</v>
      </c>
      <c r="I64">
        <v>7</v>
      </c>
      <c r="J64">
        <v>1.4</v>
      </c>
      <c r="K64">
        <v>510981069.07950294</v>
      </c>
      <c r="L64">
        <v>54486800</v>
      </c>
      <c r="M64">
        <v>79685231.570262045</v>
      </c>
      <c r="N64">
        <v>71828000</v>
      </c>
      <c r="O64">
        <v>15897783.439999999</v>
      </c>
      <c r="P64">
        <v>225.288813</v>
      </c>
      <c r="Q64">
        <v>1.1999359652931472</v>
      </c>
      <c r="R64">
        <v>43.669266899999997</v>
      </c>
      <c r="S64">
        <v>780.29499799999996</v>
      </c>
      <c r="T64">
        <v>4.7148451200000003E-9</v>
      </c>
      <c r="U64">
        <v>19.826432326568117</v>
      </c>
      <c r="V64">
        <v>100.934</v>
      </c>
      <c r="W64">
        <v>-237.1885246154778</v>
      </c>
      <c r="X64">
        <v>62.8512111</v>
      </c>
      <c r="Y64">
        <v>92.423667899999998</v>
      </c>
      <c r="Z64">
        <v>180.98100000000002</v>
      </c>
      <c r="AA64">
        <v>231.23495199999999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 s="27">
        <f>SUM(AB64:AN64)+Q64</f>
        <v>1.1999359652931472</v>
      </c>
    </row>
    <row r="65" spans="1:42">
      <c r="A65">
        <v>924.18599713244828</v>
      </c>
      <c r="B65">
        <v>39</v>
      </c>
      <c r="C65">
        <v>19</v>
      </c>
      <c r="D65">
        <v>1</v>
      </c>
      <c r="E65">
        <v>10</v>
      </c>
      <c r="F65">
        <v>5</v>
      </c>
      <c r="G65">
        <v>1.2</v>
      </c>
      <c r="H65">
        <v>10</v>
      </c>
      <c r="I65">
        <v>7</v>
      </c>
      <c r="J65">
        <v>0.3</v>
      </c>
      <c r="K65">
        <v>508213071.71278143</v>
      </c>
      <c r="L65">
        <v>54436800</v>
      </c>
      <c r="M65">
        <v>79703837.51676254</v>
      </c>
      <c r="N65">
        <v>72487200</v>
      </c>
      <c r="O65">
        <v>15896998.24</v>
      </c>
      <c r="P65">
        <v>221.70977999999999</v>
      </c>
      <c r="Q65">
        <v>1.1967105364400739</v>
      </c>
      <c r="R65">
        <v>43.554652500000003</v>
      </c>
      <c r="S65">
        <v>780.60763700000007</v>
      </c>
      <c r="T65">
        <v>6.0831805700000003E-10</v>
      </c>
      <c r="U65">
        <v>19.60826934239606</v>
      </c>
      <c r="V65">
        <v>80.72</v>
      </c>
      <c r="W65">
        <v>-148.55058969314518</v>
      </c>
      <c r="X65">
        <v>63.049258899999998</v>
      </c>
      <c r="Y65">
        <v>94.811100499999995</v>
      </c>
      <c r="Z65">
        <v>144.29</v>
      </c>
      <c r="AA65">
        <v>235.45364000000001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 s="27">
        <f>SUM(AB65:AN65)+Q65</f>
        <v>1.1967105364400739</v>
      </c>
    </row>
    <row r="66" spans="1:42">
      <c r="A66">
        <v>920.461044016806</v>
      </c>
      <c r="B66">
        <v>27</v>
      </c>
      <c r="C66">
        <v>10</v>
      </c>
      <c r="D66">
        <v>1</v>
      </c>
      <c r="E66">
        <v>29</v>
      </c>
      <c r="F66">
        <v>14</v>
      </c>
      <c r="G66">
        <v>0.3</v>
      </c>
      <c r="H66">
        <v>20</v>
      </c>
      <c r="I66">
        <v>14</v>
      </c>
      <c r="J66">
        <v>1.4</v>
      </c>
      <c r="K66">
        <v>508375916.93230659</v>
      </c>
      <c r="L66">
        <v>54418900</v>
      </c>
      <c r="M66">
        <v>79686729.607269734</v>
      </c>
      <c r="N66">
        <v>72853800</v>
      </c>
      <c r="O66">
        <v>15892085.6</v>
      </c>
      <c r="P66">
        <v>221.03092899999999</v>
      </c>
      <c r="Q66">
        <v>1.1932070561933978</v>
      </c>
      <c r="R66">
        <v>43.648469900000002</v>
      </c>
      <c r="S66">
        <v>780.46936300000004</v>
      </c>
      <c r="T66">
        <v>3.7380774400000002E-9</v>
      </c>
      <c r="U66">
        <v>19.823152799073736</v>
      </c>
      <c r="V66">
        <v>80.72</v>
      </c>
      <c r="W66">
        <v>-146.41450598386285</v>
      </c>
      <c r="X66">
        <v>63.090002800000001</v>
      </c>
      <c r="Y66">
        <v>94.932156000000006</v>
      </c>
      <c r="Z66">
        <v>180.98100000000002</v>
      </c>
      <c r="AA66">
        <v>231.28963300000001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P66" s="27">
        <f>SUM(AB66:AN66)+Q66</f>
        <v>1.1932070561933978</v>
      </c>
    </row>
    <row r="67" spans="1:42">
      <c r="A67">
        <v>910</v>
      </c>
      <c r="B67">
        <v>39</v>
      </c>
      <c r="C67">
        <v>19</v>
      </c>
      <c r="D67">
        <v>15</v>
      </c>
      <c r="E67">
        <v>10</v>
      </c>
      <c r="F67">
        <v>5</v>
      </c>
      <c r="G67">
        <v>0.3</v>
      </c>
      <c r="H67">
        <v>10</v>
      </c>
      <c r="I67">
        <v>7</v>
      </c>
      <c r="J67">
        <v>1.4</v>
      </c>
      <c r="K67">
        <v>510560027.56358361</v>
      </c>
      <c r="L67">
        <v>54456900</v>
      </c>
      <c r="M67">
        <v>79673745.565750033</v>
      </c>
      <c r="N67">
        <v>70263000</v>
      </c>
      <c r="O67">
        <v>15896928.48</v>
      </c>
      <c r="P67">
        <v>225.870058</v>
      </c>
      <c r="Q67">
        <v>1.2255842130096082</v>
      </c>
      <c r="R67">
        <v>43.526136000000001</v>
      </c>
      <c r="S67">
        <v>780.57540900000004</v>
      </c>
      <c r="T67">
        <v>6.8424853900000004E-9</v>
      </c>
      <c r="U67">
        <v>19.556544940890685</v>
      </c>
      <c r="V67">
        <v>100.934</v>
      </c>
      <c r="W67">
        <v>-242.92217898988321</v>
      </c>
      <c r="X67">
        <v>62.885238299999997</v>
      </c>
      <c r="Y67">
        <v>92.100679700000001</v>
      </c>
      <c r="Z67">
        <v>144.29</v>
      </c>
      <c r="AA67">
        <v>230.660178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P67" s="27">
        <f>SUM(AB67:AN67)+Q67</f>
        <v>1.2255842130096082</v>
      </c>
    </row>
    <row r="68" spans="1:42">
      <c r="A68">
        <v>920.58632224520795</v>
      </c>
      <c r="B68">
        <v>27</v>
      </c>
      <c r="C68">
        <v>19</v>
      </c>
      <c r="D68">
        <v>1</v>
      </c>
      <c r="E68">
        <v>29</v>
      </c>
      <c r="F68">
        <v>5</v>
      </c>
      <c r="G68">
        <v>0.3</v>
      </c>
      <c r="H68">
        <v>29</v>
      </c>
      <c r="I68">
        <v>14</v>
      </c>
      <c r="J68">
        <v>1.4</v>
      </c>
      <c r="K68">
        <v>508579206.46469849</v>
      </c>
      <c r="L68">
        <v>54436700</v>
      </c>
      <c r="M68">
        <v>79686729.346153751</v>
      </c>
      <c r="N68">
        <v>73258400</v>
      </c>
      <c r="O68">
        <v>15890829.92</v>
      </c>
      <c r="P68">
        <v>218.58911800000001</v>
      </c>
      <c r="Q68">
        <v>1.1993561422087236</v>
      </c>
      <c r="R68">
        <v>43.6778975</v>
      </c>
      <c r="S68">
        <v>779.87374799999998</v>
      </c>
      <c r="T68">
        <v>5.45383902E-9</v>
      </c>
      <c r="U68">
        <v>20.199389107558474</v>
      </c>
      <c r="V68">
        <v>68.709999999999994</v>
      </c>
      <c r="W68">
        <v>-168.07397027740004</v>
      </c>
      <c r="X68">
        <v>63.100829300000001</v>
      </c>
      <c r="Y68">
        <v>95.094541599999999</v>
      </c>
      <c r="Z68">
        <v>177.97</v>
      </c>
      <c r="AA68">
        <v>230.231976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 s="27">
        <f>SUM(AB68:AN68)+Q68</f>
        <v>1.1993561422087236</v>
      </c>
    </row>
    <row r="69" spans="1:42">
      <c r="A69">
        <v>920.0342911374355</v>
      </c>
      <c r="B69">
        <v>39</v>
      </c>
      <c r="C69">
        <v>10</v>
      </c>
      <c r="D69">
        <v>15</v>
      </c>
      <c r="E69">
        <v>26</v>
      </c>
      <c r="F69">
        <v>14</v>
      </c>
      <c r="G69">
        <v>1.2</v>
      </c>
      <c r="H69">
        <v>16</v>
      </c>
      <c r="I69">
        <v>14</v>
      </c>
      <c r="J69">
        <v>0.3</v>
      </c>
      <c r="K69">
        <v>511311456.37408662</v>
      </c>
      <c r="L69">
        <v>54528500</v>
      </c>
      <c r="M69">
        <v>79708454.591405809</v>
      </c>
      <c r="N69">
        <v>71792400</v>
      </c>
      <c r="O69">
        <v>15906035.279999999</v>
      </c>
      <c r="P69">
        <v>223.581053</v>
      </c>
      <c r="Q69">
        <v>1.2116306782576538</v>
      </c>
      <c r="R69">
        <v>43.637398099999999</v>
      </c>
      <c r="S69">
        <v>781.20902999999998</v>
      </c>
      <c r="T69">
        <v>1.8982809199999999E-18</v>
      </c>
      <c r="U69">
        <v>19.218130829793719</v>
      </c>
      <c r="V69">
        <v>100.934</v>
      </c>
      <c r="W69">
        <v>-237.1809403342686</v>
      </c>
      <c r="X69">
        <v>62.768112100000003</v>
      </c>
      <c r="Y69">
        <v>92.046249700000004</v>
      </c>
      <c r="Z69">
        <v>180.98100000000002</v>
      </c>
      <c r="AA69">
        <v>240.47781499999999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P69" s="27">
        <f>SUM(AB69:AN69)+Q69</f>
        <v>1.2116306782576538</v>
      </c>
    </row>
    <row r="70" spans="1:42">
      <c r="A70">
        <v>919.14787976008711</v>
      </c>
      <c r="B70">
        <v>39</v>
      </c>
      <c r="C70">
        <v>10</v>
      </c>
      <c r="D70">
        <v>9.8649370484178807</v>
      </c>
      <c r="E70">
        <v>29</v>
      </c>
      <c r="F70">
        <v>5</v>
      </c>
      <c r="G70">
        <v>1.2</v>
      </c>
      <c r="H70">
        <v>10</v>
      </c>
      <c r="I70">
        <v>7</v>
      </c>
      <c r="J70">
        <v>0.3</v>
      </c>
      <c r="K70">
        <v>510432830.13305283</v>
      </c>
      <c r="L70">
        <v>54486500</v>
      </c>
      <c r="M70">
        <v>79700047.978864387</v>
      </c>
      <c r="N70">
        <v>71805900</v>
      </c>
      <c r="O70">
        <v>15900806.720000001</v>
      </c>
      <c r="P70">
        <v>224.16043500000001</v>
      </c>
      <c r="Q70">
        <v>1.2047451954994617</v>
      </c>
      <c r="R70">
        <v>43.643243300000002</v>
      </c>
      <c r="S70">
        <v>780.64259900000002</v>
      </c>
      <c r="T70">
        <v>4.6830063799999999E-10</v>
      </c>
      <c r="U70">
        <v>19.368902918263011</v>
      </c>
      <c r="V70">
        <v>100.934</v>
      </c>
      <c r="W70">
        <v>-236.47945110438417</v>
      </c>
      <c r="X70">
        <v>62.789107700000002</v>
      </c>
      <c r="Y70">
        <v>92.152554199999997</v>
      </c>
      <c r="Z70">
        <v>203.285</v>
      </c>
      <c r="AA70">
        <v>236.91565199999999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 s="27">
        <f>SUM(AB70:AN70)+Q70</f>
        <v>1.2047451954994617</v>
      </c>
    </row>
    <row r="71" spans="1:42">
      <c r="A71">
        <v>946.54134685024849</v>
      </c>
      <c r="B71">
        <v>27</v>
      </c>
      <c r="C71">
        <v>19</v>
      </c>
      <c r="D71">
        <v>15</v>
      </c>
      <c r="E71">
        <v>10</v>
      </c>
      <c r="F71">
        <v>8</v>
      </c>
      <c r="G71">
        <v>1.2</v>
      </c>
      <c r="H71">
        <v>29</v>
      </c>
      <c r="I71">
        <v>14</v>
      </c>
      <c r="J71">
        <v>0.3</v>
      </c>
      <c r="K71">
        <v>511382037.70998734</v>
      </c>
      <c r="L71">
        <v>54518300</v>
      </c>
      <c r="M71">
        <v>79720896.903468713</v>
      </c>
      <c r="N71">
        <v>71056400</v>
      </c>
      <c r="O71">
        <v>15901148.48</v>
      </c>
      <c r="P71">
        <v>227.97704100000001</v>
      </c>
      <c r="Q71">
        <v>1.2025312050417463</v>
      </c>
      <c r="R71">
        <v>43.496440800000002</v>
      </c>
      <c r="S71">
        <v>780.44701999999995</v>
      </c>
      <c r="T71">
        <v>3.7593346300000004E-12</v>
      </c>
      <c r="U71">
        <v>18.968966353624467</v>
      </c>
      <c r="V71">
        <v>91.850000000000009</v>
      </c>
      <c r="W71">
        <v>-240.33699806872136</v>
      </c>
      <c r="X71">
        <v>62.770995300000003</v>
      </c>
      <c r="Y71">
        <v>92.410340099999999</v>
      </c>
      <c r="Z71">
        <v>121.52199999999999</v>
      </c>
      <c r="AA71">
        <v>232.7159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 s="27">
        <f>SUM(AB71:AN71)+Q71</f>
        <v>1.2025312050417463</v>
      </c>
    </row>
    <row r="72" spans="1:42">
      <c r="A72">
        <v>910</v>
      </c>
      <c r="B72">
        <v>39</v>
      </c>
      <c r="C72">
        <v>19</v>
      </c>
      <c r="D72">
        <v>5.6697627952238872</v>
      </c>
      <c r="E72">
        <v>23</v>
      </c>
      <c r="F72">
        <v>14</v>
      </c>
      <c r="G72">
        <v>1.2</v>
      </c>
      <c r="H72">
        <v>16</v>
      </c>
      <c r="I72">
        <v>14</v>
      </c>
      <c r="J72">
        <v>0.3</v>
      </c>
      <c r="K72">
        <v>509446676.2836107</v>
      </c>
      <c r="L72">
        <v>54461100</v>
      </c>
      <c r="M72">
        <v>79696970.50838694</v>
      </c>
      <c r="N72">
        <v>71566300</v>
      </c>
      <c r="O72">
        <v>15898756.639999999</v>
      </c>
      <c r="P72">
        <v>223.12974399999999</v>
      </c>
      <c r="Q72">
        <v>1.2115475883269338</v>
      </c>
      <c r="R72">
        <v>43.636492400000002</v>
      </c>
      <c r="S72">
        <v>780.77933700000006</v>
      </c>
      <c r="T72">
        <v>6.2423391299999998E-13</v>
      </c>
      <c r="U72">
        <v>19.271758779505106</v>
      </c>
      <c r="V72">
        <v>100.934</v>
      </c>
      <c r="W72">
        <v>-236.82537456742227</v>
      </c>
      <c r="X72">
        <v>62.7799573</v>
      </c>
      <c r="Y72">
        <v>92.305560600000007</v>
      </c>
      <c r="Z72">
        <v>180.98100000000002</v>
      </c>
      <c r="AA72">
        <v>240.72175799999999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P72" s="27">
        <f>SUM(AB72:AN72)+Q72</f>
        <v>1.2115475883269338</v>
      </c>
    </row>
    <row r="73" spans="1:42">
      <c r="A73">
        <v>923.93409551246725</v>
      </c>
      <c r="B73">
        <v>39</v>
      </c>
      <c r="C73">
        <v>19</v>
      </c>
      <c r="D73">
        <v>15</v>
      </c>
      <c r="E73">
        <v>10</v>
      </c>
      <c r="F73">
        <v>5</v>
      </c>
      <c r="G73">
        <v>0.3</v>
      </c>
      <c r="H73">
        <v>29</v>
      </c>
      <c r="I73">
        <v>7</v>
      </c>
      <c r="J73">
        <v>0.3</v>
      </c>
      <c r="K73">
        <v>510970380.14058673</v>
      </c>
      <c r="L73">
        <v>54517000</v>
      </c>
      <c r="M73">
        <v>79696630.521689281</v>
      </c>
      <c r="N73">
        <v>70641300</v>
      </c>
      <c r="O73">
        <v>15901929.84</v>
      </c>
      <c r="P73">
        <v>226.18194</v>
      </c>
      <c r="Q73">
        <v>1.2189156396362817</v>
      </c>
      <c r="R73">
        <v>43.521994599999999</v>
      </c>
      <c r="S73">
        <v>780.81108700000004</v>
      </c>
      <c r="T73">
        <v>6.8542967800000003E-9</v>
      </c>
      <c r="U73">
        <v>19.623574273285335</v>
      </c>
      <c r="V73">
        <v>100.934</v>
      </c>
      <c r="W73">
        <v>-241.80419804013701</v>
      </c>
      <c r="X73">
        <v>62.796588200000002</v>
      </c>
      <c r="Y73">
        <v>92.053083299999997</v>
      </c>
      <c r="Z73">
        <v>144.29</v>
      </c>
      <c r="AA73">
        <v>232.697202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P73" s="27">
        <f>SUM(AB73:AN73)+Q73</f>
        <v>1.2189156396362817</v>
      </c>
    </row>
    <row r="74" spans="1:42">
      <c r="A74">
        <v>917.18293924158434</v>
      </c>
      <c r="B74">
        <v>30</v>
      </c>
      <c r="C74">
        <v>10</v>
      </c>
      <c r="D74">
        <v>15</v>
      </c>
      <c r="E74">
        <v>16</v>
      </c>
      <c r="F74">
        <v>14</v>
      </c>
      <c r="G74">
        <v>0.3</v>
      </c>
      <c r="H74">
        <v>29</v>
      </c>
      <c r="I74">
        <v>14</v>
      </c>
      <c r="J74">
        <v>1.4</v>
      </c>
      <c r="K74">
        <v>510966570.80628067</v>
      </c>
      <c r="L74">
        <v>54466200</v>
      </c>
      <c r="M74">
        <v>79682634.685985878</v>
      </c>
      <c r="N74">
        <v>71423400</v>
      </c>
      <c r="O74">
        <v>15898456.24</v>
      </c>
      <c r="P74">
        <v>225.345057</v>
      </c>
      <c r="Q74">
        <v>1.2071150681428842</v>
      </c>
      <c r="R74">
        <v>43.6321248</v>
      </c>
      <c r="S74">
        <v>780.38602100000003</v>
      </c>
      <c r="T74">
        <v>5.1660112800000004E-9</v>
      </c>
      <c r="U74">
        <v>19.806534325945314</v>
      </c>
      <c r="V74">
        <v>100.934</v>
      </c>
      <c r="W74">
        <v>-239.30671137255359</v>
      </c>
      <c r="X74">
        <v>62.854289700000002</v>
      </c>
      <c r="Y74">
        <v>92.337629800000002</v>
      </c>
      <c r="Z74">
        <v>177.97</v>
      </c>
      <c r="AA74">
        <v>230.23494199999999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P74" s="27">
        <f>SUM(AB74:AN74)+Q74</f>
        <v>1.2071150681428842</v>
      </c>
    </row>
    <row r="75" spans="1:42">
      <c r="A75">
        <v>910</v>
      </c>
      <c r="B75">
        <v>27</v>
      </c>
      <c r="C75">
        <v>19</v>
      </c>
      <c r="D75">
        <v>1</v>
      </c>
      <c r="E75">
        <v>22</v>
      </c>
      <c r="F75">
        <v>5</v>
      </c>
      <c r="G75">
        <v>0.3</v>
      </c>
      <c r="H75">
        <v>19</v>
      </c>
      <c r="I75">
        <v>7</v>
      </c>
      <c r="J75">
        <v>0.3</v>
      </c>
      <c r="K75">
        <v>507834711.03906441</v>
      </c>
      <c r="L75">
        <v>54395700</v>
      </c>
      <c r="M75">
        <v>79681553.790184453</v>
      </c>
      <c r="N75">
        <v>72953500</v>
      </c>
      <c r="O75">
        <v>15891419.92</v>
      </c>
      <c r="P75">
        <v>217.28697500000001</v>
      </c>
      <c r="Q75">
        <v>1.209578904617961</v>
      </c>
      <c r="R75">
        <v>43.663039599999998</v>
      </c>
      <c r="S75">
        <v>780.04553099999998</v>
      </c>
      <c r="T75">
        <v>5.6290521500000004E-9</v>
      </c>
      <c r="U75">
        <v>20.239581599506025</v>
      </c>
      <c r="V75">
        <v>68.709999999999994</v>
      </c>
      <c r="W75">
        <v>-168.59800094404756</v>
      </c>
      <c r="X75">
        <v>63.059728200000002</v>
      </c>
      <c r="Y75">
        <v>95.070266500000002</v>
      </c>
      <c r="Z75">
        <v>177.97</v>
      </c>
      <c r="AA75">
        <v>233.89429000000001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P75" s="27">
        <f>SUM(AB75:AN75)+Q75</f>
        <v>1.209578904617961</v>
      </c>
    </row>
    <row r="76" spans="1:42">
      <c r="A76">
        <v>926.96088124084213</v>
      </c>
      <c r="B76">
        <v>39</v>
      </c>
      <c r="C76">
        <v>10</v>
      </c>
      <c r="D76">
        <v>15</v>
      </c>
      <c r="E76">
        <v>29</v>
      </c>
      <c r="F76">
        <v>5</v>
      </c>
      <c r="G76">
        <v>0.3</v>
      </c>
      <c r="H76">
        <v>29</v>
      </c>
      <c r="I76">
        <v>14</v>
      </c>
      <c r="J76">
        <v>0.3</v>
      </c>
      <c r="K76">
        <v>511193018.53941101</v>
      </c>
      <c r="L76">
        <v>54537100</v>
      </c>
      <c r="M76">
        <v>79698932.195625573</v>
      </c>
      <c r="N76">
        <v>72081800</v>
      </c>
      <c r="O76">
        <v>15892220.639999999</v>
      </c>
      <c r="P76">
        <v>225.07193799999999</v>
      </c>
      <c r="Q76">
        <v>1.1977402263655612</v>
      </c>
      <c r="R76">
        <v>43.668362100000003</v>
      </c>
      <c r="S76">
        <v>780.46136999999999</v>
      </c>
      <c r="T76">
        <v>4.7330614999999998E-9</v>
      </c>
      <c r="U76">
        <v>19.881534854493825</v>
      </c>
      <c r="V76">
        <v>100.934</v>
      </c>
      <c r="W76">
        <v>-236.12729417494805</v>
      </c>
      <c r="X76">
        <v>62.786412900000002</v>
      </c>
      <c r="Y76">
        <v>92.0579106</v>
      </c>
      <c r="Z76">
        <v>180.98100000000002</v>
      </c>
      <c r="AA76">
        <v>235.748952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P76" s="27">
        <f>SUM(AB76:AN76)+Q76</f>
        <v>1.1977402263655612</v>
      </c>
    </row>
    <row r="77" spans="1:42">
      <c r="A77">
        <v>944.58151644082432</v>
      </c>
      <c r="B77">
        <v>39</v>
      </c>
      <c r="C77">
        <v>11</v>
      </c>
      <c r="D77">
        <v>14.148040606498439</v>
      </c>
      <c r="E77">
        <v>11</v>
      </c>
      <c r="F77">
        <v>9</v>
      </c>
      <c r="G77">
        <v>0.95386479456397621</v>
      </c>
      <c r="H77">
        <v>29</v>
      </c>
      <c r="I77">
        <v>7</v>
      </c>
      <c r="J77">
        <v>0.31068277640606545</v>
      </c>
      <c r="K77">
        <v>511621572.4380393</v>
      </c>
      <c r="L77">
        <v>54549400</v>
      </c>
      <c r="M77">
        <v>79716698.601647079</v>
      </c>
      <c r="N77">
        <v>70711200</v>
      </c>
      <c r="O77">
        <v>15899141.92</v>
      </c>
      <c r="P77">
        <v>228.36874</v>
      </c>
      <c r="Q77">
        <v>1.2084545002138343</v>
      </c>
      <c r="R77">
        <v>43.467930199999998</v>
      </c>
      <c r="S77">
        <v>780.39961900000003</v>
      </c>
      <c r="T77">
        <v>3.9175627800000002E-13</v>
      </c>
      <c r="U77">
        <v>18.846049168256844</v>
      </c>
      <c r="V77">
        <v>100.934</v>
      </c>
      <c r="W77">
        <v>-239.7814124977823</v>
      </c>
      <c r="X77">
        <v>62.785395700000002</v>
      </c>
      <c r="Y77">
        <v>92.067104599999993</v>
      </c>
      <c r="Z77">
        <v>103.47</v>
      </c>
      <c r="AA77">
        <v>231.95940100000001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P77" s="27">
        <f>SUM(AB77:AN77)+Q77</f>
        <v>1.2084545002138343</v>
      </c>
    </row>
    <row r="78" spans="1:42">
      <c r="A78">
        <v>942.11870445852765</v>
      </c>
      <c r="B78">
        <v>39</v>
      </c>
      <c r="C78">
        <v>10</v>
      </c>
      <c r="D78">
        <v>15</v>
      </c>
      <c r="E78">
        <v>29</v>
      </c>
      <c r="F78">
        <v>14</v>
      </c>
      <c r="G78">
        <v>0.3</v>
      </c>
      <c r="H78">
        <v>29</v>
      </c>
      <c r="I78">
        <v>7</v>
      </c>
      <c r="J78">
        <v>1.4</v>
      </c>
      <c r="K78">
        <v>511799917.275226</v>
      </c>
      <c r="L78">
        <v>54560800</v>
      </c>
      <c r="M78">
        <v>79710198.77832666</v>
      </c>
      <c r="N78">
        <v>72375200</v>
      </c>
      <c r="O78">
        <v>15897205.120000001</v>
      </c>
      <c r="P78">
        <v>227.06538</v>
      </c>
      <c r="Q78">
        <v>1.1837963262980016</v>
      </c>
      <c r="R78">
        <v>43.660106900000002</v>
      </c>
      <c r="S78">
        <v>779.95224500000006</v>
      </c>
      <c r="T78">
        <v>2.9753499000000002E-12</v>
      </c>
      <c r="U78">
        <v>19.653995296514442</v>
      </c>
      <c r="V78">
        <v>100.934</v>
      </c>
      <c r="W78">
        <v>-237.32030324932987</v>
      </c>
      <c r="X78">
        <v>62.8188678</v>
      </c>
      <c r="Y78">
        <v>92.0809809</v>
      </c>
      <c r="Z78">
        <v>180.98100000000002</v>
      </c>
      <c r="AA78">
        <v>231.33382599999999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P78" s="27">
        <f>SUM(AB78:AN78)+Q78</f>
        <v>1.1837963262980016</v>
      </c>
    </row>
    <row r="79" spans="1:42">
      <c r="A79">
        <v>920.44783689618384</v>
      </c>
      <c r="B79">
        <v>39</v>
      </c>
      <c r="C79">
        <v>10</v>
      </c>
      <c r="D79">
        <v>1</v>
      </c>
      <c r="E79">
        <v>10</v>
      </c>
      <c r="F79">
        <v>5</v>
      </c>
      <c r="G79">
        <v>0.3</v>
      </c>
      <c r="H79">
        <v>18</v>
      </c>
      <c r="I79">
        <v>14</v>
      </c>
      <c r="J79">
        <v>1.4</v>
      </c>
      <c r="K79">
        <v>511287645.79197204</v>
      </c>
      <c r="L79">
        <v>54560800</v>
      </c>
      <c r="M79">
        <v>79710227.090407506</v>
      </c>
      <c r="N79">
        <v>72375200</v>
      </c>
      <c r="O79">
        <v>15895341.76</v>
      </c>
      <c r="P79">
        <v>223.33797000000001</v>
      </c>
      <c r="Q79">
        <v>1.2019962592482867</v>
      </c>
      <c r="R79">
        <v>43.469591999999999</v>
      </c>
      <c r="S79">
        <v>781.28734899999995</v>
      </c>
      <c r="T79">
        <v>6.0350997899999997E-9</v>
      </c>
      <c r="U79">
        <v>19.503486119604112</v>
      </c>
      <c r="V79">
        <v>80.72</v>
      </c>
      <c r="W79">
        <v>-142.78381516861648</v>
      </c>
      <c r="X79">
        <v>63.106577199999997</v>
      </c>
      <c r="Y79">
        <v>94.869921000000005</v>
      </c>
      <c r="Z79">
        <v>144.29</v>
      </c>
      <c r="AA79">
        <v>229.33301499999999</v>
      </c>
      <c r="AB79">
        <v>100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P79" s="27">
        <f>SUM(AB79:AN79)+Q79</f>
        <v>101.20199625924829</v>
      </c>
    </row>
    <row r="80" spans="1:42">
      <c r="A80">
        <v>910</v>
      </c>
      <c r="B80">
        <v>27</v>
      </c>
      <c r="C80">
        <v>19</v>
      </c>
      <c r="D80">
        <v>15</v>
      </c>
      <c r="E80">
        <v>16</v>
      </c>
      <c r="F80">
        <v>14</v>
      </c>
      <c r="G80">
        <v>1.2</v>
      </c>
      <c r="H80">
        <v>10</v>
      </c>
      <c r="I80">
        <v>7</v>
      </c>
      <c r="J80">
        <v>1.4</v>
      </c>
      <c r="K80">
        <v>510404985.54264587</v>
      </c>
      <c r="L80">
        <v>54438800</v>
      </c>
      <c r="M80">
        <v>79674345.878020912</v>
      </c>
      <c r="N80">
        <v>71456700</v>
      </c>
      <c r="O80">
        <v>15896885.120000001</v>
      </c>
      <c r="P80">
        <v>224.60619299999999</v>
      </c>
      <c r="Q80">
        <v>1.2081956632612281</v>
      </c>
      <c r="R80">
        <v>43.641333799999998</v>
      </c>
      <c r="S80">
        <v>779.94081100000005</v>
      </c>
      <c r="T80">
        <v>5.5716539399999997E-10</v>
      </c>
      <c r="U80">
        <v>19.32838031879206</v>
      </c>
      <c r="V80">
        <v>91.850000000000009</v>
      </c>
      <c r="W80">
        <v>-238.74184325914439</v>
      </c>
      <c r="X80">
        <v>62.875759799999997</v>
      </c>
      <c r="Y80">
        <v>92.459616299999993</v>
      </c>
      <c r="Z80">
        <v>180.98100000000002</v>
      </c>
      <c r="AA80">
        <v>233.264838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P80" s="27">
        <f>SUM(AB80:AN80)+Q80</f>
        <v>1.2081956632612281</v>
      </c>
    </row>
    <row r="81" spans="1:42">
      <c r="A81">
        <v>943.70430951091203</v>
      </c>
      <c r="B81">
        <v>39</v>
      </c>
      <c r="C81">
        <v>19</v>
      </c>
      <c r="D81">
        <v>1</v>
      </c>
      <c r="E81">
        <v>29</v>
      </c>
      <c r="F81">
        <v>14</v>
      </c>
      <c r="G81">
        <v>1.2</v>
      </c>
      <c r="H81">
        <v>29</v>
      </c>
      <c r="I81">
        <v>14</v>
      </c>
      <c r="J81">
        <v>1.4</v>
      </c>
      <c r="K81">
        <v>509511754.91440177</v>
      </c>
      <c r="L81">
        <v>54510100</v>
      </c>
      <c r="M81">
        <v>79712095.960081935</v>
      </c>
      <c r="N81">
        <v>72970300</v>
      </c>
      <c r="O81">
        <v>15890613.359999999</v>
      </c>
      <c r="P81">
        <v>221.855729</v>
      </c>
      <c r="Q81">
        <v>1.1917431744185822</v>
      </c>
      <c r="R81">
        <v>43.606401099999999</v>
      </c>
      <c r="S81">
        <v>781.96226899999999</v>
      </c>
      <c r="T81">
        <v>6.7259351500000001E-19</v>
      </c>
      <c r="U81">
        <v>19.438289957927708</v>
      </c>
      <c r="V81">
        <v>80.72</v>
      </c>
      <c r="W81">
        <v>-148.40561154430284</v>
      </c>
      <c r="X81">
        <v>63.062283299999997</v>
      </c>
      <c r="Y81">
        <v>94.819540200000006</v>
      </c>
      <c r="Z81">
        <v>203.285</v>
      </c>
      <c r="AA81">
        <v>230.62597400000001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P81" s="27">
        <f>SUM(AB81:AN81)+Q81</f>
        <v>1.1917431744185822</v>
      </c>
    </row>
    <row r="82" spans="1:42">
      <c r="A82">
        <v>921.09899050646641</v>
      </c>
      <c r="B82">
        <v>39</v>
      </c>
      <c r="C82">
        <v>10</v>
      </c>
      <c r="D82">
        <v>6.6948598658884615</v>
      </c>
      <c r="E82">
        <v>29</v>
      </c>
      <c r="F82">
        <v>14</v>
      </c>
      <c r="G82">
        <v>0.3</v>
      </c>
      <c r="H82">
        <v>29</v>
      </c>
      <c r="I82">
        <v>7</v>
      </c>
      <c r="J82">
        <v>0.3</v>
      </c>
      <c r="K82">
        <v>510079617.68240857</v>
      </c>
      <c r="L82">
        <v>54497300</v>
      </c>
      <c r="M82">
        <v>79696638.461792856</v>
      </c>
      <c r="N82">
        <v>71874100</v>
      </c>
      <c r="O82">
        <v>15897686.24</v>
      </c>
      <c r="P82">
        <v>225.00630100000001</v>
      </c>
      <c r="Q82">
        <v>1.1980244227852803</v>
      </c>
      <c r="R82">
        <v>43.644393200000003</v>
      </c>
      <c r="S82">
        <v>780.02787999999998</v>
      </c>
      <c r="T82">
        <v>3.23768815E-16</v>
      </c>
      <c r="U82">
        <v>19.660927187855002</v>
      </c>
      <c r="V82">
        <v>100.934</v>
      </c>
      <c r="W82">
        <v>-235.84380658091331</v>
      </c>
      <c r="X82">
        <v>62.781987800000003</v>
      </c>
      <c r="Y82">
        <v>92.273643300000003</v>
      </c>
      <c r="Z82">
        <v>177.97</v>
      </c>
      <c r="AA82">
        <v>235.7466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P82" s="27">
        <f>SUM(AB82:AN82)+Q82</f>
        <v>1.1980244227852803</v>
      </c>
    </row>
    <row r="83" spans="1:42">
      <c r="A83">
        <v>910</v>
      </c>
      <c r="B83">
        <v>39</v>
      </c>
      <c r="C83">
        <v>10</v>
      </c>
      <c r="D83">
        <v>15</v>
      </c>
      <c r="E83">
        <v>20</v>
      </c>
      <c r="F83">
        <v>5</v>
      </c>
      <c r="G83">
        <v>0.3</v>
      </c>
      <c r="H83">
        <v>29</v>
      </c>
      <c r="I83">
        <v>7</v>
      </c>
      <c r="J83">
        <v>0.3</v>
      </c>
      <c r="K83">
        <v>511048325.8139109</v>
      </c>
      <c r="L83">
        <v>54502400</v>
      </c>
      <c r="M83">
        <v>79683255.52082257</v>
      </c>
      <c r="N83">
        <v>71556000</v>
      </c>
      <c r="O83">
        <v>15899095.76</v>
      </c>
      <c r="P83">
        <v>223.98092199999999</v>
      </c>
      <c r="Q83">
        <v>1.2128147735177426</v>
      </c>
      <c r="R83">
        <v>43.655427500000002</v>
      </c>
      <c r="S83">
        <v>780.50176999999996</v>
      </c>
      <c r="T83">
        <v>4.9061657799999996E-9</v>
      </c>
      <c r="U83">
        <v>19.886607269544189</v>
      </c>
      <c r="V83">
        <v>100.934</v>
      </c>
      <c r="W83">
        <v>-236.67743460096037</v>
      </c>
      <c r="X83">
        <v>62.798008899999999</v>
      </c>
      <c r="Y83">
        <v>92.060743400000007</v>
      </c>
      <c r="Z83">
        <v>177.97</v>
      </c>
      <c r="AA83">
        <v>235.466418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P83" s="27">
        <f>SUM(AB83:AN83)+Q83</f>
        <v>1.2128147735177426</v>
      </c>
    </row>
    <row r="84" spans="1:42">
      <c r="A84">
        <v>944.76905573866725</v>
      </c>
      <c r="B84">
        <v>39</v>
      </c>
      <c r="C84">
        <v>16</v>
      </c>
      <c r="D84">
        <v>1.3617640111353984</v>
      </c>
      <c r="E84">
        <v>10</v>
      </c>
      <c r="F84">
        <v>8</v>
      </c>
      <c r="G84">
        <v>1.1918419314308455</v>
      </c>
      <c r="H84">
        <v>29</v>
      </c>
      <c r="I84">
        <v>14</v>
      </c>
      <c r="J84">
        <v>0.56501589712127032</v>
      </c>
      <c r="K84">
        <v>509342052.12650263</v>
      </c>
      <c r="L84">
        <v>54494000</v>
      </c>
      <c r="M84">
        <v>79712993.865812585</v>
      </c>
      <c r="N84">
        <v>71118900</v>
      </c>
      <c r="O84">
        <v>15891385.92</v>
      </c>
      <c r="P84">
        <v>227.399776</v>
      </c>
      <c r="Q84">
        <v>1.1978089478085483</v>
      </c>
      <c r="R84">
        <v>43.465334400000003</v>
      </c>
      <c r="S84">
        <v>780.66029600000002</v>
      </c>
      <c r="T84">
        <v>1.97925933E-12</v>
      </c>
      <c r="U84">
        <v>18.987434751492412</v>
      </c>
      <c r="V84">
        <v>91.850000000000009</v>
      </c>
      <c r="W84">
        <v>-201.09312300257707</v>
      </c>
      <c r="X84">
        <v>62.904186699999997</v>
      </c>
      <c r="Y84">
        <v>93.596576600000006</v>
      </c>
      <c r="Z84">
        <v>100.934</v>
      </c>
      <c r="AA84">
        <v>230.26530399999999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P84" s="27">
        <f>SUM(AB84:AN84)+Q84</f>
        <v>1.1978089478085483</v>
      </c>
    </row>
    <row r="85" spans="1:42">
      <c r="A85">
        <v>910</v>
      </c>
      <c r="B85">
        <v>27</v>
      </c>
      <c r="C85">
        <v>10</v>
      </c>
      <c r="D85">
        <v>9.0017920503358138</v>
      </c>
      <c r="E85">
        <v>29</v>
      </c>
      <c r="F85">
        <v>14</v>
      </c>
      <c r="G85">
        <v>1.2</v>
      </c>
      <c r="H85">
        <v>17</v>
      </c>
      <c r="I85">
        <v>7</v>
      </c>
      <c r="J85">
        <v>1.4</v>
      </c>
      <c r="K85">
        <v>509900841.7354126</v>
      </c>
      <c r="L85">
        <v>54440800</v>
      </c>
      <c r="M85">
        <v>79674245.779203624</v>
      </c>
      <c r="N85">
        <v>71282200</v>
      </c>
      <c r="O85">
        <v>15893641.199999999</v>
      </c>
      <c r="P85">
        <v>223.83276799999999</v>
      </c>
      <c r="Q85">
        <v>1.214322287309235</v>
      </c>
      <c r="R85">
        <v>43.641172599999997</v>
      </c>
      <c r="S85">
        <v>780.768687</v>
      </c>
      <c r="T85">
        <v>5.1638011300000002E-13</v>
      </c>
      <c r="U85">
        <v>19.189347301152985</v>
      </c>
      <c r="V85">
        <v>100.934</v>
      </c>
      <c r="W85">
        <v>-238.03124212658932</v>
      </c>
      <c r="X85">
        <v>62.8663594</v>
      </c>
      <c r="Y85">
        <v>92.501163300000002</v>
      </c>
      <c r="Z85">
        <v>203.285</v>
      </c>
      <c r="AA85">
        <v>231.47032799999999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P85" s="27">
        <f>SUM(AB85:AN85)+Q85</f>
        <v>1.214322287309235</v>
      </c>
    </row>
    <row r="86" spans="1:42">
      <c r="A86">
        <v>921.58012331268162</v>
      </c>
      <c r="B86">
        <v>27</v>
      </c>
      <c r="C86">
        <v>19</v>
      </c>
      <c r="D86">
        <v>15</v>
      </c>
      <c r="E86">
        <v>24</v>
      </c>
      <c r="F86">
        <v>14</v>
      </c>
      <c r="G86">
        <v>0.3</v>
      </c>
      <c r="H86">
        <v>16</v>
      </c>
      <c r="I86">
        <v>14</v>
      </c>
      <c r="J86">
        <v>1.4</v>
      </c>
      <c r="K86">
        <v>510638210.51334321</v>
      </c>
      <c r="L86">
        <v>54454500</v>
      </c>
      <c r="M86">
        <v>79687927.774938151</v>
      </c>
      <c r="N86">
        <v>71628000</v>
      </c>
      <c r="O86">
        <v>15900006.639999999</v>
      </c>
      <c r="P86">
        <v>226.186826</v>
      </c>
      <c r="Q86">
        <v>1.197415816475069</v>
      </c>
      <c r="R86">
        <v>43.6170799</v>
      </c>
      <c r="S86">
        <v>779.79308800000001</v>
      </c>
      <c r="T86">
        <v>1.7688166600000001E-12</v>
      </c>
      <c r="U86">
        <v>19.548813925191002</v>
      </c>
      <c r="V86">
        <v>91.850000000000009</v>
      </c>
      <c r="W86">
        <v>-240.85831653262619</v>
      </c>
      <c r="X86">
        <v>62.8706976</v>
      </c>
      <c r="Y86">
        <v>92.459536900000003</v>
      </c>
      <c r="Z86">
        <v>177.97</v>
      </c>
      <c r="AA86">
        <v>232.98263499999999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P86" s="27">
        <f>SUM(AB86:AN86)+Q86</f>
        <v>1.197415816475069</v>
      </c>
    </row>
    <row r="87" spans="1:42">
      <c r="A87">
        <v>917.72887498761543</v>
      </c>
      <c r="B87">
        <v>27</v>
      </c>
      <c r="C87">
        <v>19</v>
      </c>
      <c r="D87">
        <v>15</v>
      </c>
      <c r="E87">
        <v>21</v>
      </c>
      <c r="F87">
        <v>5</v>
      </c>
      <c r="G87">
        <v>0.3</v>
      </c>
      <c r="H87">
        <v>29</v>
      </c>
      <c r="I87">
        <v>7</v>
      </c>
      <c r="J87">
        <v>0.3</v>
      </c>
      <c r="K87">
        <v>510583170.86187756</v>
      </c>
      <c r="L87">
        <v>54454500</v>
      </c>
      <c r="M87">
        <v>79687941.419737712</v>
      </c>
      <c r="N87">
        <v>71628000</v>
      </c>
      <c r="O87">
        <v>15904154.880000001</v>
      </c>
      <c r="P87">
        <v>224.626035</v>
      </c>
      <c r="Q87">
        <v>1.2055695990560531</v>
      </c>
      <c r="R87">
        <v>43.658150800000001</v>
      </c>
      <c r="S87">
        <v>780.50173300000006</v>
      </c>
      <c r="T87">
        <v>4.83384856E-9</v>
      </c>
      <c r="U87">
        <v>19.893901860643606</v>
      </c>
      <c r="V87">
        <v>91.850000000000009</v>
      </c>
      <c r="W87">
        <v>-237.51461287347965</v>
      </c>
      <c r="X87">
        <v>62.782526300000001</v>
      </c>
      <c r="Y87">
        <v>92.4108138</v>
      </c>
      <c r="Z87">
        <v>177.97</v>
      </c>
      <c r="AA87">
        <v>235.500891</v>
      </c>
      <c r="AB87">
        <v>100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P87" s="27">
        <f>SUM(AB87:AN87)+Q87</f>
        <v>101.20556959905605</v>
      </c>
    </row>
    <row r="88" spans="1:42">
      <c r="A88">
        <v>922.9855569735214</v>
      </c>
      <c r="B88">
        <v>39</v>
      </c>
      <c r="C88">
        <v>19</v>
      </c>
      <c r="D88">
        <v>15</v>
      </c>
      <c r="E88">
        <v>29</v>
      </c>
      <c r="F88">
        <v>5</v>
      </c>
      <c r="G88">
        <v>1.2</v>
      </c>
      <c r="H88">
        <v>10</v>
      </c>
      <c r="I88">
        <v>7</v>
      </c>
      <c r="J88">
        <v>0.3</v>
      </c>
      <c r="K88">
        <v>511037839.43090248</v>
      </c>
      <c r="L88">
        <v>54524700</v>
      </c>
      <c r="M88">
        <v>79704741.883418888</v>
      </c>
      <c r="N88">
        <v>71910300</v>
      </c>
      <c r="O88">
        <v>15903271.360000001</v>
      </c>
      <c r="P88">
        <v>224.46460099999999</v>
      </c>
      <c r="Q88">
        <v>1.2036405304056934</v>
      </c>
      <c r="R88">
        <v>43.6440986</v>
      </c>
      <c r="S88">
        <v>780.63963100000001</v>
      </c>
      <c r="T88">
        <v>4.6782319500000001E-10</v>
      </c>
      <c r="U88">
        <v>19.369635875825775</v>
      </c>
      <c r="V88">
        <v>100.934</v>
      </c>
      <c r="W88">
        <v>-237.03647372921625</v>
      </c>
      <c r="X88">
        <v>62.781934900000003</v>
      </c>
      <c r="Y88">
        <v>92.044238699999994</v>
      </c>
      <c r="Z88">
        <v>203.285</v>
      </c>
      <c r="AA88">
        <v>236.91386600000001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P88" s="27">
        <f>SUM(AB88:AN88)+Q88</f>
        <v>1.2036405304056934</v>
      </c>
    </row>
    <row r="89" spans="1:42">
      <c r="A89">
        <v>953.63492232217243</v>
      </c>
      <c r="B89">
        <v>39</v>
      </c>
      <c r="C89">
        <v>10</v>
      </c>
      <c r="D89">
        <v>1</v>
      </c>
      <c r="E89">
        <v>10</v>
      </c>
      <c r="F89">
        <v>8</v>
      </c>
      <c r="G89">
        <v>1.2</v>
      </c>
      <c r="H89">
        <v>10</v>
      </c>
      <c r="I89">
        <v>7</v>
      </c>
      <c r="J89">
        <v>0.3</v>
      </c>
      <c r="K89">
        <v>509015960.17346966</v>
      </c>
      <c r="L89">
        <v>54481000</v>
      </c>
      <c r="M89">
        <v>79733788.054287076</v>
      </c>
      <c r="N89">
        <v>72174600</v>
      </c>
      <c r="O89">
        <v>15899248.159999998</v>
      </c>
      <c r="P89">
        <v>225.794185</v>
      </c>
      <c r="Q89">
        <v>1.184452608793404</v>
      </c>
      <c r="R89">
        <v>43.448290700000001</v>
      </c>
      <c r="S89">
        <v>781.04735400000004</v>
      </c>
      <c r="T89">
        <v>1.7619381100000001E-12</v>
      </c>
      <c r="U89">
        <v>18.886754637454384</v>
      </c>
      <c r="V89">
        <v>80.72</v>
      </c>
      <c r="W89">
        <v>-141.40164089211518</v>
      </c>
      <c r="X89">
        <v>63.061604500000001</v>
      </c>
      <c r="Y89">
        <v>94.845839600000005</v>
      </c>
      <c r="Z89">
        <v>100.934</v>
      </c>
      <c r="AA89">
        <v>235.86518599999999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P89" s="27">
        <f>SUM(AB89:AN89)+Q89</f>
        <v>1.184452608793404</v>
      </c>
    </row>
    <row r="90" spans="1:42">
      <c r="A90">
        <v>910</v>
      </c>
      <c r="B90">
        <v>39</v>
      </c>
      <c r="C90">
        <v>10</v>
      </c>
      <c r="D90">
        <v>1</v>
      </c>
      <c r="E90">
        <v>29</v>
      </c>
      <c r="F90">
        <v>14</v>
      </c>
      <c r="G90">
        <v>1.2</v>
      </c>
      <c r="H90">
        <v>29</v>
      </c>
      <c r="I90">
        <v>14</v>
      </c>
      <c r="J90">
        <v>0.3</v>
      </c>
      <c r="K90">
        <v>509027349.23617363</v>
      </c>
      <c r="L90">
        <v>54467000</v>
      </c>
      <c r="M90">
        <v>79682654.981128082</v>
      </c>
      <c r="N90">
        <v>72108700</v>
      </c>
      <c r="O90">
        <v>15891709.68</v>
      </c>
      <c r="P90">
        <v>219.779357</v>
      </c>
      <c r="Q90">
        <v>1.2179458107898604</v>
      </c>
      <c r="R90">
        <v>43.5968333</v>
      </c>
      <c r="S90">
        <v>781.60464000000002</v>
      </c>
      <c r="T90">
        <v>4.13228312E-13</v>
      </c>
      <c r="U90">
        <v>19.249181721781277</v>
      </c>
      <c r="V90">
        <v>80.72</v>
      </c>
      <c r="W90">
        <v>-138.87655602698061</v>
      </c>
      <c r="X90">
        <v>63.048344</v>
      </c>
      <c r="Y90">
        <v>94.835413500000001</v>
      </c>
      <c r="Z90">
        <v>203.285</v>
      </c>
      <c r="AA90">
        <v>235.00672599999999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P90" s="27">
        <f>SUM(AB90:AN90)+Q90</f>
        <v>1.2179458107898604</v>
      </c>
    </row>
    <row r="91" spans="1:42">
      <c r="A91">
        <v>910</v>
      </c>
      <c r="B91">
        <v>39</v>
      </c>
      <c r="C91">
        <v>19</v>
      </c>
      <c r="D91">
        <v>15</v>
      </c>
      <c r="E91">
        <v>29</v>
      </c>
      <c r="F91">
        <v>14</v>
      </c>
      <c r="G91">
        <v>1.2</v>
      </c>
      <c r="H91">
        <v>21</v>
      </c>
      <c r="I91">
        <v>14</v>
      </c>
      <c r="J91">
        <v>1.4</v>
      </c>
      <c r="K91">
        <v>511391118.30615342</v>
      </c>
      <c r="L91">
        <v>54491700</v>
      </c>
      <c r="M91">
        <v>79674145.754139766</v>
      </c>
      <c r="N91">
        <v>71226800</v>
      </c>
      <c r="O91">
        <v>15896744.08</v>
      </c>
      <c r="P91">
        <v>223.58123699999999</v>
      </c>
      <c r="Q91">
        <v>1.2223120720817795</v>
      </c>
      <c r="R91">
        <v>43.644059300000002</v>
      </c>
      <c r="S91">
        <v>781.125764</v>
      </c>
      <c r="T91">
        <v>1.4198559900000001E-18</v>
      </c>
      <c r="U91">
        <v>19.141082287705668</v>
      </c>
      <c r="V91">
        <v>100.934</v>
      </c>
      <c r="W91">
        <v>-239.02629825411526</v>
      </c>
      <c r="X91">
        <v>62.864616300000002</v>
      </c>
      <c r="Y91">
        <v>92.088652499999995</v>
      </c>
      <c r="Z91">
        <v>203.285</v>
      </c>
      <c r="AA91">
        <v>231.08793299999999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P91" s="27">
        <f>SUM(AB91:AN91)+Q91</f>
        <v>1.2223120720817795</v>
      </c>
    </row>
    <row r="92" spans="1:42">
      <c r="A92">
        <v>920.19257612527872</v>
      </c>
      <c r="B92">
        <v>27</v>
      </c>
      <c r="C92">
        <v>10</v>
      </c>
      <c r="D92">
        <v>1</v>
      </c>
      <c r="E92">
        <v>29</v>
      </c>
      <c r="F92">
        <v>5</v>
      </c>
      <c r="G92">
        <v>1.2</v>
      </c>
      <c r="H92">
        <v>10</v>
      </c>
      <c r="I92">
        <v>7</v>
      </c>
      <c r="J92">
        <v>1.4</v>
      </c>
      <c r="K92">
        <v>508422156.88589442</v>
      </c>
      <c r="L92">
        <v>54417700</v>
      </c>
      <c r="M92">
        <v>79686330.03499867</v>
      </c>
      <c r="N92">
        <v>72716900</v>
      </c>
      <c r="O92">
        <v>15892128</v>
      </c>
      <c r="P92">
        <v>220.67989399999999</v>
      </c>
      <c r="Q92">
        <v>1.197961787820544</v>
      </c>
      <c r="R92">
        <v>43.628445499999998</v>
      </c>
      <c r="S92">
        <v>780.64571899999999</v>
      </c>
      <c r="T92">
        <v>3.7472455599999999E-10</v>
      </c>
      <c r="U92">
        <v>19.357562891591083</v>
      </c>
      <c r="V92">
        <v>80.72</v>
      </c>
      <c r="W92">
        <v>-147.62670107037027</v>
      </c>
      <c r="X92">
        <v>63.103133800000002</v>
      </c>
      <c r="Y92">
        <v>94.939733500000003</v>
      </c>
      <c r="Z92">
        <v>203.285</v>
      </c>
      <c r="AA92">
        <v>232.79628299999999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P92" s="27">
        <f>SUM(AB92:AN92)+Q92</f>
        <v>1.197961787820544</v>
      </c>
    </row>
    <row r="93" spans="1:42">
      <c r="A93">
        <v>922.60232443124073</v>
      </c>
      <c r="B93">
        <v>39</v>
      </c>
      <c r="C93">
        <v>19</v>
      </c>
      <c r="D93">
        <v>14.984701952324047</v>
      </c>
      <c r="E93">
        <v>16</v>
      </c>
      <c r="F93">
        <v>14</v>
      </c>
      <c r="G93">
        <v>1.2</v>
      </c>
      <c r="H93">
        <v>10</v>
      </c>
      <c r="I93">
        <v>7</v>
      </c>
      <c r="J93">
        <v>0.3</v>
      </c>
      <c r="K93">
        <v>510801444.4091171</v>
      </c>
      <c r="L93">
        <v>54482700</v>
      </c>
      <c r="M93">
        <v>79698036.090383098</v>
      </c>
      <c r="N93">
        <v>70655500</v>
      </c>
      <c r="O93">
        <v>15903194.960000001</v>
      </c>
      <c r="P93">
        <v>226.83278799999999</v>
      </c>
      <c r="Q93">
        <v>1.2139687922039284</v>
      </c>
      <c r="R93">
        <v>43.496801699999999</v>
      </c>
      <c r="S93">
        <v>780.23065599999995</v>
      </c>
      <c r="T93">
        <v>1.26493631E-17</v>
      </c>
      <c r="U93">
        <v>18.733738065203802</v>
      </c>
      <c r="V93">
        <v>100.934</v>
      </c>
      <c r="W93">
        <v>-240.41233456378311</v>
      </c>
      <c r="X93">
        <v>62.851266699999996</v>
      </c>
      <c r="Y93">
        <v>92.084611600000002</v>
      </c>
      <c r="Z93">
        <v>121.52199999999999</v>
      </c>
      <c r="AA93">
        <v>236.427618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P93" s="27">
        <f>SUM(AB93:AN93)+Q93</f>
        <v>1.2139687922039284</v>
      </c>
    </row>
    <row r="94" spans="1:42">
      <c r="A94">
        <v>954.85473553255395</v>
      </c>
      <c r="B94">
        <v>39</v>
      </c>
      <c r="C94">
        <v>10</v>
      </c>
      <c r="D94">
        <v>15</v>
      </c>
      <c r="E94">
        <v>29</v>
      </c>
      <c r="F94">
        <v>14</v>
      </c>
      <c r="G94">
        <v>0.3</v>
      </c>
      <c r="H94">
        <v>10</v>
      </c>
      <c r="I94">
        <v>7</v>
      </c>
      <c r="J94">
        <v>1.4</v>
      </c>
      <c r="K94">
        <v>511689495.65111601</v>
      </c>
      <c r="L94">
        <v>54557500</v>
      </c>
      <c r="M94">
        <v>79723481.409285918</v>
      </c>
      <c r="N94">
        <v>72719800</v>
      </c>
      <c r="O94">
        <v>15922487.520000001</v>
      </c>
      <c r="P94">
        <v>228.12296000000001</v>
      </c>
      <c r="Q94">
        <v>1.1712475295627811</v>
      </c>
      <c r="R94">
        <v>43.648989100000001</v>
      </c>
      <c r="S94">
        <v>779.83595400000002</v>
      </c>
      <c r="T94">
        <v>3.1716950400000001E-16</v>
      </c>
      <c r="U94">
        <v>19.597203215114</v>
      </c>
      <c r="V94">
        <v>100.934</v>
      </c>
      <c r="W94">
        <v>-238.11105463693255</v>
      </c>
      <c r="X94">
        <v>62.8128466</v>
      </c>
      <c r="Y94">
        <v>92.080488200000005</v>
      </c>
      <c r="Z94">
        <v>177.97</v>
      </c>
      <c r="AA94">
        <v>233.63202000000001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P94" s="27">
        <f>SUM(AB94:AN94)+Q94</f>
        <v>1.1712475295627811</v>
      </c>
    </row>
    <row r="95" spans="1:42">
      <c r="A95">
        <v>960</v>
      </c>
      <c r="B95">
        <v>27</v>
      </c>
      <c r="C95">
        <v>10</v>
      </c>
      <c r="D95">
        <v>1</v>
      </c>
      <c r="E95">
        <v>29</v>
      </c>
      <c r="F95">
        <v>14</v>
      </c>
      <c r="G95">
        <v>1.2</v>
      </c>
      <c r="H95">
        <v>10</v>
      </c>
      <c r="I95">
        <v>7</v>
      </c>
      <c r="J95">
        <v>1.4</v>
      </c>
      <c r="K95">
        <v>506445229.18339539</v>
      </c>
      <c r="L95">
        <v>54557500</v>
      </c>
      <c r="M95">
        <v>79723602.469722852</v>
      </c>
      <c r="N95">
        <v>72719800</v>
      </c>
      <c r="O95">
        <v>16376543.279999999</v>
      </c>
      <c r="P95">
        <v>0</v>
      </c>
      <c r="Q95">
        <v>74651115.532727242</v>
      </c>
      <c r="R95">
        <v>43.628815099999997</v>
      </c>
      <c r="S95">
        <v>781.56552499999998</v>
      </c>
      <c r="T95">
        <v>1.11827668E-13</v>
      </c>
      <c r="U95">
        <v>19.222723798045891</v>
      </c>
      <c r="V95">
        <v>80.72</v>
      </c>
      <c r="W95">
        <v>-148.42271152513834</v>
      </c>
      <c r="X95">
        <v>63.163293000000003</v>
      </c>
      <c r="Y95">
        <v>94.970849000000001</v>
      </c>
      <c r="Z95">
        <v>180.98100000000002</v>
      </c>
      <c r="AA95">
        <v>232.48328599999999</v>
      </c>
      <c r="AB95">
        <v>100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P95" s="27">
        <f>SUM(AB95:AN95)+Q95</f>
        <v>74651215.532727242</v>
      </c>
    </row>
    <row r="96" spans="1:42">
      <c r="A96">
        <v>927.76213332504403</v>
      </c>
      <c r="B96">
        <v>31</v>
      </c>
      <c r="C96">
        <v>10</v>
      </c>
      <c r="D96">
        <v>9.1256849789357961</v>
      </c>
      <c r="E96">
        <v>26</v>
      </c>
      <c r="F96">
        <v>12</v>
      </c>
      <c r="G96">
        <v>0.99063134828178057</v>
      </c>
      <c r="H96">
        <v>26</v>
      </c>
      <c r="I96">
        <v>10</v>
      </c>
      <c r="J96">
        <v>1.3325237259996277</v>
      </c>
      <c r="K96">
        <v>510183185.72908372</v>
      </c>
      <c r="L96">
        <v>54489200</v>
      </c>
      <c r="M96">
        <v>79692022.436749548</v>
      </c>
      <c r="N96">
        <v>71664200</v>
      </c>
      <c r="O96">
        <v>15887408.719999999</v>
      </c>
      <c r="P96">
        <v>225.07485399999999</v>
      </c>
      <c r="Q96">
        <v>1.2019297610993407</v>
      </c>
      <c r="R96">
        <v>43.637786200000001</v>
      </c>
      <c r="S96">
        <v>780.63561400000003</v>
      </c>
      <c r="T96">
        <v>1.69049731E-16</v>
      </c>
      <c r="U96">
        <v>19.159758167695006</v>
      </c>
      <c r="V96">
        <v>100.934</v>
      </c>
      <c r="W96">
        <v>-238.0297940482734</v>
      </c>
      <c r="X96">
        <v>62.843208699999998</v>
      </c>
      <c r="Y96">
        <v>92.386091699999994</v>
      </c>
      <c r="Z96">
        <v>180.98100000000002</v>
      </c>
      <c r="AA96">
        <v>230.77356700000001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P96" s="27">
        <f>SUM(AB96:AN96)+Q96</f>
        <v>1.2019297610993407</v>
      </c>
    </row>
    <row r="97" spans="1:42">
      <c r="A97">
        <v>930.11850946985112</v>
      </c>
      <c r="B97">
        <v>30</v>
      </c>
      <c r="C97">
        <v>19</v>
      </c>
      <c r="D97">
        <v>10.362946224657028</v>
      </c>
      <c r="E97">
        <v>14</v>
      </c>
      <c r="F97">
        <v>7</v>
      </c>
      <c r="G97">
        <v>0.82105604425983869</v>
      </c>
      <c r="H97">
        <v>28</v>
      </c>
      <c r="I97">
        <v>10</v>
      </c>
      <c r="J97">
        <v>0.95441639013060242</v>
      </c>
      <c r="K97">
        <v>510029549.96819699</v>
      </c>
      <c r="L97">
        <v>54475000</v>
      </c>
      <c r="M97">
        <v>79694918.624579459</v>
      </c>
      <c r="N97">
        <v>71661000</v>
      </c>
      <c r="O97">
        <v>15888987.76</v>
      </c>
      <c r="P97">
        <v>226.10919999999999</v>
      </c>
      <c r="Q97">
        <v>1.1957554639502026</v>
      </c>
      <c r="R97">
        <v>43.616719500000002</v>
      </c>
      <c r="S97">
        <v>779.80106899999998</v>
      </c>
      <c r="T97">
        <v>1.34663642E-11</v>
      </c>
      <c r="U97">
        <v>19.273836525775479</v>
      </c>
      <c r="V97">
        <v>100.934</v>
      </c>
      <c r="W97">
        <v>-239.17423543315104</v>
      </c>
      <c r="X97">
        <v>62.838051800000002</v>
      </c>
      <c r="Y97">
        <v>92.401667099999997</v>
      </c>
      <c r="Z97">
        <v>165.7</v>
      </c>
      <c r="AA97">
        <v>231.07801799999999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P97" s="27">
        <f>SUM(AB97:AN97)+Q97</f>
        <v>1.1957554639502026</v>
      </c>
    </row>
    <row r="98" spans="1:42">
      <c r="A98">
        <v>950.06057747995396</v>
      </c>
      <c r="B98">
        <v>30</v>
      </c>
      <c r="C98">
        <v>12</v>
      </c>
      <c r="D98">
        <v>7.5240193001598747</v>
      </c>
      <c r="E98">
        <v>24</v>
      </c>
      <c r="F98">
        <v>14</v>
      </c>
      <c r="G98">
        <v>0.60021220735341962</v>
      </c>
      <c r="H98">
        <v>15</v>
      </c>
      <c r="I98">
        <v>8</v>
      </c>
      <c r="J98">
        <v>0.72628458076149549</v>
      </c>
      <c r="K98">
        <v>509939435.7262575</v>
      </c>
      <c r="L98">
        <v>54497400</v>
      </c>
      <c r="M98">
        <v>79720584.972666502</v>
      </c>
      <c r="N98">
        <v>72409100</v>
      </c>
      <c r="O98">
        <v>15897353.92</v>
      </c>
      <c r="P98">
        <v>227.77906200000001</v>
      </c>
      <c r="Q98">
        <v>1.1726567297050432</v>
      </c>
      <c r="R98">
        <v>43.621797299999997</v>
      </c>
      <c r="S98">
        <v>779.66094500000008</v>
      </c>
      <c r="T98">
        <v>1.36898774E-17</v>
      </c>
      <c r="U98">
        <v>19.188612497555098</v>
      </c>
      <c r="V98">
        <v>100.934</v>
      </c>
      <c r="W98">
        <v>-238.19181029070697</v>
      </c>
      <c r="X98">
        <v>62.808799800000003</v>
      </c>
      <c r="Y98">
        <v>92.427951100000001</v>
      </c>
      <c r="Z98">
        <v>177.97</v>
      </c>
      <c r="AA98">
        <v>232.599074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P98" s="27">
        <f>SUM(AB98:AN98)+Q98</f>
        <v>1.1726567297050432</v>
      </c>
    </row>
    <row r="99" spans="1:42">
      <c r="A99">
        <v>930.5702305762901</v>
      </c>
      <c r="B99">
        <v>27</v>
      </c>
      <c r="C99">
        <v>17</v>
      </c>
      <c r="D99">
        <v>8.0225111770764563</v>
      </c>
      <c r="E99">
        <v>28</v>
      </c>
      <c r="F99">
        <v>6</v>
      </c>
      <c r="G99">
        <v>0.72965861404706778</v>
      </c>
      <c r="H99">
        <v>29</v>
      </c>
      <c r="I99">
        <v>11</v>
      </c>
      <c r="J99">
        <v>1.2917333432552567</v>
      </c>
      <c r="K99">
        <v>509965110.30123925</v>
      </c>
      <c r="L99">
        <v>54475200</v>
      </c>
      <c r="M99">
        <v>79695517.937994406</v>
      </c>
      <c r="N99">
        <v>71867300</v>
      </c>
      <c r="O99">
        <v>15887252.800000001</v>
      </c>
      <c r="P99">
        <v>225.732325</v>
      </c>
      <c r="Q99">
        <v>1.1935276463431923</v>
      </c>
      <c r="R99">
        <v>43.645141600000002</v>
      </c>
      <c r="S99">
        <v>780.08556399999998</v>
      </c>
      <c r="T99">
        <v>1.04495586E-10</v>
      </c>
      <c r="U99">
        <v>19.347838118313135</v>
      </c>
      <c r="V99">
        <v>91.850000000000009</v>
      </c>
      <c r="W99">
        <v>-238.49101560065583</v>
      </c>
      <c r="X99">
        <v>62.837450699999998</v>
      </c>
      <c r="Y99">
        <v>92.526900499999996</v>
      </c>
      <c r="Z99">
        <v>203.285</v>
      </c>
      <c r="AA99">
        <v>230.79791299999999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P99" s="27">
        <f>SUM(AB99:AN99)+Q99</f>
        <v>1.1935276463431923</v>
      </c>
    </row>
    <row r="100" spans="1:42">
      <c r="A100">
        <v>949.98657627651403</v>
      </c>
      <c r="B100">
        <v>27</v>
      </c>
      <c r="C100">
        <v>16</v>
      </c>
      <c r="D100">
        <v>7.3550455418782628</v>
      </c>
      <c r="E100">
        <v>13</v>
      </c>
      <c r="F100">
        <v>11</v>
      </c>
      <c r="G100">
        <v>1.0052285346441112</v>
      </c>
      <c r="H100">
        <v>11</v>
      </c>
      <c r="I100">
        <v>8</v>
      </c>
      <c r="J100">
        <v>1.3840503501922086</v>
      </c>
      <c r="K100">
        <v>509751437.063887</v>
      </c>
      <c r="L100">
        <v>54462300</v>
      </c>
      <c r="M100">
        <v>79719784.738052458</v>
      </c>
      <c r="N100">
        <v>70926600</v>
      </c>
      <c r="O100">
        <v>15897962.719999999</v>
      </c>
      <c r="P100">
        <v>229.26608999999999</v>
      </c>
      <c r="Q100">
        <v>1.1923627371360328</v>
      </c>
      <c r="R100">
        <v>43.473876099999998</v>
      </c>
      <c r="S100">
        <v>780.17625899999996</v>
      </c>
      <c r="T100">
        <v>6.3196002300000002E-14</v>
      </c>
      <c r="U100">
        <v>18.739603810341563</v>
      </c>
      <c r="V100">
        <v>91.850000000000009</v>
      </c>
      <c r="W100">
        <v>-241.43783665026189</v>
      </c>
      <c r="X100">
        <v>62.830465599999997</v>
      </c>
      <c r="Y100">
        <v>92.536888000000005</v>
      </c>
      <c r="Z100">
        <v>100.934</v>
      </c>
      <c r="AA100">
        <v>230.38567499999999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P100" s="27">
        <f>SUM(AB100:AN100)+Q100</f>
        <v>1.1923627371360328</v>
      </c>
    </row>
    <row r="101" spans="1:42">
      <c r="A101">
        <v>957.48847673183559</v>
      </c>
      <c r="B101">
        <v>33</v>
      </c>
      <c r="C101">
        <v>14</v>
      </c>
      <c r="D101">
        <v>8.1066079943181695</v>
      </c>
      <c r="E101">
        <v>28</v>
      </c>
      <c r="F101">
        <v>13</v>
      </c>
      <c r="G101">
        <v>0.38079103183392427</v>
      </c>
      <c r="H101">
        <v>24</v>
      </c>
      <c r="I101">
        <v>7</v>
      </c>
      <c r="J101">
        <v>0.95501394875365064</v>
      </c>
      <c r="K101">
        <v>504431861.03349137</v>
      </c>
      <c r="L101">
        <v>54462300</v>
      </c>
      <c r="M101">
        <v>79719902.510400251</v>
      </c>
      <c r="N101">
        <v>70926600</v>
      </c>
      <c r="O101">
        <v>16380154.560000001</v>
      </c>
      <c r="P101">
        <v>219.76295500000001</v>
      </c>
      <c r="Q101">
        <v>1.2274913259935352</v>
      </c>
      <c r="R101">
        <v>43.639691900000003</v>
      </c>
      <c r="S101">
        <v>779.58316400000001</v>
      </c>
      <c r="T101">
        <v>5.0322642900000003E-16</v>
      </c>
      <c r="U101">
        <v>19.385957374864009</v>
      </c>
      <c r="V101">
        <v>100.934</v>
      </c>
      <c r="W101">
        <v>-236.14797907605603</v>
      </c>
      <c r="X101">
        <v>62.905643900000001</v>
      </c>
      <c r="Y101">
        <v>92.367797400000001</v>
      </c>
      <c r="Z101">
        <v>180.98100000000002</v>
      </c>
      <c r="AA101">
        <v>231.765106</v>
      </c>
      <c r="AB101">
        <v>100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P101" s="27">
        <f>SUM(AB101:AN101)+Q101</f>
        <v>101.22749132599354</v>
      </c>
    </row>
    <row r="102" spans="1:42">
      <c r="A102">
        <v>920.80455481748641</v>
      </c>
      <c r="B102">
        <v>29</v>
      </c>
      <c r="C102">
        <v>15</v>
      </c>
      <c r="D102">
        <v>10.278060264397062</v>
      </c>
      <c r="E102">
        <v>17</v>
      </c>
      <c r="F102">
        <v>7</v>
      </c>
      <c r="G102">
        <v>1.1798785562492038</v>
      </c>
      <c r="H102">
        <v>21</v>
      </c>
      <c r="I102">
        <v>12</v>
      </c>
      <c r="J102">
        <v>1.1051941715403357</v>
      </c>
      <c r="K102">
        <v>510086975.7312308</v>
      </c>
      <c r="L102">
        <v>54436800</v>
      </c>
      <c r="M102">
        <v>79687028.99032931</v>
      </c>
      <c r="N102">
        <v>71598800</v>
      </c>
      <c r="O102">
        <v>15897058.960000001</v>
      </c>
      <c r="P102">
        <v>0</v>
      </c>
      <c r="Q102">
        <v>76601543.64510867</v>
      </c>
      <c r="R102">
        <v>43.635530899999999</v>
      </c>
      <c r="S102">
        <v>780.14448599999992</v>
      </c>
      <c r="T102">
        <v>6.8651349299999997E-12</v>
      </c>
      <c r="U102">
        <v>19.237872839934358</v>
      </c>
      <c r="V102">
        <v>100.934</v>
      </c>
      <c r="W102">
        <v>-238.30760757402791</v>
      </c>
      <c r="X102">
        <v>62.848591300000002</v>
      </c>
      <c r="Y102">
        <v>92.413572000000002</v>
      </c>
      <c r="Z102">
        <v>180.98100000000002</v>
      </c>
      <c r="AA102">
        <v>231.45750899999999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P102" s="27">
        <f>SUM(AB102:AN102)+Q102</f>
        <v>76601543.64510867</v>
      </c>
    </row>
    <row r="103" spans="1:42">
      <c r="A103">
        <v>943.72923700552087</v>
      </c>
      <c r="B103">
        <v>35</v>
      </c>
      <c r="C103">
        <v>11</v>
      </c>
      <c r="D103">
        <v>1.6410758681100424</v>
      </c>
      <c r="E103">
        <v>18</v>
      </c>
      <c r="F103">
        <v>7</v>
      </c>
      <c r="G103">
        <v>1.0108132411402175</v>
      </c>
      <c r="H103">
        <v>17</v>
      </c>
      <c r="I103">
        <v>8</v>
      </c>
      <c r="J103">
        <v>0.66041226556186983</v>
      </c>
      <c r="K103">
        <v>508831377.12339091</v>
      </c>
      <c r="L103">
        <v>54456600</v>
      </c>
      <c r="M103">
        <v>79712195.996445045</v>
      </c>
      <c r="N103">
        <v>72345600</v>
      </c>
      <c r="O103">
        <v>15890996.48</v>
      </c>
      <c r="P103">
        <v>226.23522600000001</v>
      </c>
      <c r="Q103">
        <v>1.1777769930223592</v>
      </c>
      <c r="R103">
        <v>43.615007800000001</v>
      </c>
      <c r="S103">
        <v>780.38687399999992</v>
      </c>
      <c r="T103">
        <v>8.0381018599999998E-12</v>
      </c>
      <c r="U103">
        <v>19.288271678707112</v>
      </c>
      <c r="V103">
        <v>100.934</v>
      </c>
      <c r="W103">
        <v>-213.43136852875725</v>
      </c>
      <c r="X103">
        <v>62.873845000000003</v>
      </c>
      <c r="Y103">
        <v>93.407002700000007</v>
      </c>
      <c r="Z103">
        <v>180.98100000000002</v>
      </c>
      <c r="AA103">
        <v>232.384995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P103" s="27">
        <f>SUM(AB103:AN103)+Q103</f>
        <v>1.1777769930223592</v>
      </c>
    </row>
    <row r="104" spans="1:42">
      <c r="A104">
        <v>944.68838464843441</v>
      </c>
      <c r="B104">
        <v>32</v>
      </c>
      <c r="C104">
        <v>18</v>
      </c>
      <c r="D104">
        <v>1.0638593668886474</v>
      </c>
      <c r="E104">
        <v>10</v>
      </c>
      <c r="F104">
        <v>6</v>
      </c>
      <c r="G104">
        <v>0.6626125105209375</v>
      </c>
      <c r="H104">
        <v>19</v>
      </c>
      <c r="I104">
        <v>14</v>
      </c>
      <c r="J104">
        <v>1.1414115221127474</v>
      </c>
      <c r="K104">
        <v>508502478.68782717</v>
      </c>
      <c r="L104">
        <v>54440200</v>
      </c>
      <c r="M104">
        <v>79712994.082347795</v>
      </c>
      <c r="N104">
        <v>72219400</v>
      </c>
      <c r="O104">
        <v>15891245.52</v>
      </c>
      <c r="P104">
        <v>224.14680000000001</v>
      </c>
      <c r="Q104">
        <v>1.1899168953617689</v>
      </c>
      <c r="R104">
        <v>43.511682299999997</v>
      </c>
      <c r="S104">
        <v>780.32533000000001</v>
      </c>
      <c r="T104">
        <v>1.75016974E-10</v>
      </c>
      <c r="U104">
        <v>19.448081215467802</v>
      </c>
      <c r="V104">
        <v>80.72</v>
      </c>
      <c r="W104">
        <v>-164.6874475190383</v>
      </c>
      <c r="X104">
        <v>63.030672899999999</v>
      </c>
      <c r="Y104">
        <v>94.582071400000004</v>
      </c>
      <c r="Z104">
        <v>144.29</v>
      </c>
      <c r="AA104">
        <v>229.995632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P104" s="27">
        <f>SUM(AB104:AN104)+Q104</f>
        <v>1.1899168953617689</v>
      </c>
    </row>
    <row r="105" spans="1:42">
      <c r="A105">
        <v>916.24528510806647</v>
      </c>
      <c r="B105">
        <v>37</v>
      </c>
      <c r="C105">
        <v>13</v>
      </c>
      <c r="D105">
        <v>6.4411760655391523</v>
      </c>
      <c r="E105">
        <v>25</v>
      </c>
      <c r="F105">
        <v>7</v>
      </c>
      <c r="G105">
        <v>0.96165584327916731</v>
      </c>
      <c r="H105">
        <v>16</v>
      </c>
      <c r="I105">
        <v>9</v>
      </c>
      <c r="J105">
        <v>0.6954060571283559</v>
      </c>
      <c r="K105">
        <v>509689754.9456265</v>
      </c>
      <c r="L105">
        <v>54445300</v>
      </c>
      <c r="M105">
        <v>79681636.206868351</v>
      </c>
      <c r="N105">
        <v>71545700</v>
      </c>
      <c r="O105">
        <v>15892520.399999999</v>
      </c>
      <c r="P105">
        <v>224.718976</v>
      </c>
      <c r="Q105">
        <v>1.2038080276967</v>
      </c>
      <c r="R105">
        <v>43.641247300000003</v>
      </c>
      <c r="S105">
        <v>780.29813899999999</v>
      </c>
      <c r="T105">
        <v>7.5066580499999999E-12</v>
      </c>
      <c r="U105">
        <v>19.241390007176804</v>
      </c>
      <c r="V105">
        <v>100.934</v>
      </c>
      <c r="W105">
        <v>-237.8855557725044</v>
      </c>
      <c r="X105">
        <v>62.857690499999997</v>
      </c>
      <c r="Y105">
        <v>92.336861999999996</v>
      </c>
      <c r="Z105">
        <v>203.285</v>
      </c>
      <c r="AA105">
        <v>232.54051000000001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P105" s="27">
        <f>SUM(AB105:AN105)+Q105</f>
        <v>1.2038080276967</v>
      </c>
    </row>
    <row r="106" spans="1:42">
      <c r="A106">
        <v>958.02212077304262</v>
      </c>
      <c r="B106">
        <v>38</v>
      </c>
      <c r="C106">
        <v>14</v>
      </c>
      <c r="D106">
        <v>14.199947047704271</v>
      </c>
      <c r="E106">
        <v>19</v>
      </c>
      <c r="F106">
        <v>7</v>
      </c>
      <c r="G106">
        <v>0.77933926988917313</v>
      </c>
      <c r="H106">
        <v>29</v>
      </c>
      <c r="I106">
        <v>11</v>
      </c>
      <c r="J106">
        <v>1.371972927842906</v>
      </c>
      <c r="K106">
        <v>505695873.67799401</v>
      </c>
      <c r="L106">
        <v>54445300</v>
      </c>
      <c r="M106">
        <v>79681702.440755621</v>
      </c>
      <c r="N106">
        <v>71545700</v>
      </c>
      <c r="O106">
        <v>16383275.52</v>
      </c>
      <c r="P106">
        <v>219.36518000000001</v>
      </c>
      <c r="Q106">
        <v>1.2208283942916256</v>
      </c>
      <c r="R106">
        <v>43.637682699999999</v>
      </c>
      <c r="S106">
        <v>779.98916199999996</v>
      </c>
      <c r="T106">
        <v>1.1952839899999999E-11</v>
      </c>
      <c r="U106">
        <v>19.283163256998982</v>
      </c>
      <c r="V106">
        <v>100.934</v>
      </c>
      <c r="W106">
        <v>-236.48605704650882</v>
      </c>
      <c r="X106">
        <v>62.905089799999999</v>
      </c>
      <c r="Y106">
        <v>92.126423799999998</v>
      </c>
      <c r="Z106">
        <v>180.98100000000002</v>
      </c>
      <c r="AA106">
        <v>230.71301800000001</v>
      </c>
      <c r="AB106">
        <v>100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P106" s="27">
        <f>SUM(AB106:AN106)+Q106</f>
        <v>101.22082839429163</v>
      </c>
    </row>
    <row r="107" spans="1:42">
      <c r="A107">
        <v>911.33168888285718</v>
      </c>
      <c r="B107">
        <v>38</v>
      </c>
      <c r="C107">
        <v>11</v>
      </c>
      <c r="D107">
        <v>7.9729547403130914</v>
      </c>
      <c r="E107">
        <v>15</v>
      </c>
      <c r="F107">
        <v>9</v>
      </c>
      <c r="G107">
        <v>0.81396503151150812</v>
      </c>
      <c r="H107">
        <v>21</v>
      </c>
      <c r="I107">
        <v>8</v>
      </c>
      <c r="J107">
        <v>0.64972736012607379</v>
      </c>
      <c r="K107">
        <v>509763198.53504896</v>
      </c>
      <c r="L107">
        <v>54442900</v>
      </c>
      <c r="M107">
        <v>79675743.746977568</v>
      </c>
      <c r="N107">
        <v>71155800</v>
      </c>
      <c r="O107">
        <v>15893385.120000001</v>
      </c>
      <c r="P107">
        <v>224.998267</v>
      </c>
      <c r="Q107">
        <v>1.2101378620975927</v>
      </c>
      <c r="R107">
        <v>43.604360100000001</v>
      </c>
      <c r="S107">
        <v>779.78036399999996</v>
      </c>
      <c r="T107">
        <v>2.2823359999999999E-13</v>
      </c>
      <c r="U107">
        <v>19.181793992963332</v>
      </c>
      <c r="V107">
        <v>100.934</v>
      </c>
      <c r="W107">
        <v>-238.68732000509337</v>
      </c>
      <c r="X107">
        <v>62.8631125</v>
      </c>
      <c r="Y107">
        <v>92.266500699999995</v>
      </c>
      <c r="Z107">
        <v>165.7</v>
      </c>
      <c r="AA107">
        <v>231.81145100000001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P107" s="27">
        <f>SUM(AB107:AN107)+Q107</f>
        <v>1.2101378620975927</v>
      </c>
    </row>
    <row r="108" spans="1:42">
      <c r="A108">
        <v>930.53473241203801</v>
      </c>
      <c r="B108">
        <v>35</v>
      </c>
      <c r="C108">
        <v>15</v>
      </c>
      <c r="D108">
        <v>13.228211744092285</v>
      </c>
      <c r="E108">
        <v>29</v>
      </c>
      <c r="F108">
        <v>9</v>
      </c>
      <c r="G108">
        <v>1.1773634088423266</v>
      </c>
      <c r="H108">
        <v>26</v>
      </c>
      <c r="I108">
        <v>14</v>
      </c>
      <c r="J108">
        <v>0.97996820108146143</v>
      </c>
      <c r="K108">
        <v>511084932.8137784</v>
      </c>
      <c r="L108">
        <v>54515100</v>
      </c>
      <c r="M108">
        <v>79695417.958538547</v>
      </c>
      <c r="N108">
        <v>71736600</v>
      </c>
      <c r="O108">
        <v>15890658.719999999</v>
      </c>
      <c r="P108">
        <v>225.122433</v>
      </c>
      <c r="Q108">
        <v>1.2034831476913657</v>
      </c>
      <c r="R108">
        <v>43.642367</v>
      </c>
      <c r="S108">
        <v>780.86134500000003</v>
      </c>
      <c r="T108">
        <v>5.87753566E-14</v>
      </c>
      <c r="U108">
        <v>19.179328849379999</v>
      </c>
      <c r="V108">
        <v>100.934</v>
      </c>
      <c r="W108">
        <v>-238.73579747230229</v>
      </c>
      <c r="X108">
        <v>62.8372095</v>
      </c>
      <c r="Y108">
        <v>92.202955900000006</v>
      </c>
      <c r="Z108">
        <v>203.285</v>
      </c>
      <c r="AA108">
        <v>231.084858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P108" s="27">
        <f>SUM(AB108:AN108)+Q108</f>
        <v>1.2034831476913657</v>
      </c>
    </row>
    <row r="109" spans="1:42">
      <c r="A109">
        <v>958.68927665016815</v>
      </c>
      <c r="B109">
        <v>35</v>
      </c>
      <c r="C109">
        <v>18</v>
      </c>
      <c r="D109">
        <v>5.4375931633844328</v>
      </c>
      <c r="E109">
        <v>18</v>
      </c>
      <c r="F109">
        <v>13</v>
      </c>
      <c r="G109">
        <v>0.52783149926116535</v>
      </c>
      <c r="H109">
        <v>25</v>
      </c>
      <c r="I109">
        <v>9</v>
      </c>
      <c r="J109">
        <v>1.0183842123430362</v>
      </c>
      <c r="K109">
        <v>506701517.0146414</v>
      </c>
      <c r="L109">
        <v>54515100</v>
      </c>
      <c r="M109">
        <v>79695502.303931668</v>
      </c>
      <c r="N109">
        <v>71736600</v>
      </c>
      <c r="O109">
        <v>16378702.32</v>
      </c>
      <c r="P109">
        <v>220.37945300000001</v>
      </c>
      <c r="Q109">
        <v>1.2158817272537688</v>
      </c>
      <c r="R109">
        <v>43.552358300000002</v>
      </c>
      <c r="S109">
        <v>779.494687</v>
      </c>
      <c r="T109">
        <v>2.7521758600000002E-16</v>
      </c>
      <c r="U109">
        <v>19.083468935445904</v>
      </c>
      <c r="V109">
        <v>100.934</v>
      </c>
      <c r="W109">
        <v>-239.10520192656193</v>
      </c>
      <c r="X109">
        <v>62.906188399999998</v>
      </c>
      <c r="Y109">
        <v>92.453430299999994</v>
      </c>
      <c r="Z109">
        <v>144.29</v>
      </c>
      <c r="AA109">
        <v>230.59810999999999</v>
      </c>
      <c r="AB109">
        <v>100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P109" s="27">
        <f>SUM(AB109:AN109)+Q109</f>
        <v>101.21588172725377</v>
      </c>
    </row>
    <row r="110" spans="1:42">
      <c r="A110">
        <v>938.15839891200869</v>
      </c>
      <c r="B110">
        <v>34</v>
      </c>
      <c r="C110">
        <v>17</v>
      </c>
      <c r="D110">
        <v>10.60010745117982</v>
      </c>
      <c r="E110">
        <v>24</v>
      </c>
      <c r="F110">
        <v>6</v>
      </c>
      <c r="G110">
        <v>1.1402417143621599</v>
      </c>
      <c r="H110">
        <v>29</v>
      </c>
      <c r="I110">
        <v>12</v>
      </c>
      <c r="J110">
        <v>0.81373569544605528</v>
      </c>
      <c r="K110">
        <v>510508281.27697074</v>
      </c>
      <c r="L110">
        <v>54533000</v>
      </c>
      <c r="M110">
        <v>79705005.400112942</v>
      </c>
      <c r="N110">
        <v>72026700</v>
      </c>
      <c r="O110">
        <v>15892796.560000001</v>
      </c>
      <c r="P110">
        <v>226.12524500000001</v>
      </c>
      <c r="Q110">
        <v>1.1911010111407545</v>
      </c>
      <c r="R110">
        <v>43.642526400000001</v>
      </c>
      <c r="S110">
        <v>780.39219100000003</v>
      </c>
      <c r="T110">
        <v>5.3366282100000001E-11</v>
      </c>
      <c r="U110">
        <v>19.270611729850497</v>
      </c>
      <c r="V110">
        <v>100.934</v>
      </c>
      <c r="W110">
        <v>-238.26701283665989</v>
      </c>
      <c r="X110">
        <v>62.8253281</v>
      </c>
      <c r="Y110">
        <v>92.269219399999997</v>
      </c>
      <c r="Z110">
        <v>203.285</v>
      </c>
      <c r="AA110">
        <v>231.382563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P110" s="27">
        <f>SUM(AB110:AN110)+Q110</f>
        <v>1.1911010111407545</v>
      </c>
    </row>
    <row r="111" spans="1:42">
      <c r="A111">
        <v>924.89042893059479</v>
      </c>
      <c r="B111">
        <v>35</v>
      </c>
      <c r="C111">
        <v>17</v>
      </c>
      <c r="D111">
        <v>3.1475401739334301</v>
      </c>
      <c r="E111">
        <v>24</v>
      </c>
      <c r="F111">
        <v>13</v>
      </c>
      <c r="G111">
        <v>0.44302012430997673</v>
      </c>
      <c r="H111">
        <v>24</v>
      </c>
      <c r="I111">
        <v>13</v>
      </c>
      <c r="J111">
        <v>0.77853210709309284</v>
      </c>
      <c r="K111">
        <v>508683354.77388382</v>
      </c>
      <c r="L111">
        <v>54456000</v>
      </c>
      <c r="M111">
        <v>79688627.057126001</v>
      </c>
      <c r="N111">
        <v>71691000</v>
      </c>
      <c r="O111">
        <v>15883233.68</v>
      </c>
      <c r="P111">
        <v>225.94046800000001</v>
      </c>
      <c r="Q111">
        <v>1.1916463639852508</v>
      </c>
      <c r="R111">
        <v>43.624001300000003</v>
      </c>
      <c r="S111">
        <v>779.46124800000007</v>
      </c>
      <c r="T111">
        <v>2.9021066500000001E-16</v>
      </c>
      <c r="U111">
        <v>19.294760461457503</v>
      </c>
      <c r="V111">
        <v>100.934</v>
      </c>
      <c r="W111">
        <v>-238.14184044800101</v>
      </c>
      <c r="X111">
        <v>62.847521100000002</v>
      </c>
      <c r="Y111">
        <v>92.669505099999995</v>
      </c>
      <c r="Z111">
        <v>177.97</v>
      </c>
      <c r="AA111">
        <v>231.86373499999999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P111" s="27">
        <f>SUM(AB111:AN111)+Q111</f>
        <v>1.1916463639852508</v>
      </c>
    </row>
    <row r="112" spans="1:42">
      <c r="A112">
        <v>941.63229206693609</v>
      </c>
      <c r="B112">
        <v>30</v>
      </c>
      <c r="C112">
        <v>12</v>
      </c>
      <c r="D112">
        <v>13.839174800162425</v>
      </c>
      <c r="E112">
        <v>10</v>
      </c>
      <c r="F112">
        <v>5</v>
      </c>
      <c r="G112">
        <v>1.1547339059509989</v>
      </c>
      <c r="H112">
        <v>25</v>
      </c>
      <c r="I112">
        <v>9</v>
      </c>
      <c r="J112">
        <v>1.332358584496258</v>
      </c>
      <c r="K112">
        <v>511016970.63672733</v>
      </c>
      <c r="L112">
        <v>54487800</v>
      </c>
      <c r="M112">
        <v>79709299.454434216</v>
      </c>
      <c r="N112">
        <v>71801200</v>
      </c>
      <c r="O112">
        <v>15896309.279999999</v>
      </c>
      <c r="P112">
        <v>227.263147</v>
      </c>
      <c r="Q112">
        <v>1.1901588248105759</v>
      </c>
      <c r="R112">
        <v>43.597417700000001</v>
      </c>
      <c r="S112">
        <v>779.87291500000003</v>
      </c>
      <c r="T112">
        <v>7.3395830199999998E-10</v>
      </c>
      <c r="U112">
        <v>19.343674169834145</v>
      </c>
      <c r="V112">
        <v>100.934</v>
      </c>
      <c r="W112">
        <v>-239.56699339687111</v>
      </c>
      <c r="X112">
        <v>62.820276300000003</v>
      </c>
      <c r="Y112">
        <v>92.328733600000007</v>
      </c>
      <c r="Z112">
        <v>144.29</v>
      </c>
      <c r="AA112">
        <v>230.55367200000001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P112" s="27">
        <f>SUM(AB112:AN112)+Q112</f>
        <v>1.1901588248105759</v>
      </c>
    </row>
    <row r="113" spans="1:42">
      <c r="A113">
        <v>913.90112514985788</v>
      </c>
      <c r="B113">
        <v>29</v>
      </c>
      <c r="C113">
        <v>15</v>
      </c>
      <c r="D113">
        <v>2.1323271998499065</v>
      </c>
      <c r="E113">
        <v>29</v>
      </c>
      <c r="F113">
        <v>14</v>
      </c>
      <c r="G113">
        <v>0.82491096880494363</v>
      </c>
      <c r="H113">
        <v>26</v>
      </c>
      <c r="I113">
        <v>9</v>
      </c>
      <c r="J113">
        <v>0.35970449686584516</v>
      </c>
      <c r="K113">
        <v>508874794.28044349</v>
      </c>
      <c r="L113">
        <v>54428900</v>
      </c>
      <c r="M113">
        <v>79680741.83041501</v>
      </c>
      <c r="N113">
        <v>71676300</v>
      </c>
      <c r="O113">
        <v>15891396.16</v>
      </c>
      <c r="P113">
        <v>224.35877099999999</v>
      </c>
      <c r="Q113">
        <v>1.2003825738770819</v>
      </c>
      <c r="R113">
        <v>43.645777099999997</v>
      </c>
      <c r="S113">
        <v>780.18932200000006</v>
      </c>
      <c r="T113">
        <v>7.8115899800000002E-10</v>
      </c>
      <c r="U113">
        <v>19.410892151008106</v>
      </c>
      <c r="V113">
        <v>91.850000000000009</v>
      </c>
      <c r="W113">
        <v>-236.6542539112973</v>
      </c>
      <c r="X113">
        <v>62.850777399999998</v>
      </c>
      <c r="Y113">
        <v>92.964454500000002</v>
      </c>
      <c r="Z113">
        <v>203.285</v>
      </c>
      <c r="AA113">
        <v>234.39292399999999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P113" s="27">
        <f>SUM(AB113:AN113)+Q113</f>
        <v>1.2003825738770819</v>
      </c>
    </row>
    <row r="114" spans="1:42">
      <c r="A114">
        <v>949.50914158352418</v>
      </c>
      <c r="B114">
        <v>38</v>
      </c>
      <c r="C114">
        <v>14</v>
      </c>
      <c r="D114">
        <v>3.7102308906031936</v>
      </c>
      <c r="E114">
        <v>24</v>
      </c>
      <c r="F114">
        <v>10</v>
      </c>
      <c r="G114">
        <v>1.008937985849679</v>
      </c>
      <c r="H114">
        <v>27</v>
      </c>
      <c r="I114">
        <v>14</v>
      </c>
      <c r="J114">
        <v>0.30084350665471199</v>
      </c>
      <c r="K114">
        <v>509847048.14165771</v>
      </c>
      <c r="L114">
        <v>54524300</v>
      </c>
      <c r="M114">
        <v>79726993.742547765</v>
      </c>
      <c r="N114">
        <v>72441800</v>
      </c>
      <c r="O114">
        <v>15897441.92</v>
      </c>
      <c r="P114">
        <v>226.32011800000001</v>
      </c>
      <c r="Q114">
        <v>1.1798258648584745</v>
      </c>
      <c r="R114">
        <v>43.633965099999998</v>
      </c>
      <c r="S114">
        <v>780.72994799999992</v>
      </c>
      <c r="T114">
        <v>1.13034229E-14</v>
      </c>
      <c r="U114">
        <v>19.234791499737803</v>
      </c>
      <c r="V114">
        <v>100.934</v>
      </c>
      <c r="W114">
        <v>-237.18743904273447</v>
      </c>
      <c r="X114">
        <v>62.756523000000001</v>
      </c>
      <c r="Y114">
        <v>92.506087300000004</v>
      </c>
      <c r="Z114">
        <v>180.98100000000002</v>
      </c>
      <c r="AA114">
        <v>235.465341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P114" s="27">
        <f>SUM(AB114:AN114)+Q114</f>
        <v>1.1798258648584745</v>
      </c>
    </row>
    <row r="115" spans="1:42">
      <c r="A115">
        <v>923.87653872053932</v>
      </c>
      <c r="B115">
        <v>32</v>
      </c>
      <c r="C115">
        <v>14</v>
      </c>
      <c r="D115">
        <v>1.6991872614818566</v>
      </c>
      <c r="E115">
        <v>28</v>
      </c>
      <c r="F115">
        <v>9</v>
      </c>
      <c r="G115">
        <v>1.0906851640897235</v>
      </c>
      <c r="H115">
        <v>14</v>
      </c>
      <c r="I115">
        <v>7</v>
      </c>
      <c r="J115">
        <v>1.0022132213288992</v>
      </c>
      <c r="K115">
        <v>508487332.54140079</v>
      </c>
      <c r="L115">
        <v>54439700</v>
      </c>
      <c r="M115">
        <v>79690824.091579795</v>
      </c>
      <c r="N115">
        <v>71762200</v>
      </c>
      <c r="O115">
        <v>15893346.879999999</v>
      </c>
      <c r="P115">
        <v>224.588067</v>
      </c>
      <c r="Q115">
        <v>1.1965097489016989</v>
      </c>
      <c r="R115">
        <v>43.631264899999998</v>
      </c>
      <c r="S115">
        <v>780.80178899999999</v>
      </c>
      <c r="T115">
        <v>6.8954901699999997E-14</v>
      </c>
      <c r="U115">
        <v>19.205369247570843</v>
      </c>
      <c r="V115">
        <v>91.850000000000009</v>
      </c>
      <c r="W115">
        <v>-228.00516617115593</v>
      </c>
      <c r="X115">
        <v>62.870657199999997</v>
      </c>
      <c r="Y115">
        <v>93.338073699999995</v>
      </c>
      <c r="Z115">
        <v>203.285</v>
      </c>
      <c r="AA115">
        <v>232.09273300000001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P115" s="27">
        <f>SUM(AB115:AN115)+Q115</f>
        <v>1.1965097489016989</v>
      </c>
    </row>
    <row r="116" spans="1:42">
      <c r="A116">
        <v>918.75361957401049</v>
      </c>
      <c r="B116">
        <v>37</v>
      </c>
      <c r="C116">
        <v>10</v>
      </c>
      <c r="D116">
        <v>7.4922938543782749</v>
      </c>
      <c r="E116">
        <v>14</v>
      </c>
      <c r="F116">
        <v>8</v>
      </c>
      <c r="G116">
        <v>0.92787830975469987</v>
      </c>
      <c r="H116">
        <v>11</v>
      </c>
      <c r="I116">
        <v>7</v>
      </c>
      <c r="J116">
        <v>0.78077519683790519</v>
      </c>
      <c r="K116">
        <v>509412844.41052359</v>
      </c>
      <c r="L116">
        <v>54430900</v>
      </c>
      <c r="M116">
        <v>79684632.353609994</v>
      </c>
      <c r="N116">
        <v>71469400</v>
      </c>
      <c r="O116">
        <v>15893878</v>
      </c>
      <c r="P116">
        <v>225.58022500000001</v>
      </c>
      <c r="Q116">
        <v>1.1995899589483017</v>
      </c>
      <c r="R116">
        <v>43.609980299999997</v>
      </c>
      <c r="S116">
        <v>779.82872299999997</v>
      </c>
      <c r="T116">
        <v>1.4433531999999999E-12</v>
      </c>
      <c r="U116">
        <v>19.197440385387036</v>
      </c>
      <c r="V116">
        <v>100.934</v>
      </c>
      <c r="W116">
        <v>-238.44653548877423</v>
      </c>
      <c r="X116">
        <v>62.864800899999999</v>
      </c>
      <c r="Y116">
        <v>92.316960699999996</v>
      </c>
      <c r="Z116">
        <v>165.7</v>
      </c>
      <c r="AA116">
        <v>233.138293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P116" s="27">
        <f>SUM(AB116:AN116)+Q116</f>
        <v>1.1995899589483017</v>
      </c>
    </row>
    <row r="117" spans="1:42">
      <c r="A117">
        <v>958.30581946932784</v>
      </c>
      <c r="B117">
        <v>31</v>
      </c>
      <c r="C117">
        <v>13</v>
      </c>
      <c r="D117">
        <v>8.6087439071866463</v>
      </c>
      <c r="E117">
        <v>17</v>
      </c>
      <c r="F117">
        <v>14</v>
      </c>
      <c r="G117">
        <v>0.35904985420146851</v>
      </c>
      <c r="H117">
        <v>17</v>
      </c>
      <c r="I117">
        <v>11</v>
      </c>
      <c r="J117">
        <v>0.30470811672671977</v>
      </c>
      <c r="K117">
        <v>505459180.88409293</v>
      </c>
      <c r="L117">
        <v>54430900</v>
      </c>
      <c r="M117">
        <v>79684704.514275387</v>
      </c>
      <c r="N117">
        <v>71469400</v>
      </c>
      <c r="O117">
        <v>16381286.16</v>
      </c>
      <c r="P117">
        <v>0</v>
      </c>
      <c r="Q117">
        <v>75866317.421177477</v>
      </c>
      <c r="R117">
        <v>43.436022100000002</v>
      </c>
      <c r="S117">
        <v>780.47924699999999</v>
      </c>
      <c r="T117">
        <v>5.40702584E-16</v>
      </c>
      <c r="U117">
        <v>19.005978696358007</v>
      </c>
      <c r="V117">
        <v>100.934</v>
      </c>
      <c r="W117">
        <v>-240.66449059552556</v>
      </c>
      <c r="X117">
        <v>62.927982499999999</v>
      </c>
      <c r="Y117">
        <v>92.416091600000001</v>
      </c>
      <c r="Z117">
        <v>121.52199999999999</v>
      </c>
      <c r="AA117">
        <v>232.02193700000001</v>
      </c>
      <c r="AB117">
        <v>100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P117" s="27">
        <f>SUM(AB117:AN117)+Q117</f>
        <v>75866417.421177477</v>
      </c>
    </row>
    <row r="118" spans="1:42">
      <c r="A118">
        <v>913.21670615732671</v>
      </c>
      <c r="B118">
        <v>35</v>
      </c>
      <c r="C118">
        <v>14</v>
      </c>
      <c r="D118">
        <v>14.744365437417152</v>
      </c>
      <c r="E118">
        <v>29</v>
      </c>
      <c r="F118">
        <v>12</v>
      </c>
      <c r="G118">
        <v>1.0885837917786387</v>
      </c>
      <c r="H118">
        <v>13</v>
      </c>
      <c r="I118">
        <v>9</v>
      </c>
      <c r="J118">
        <v>1.126993890793329</v>
      </c>
      <c r="K118">
        <v>511035667.20125067</v>
      </c>
      <c r="L118">
        <v>54478100</v>
      </c>
      <c r="M118">
        <v>79677940.863607928</v>
      </c>
      <c r="N118">
        <v>71397300</v>
      </c>
      <c r="O118">
        <v>15897393.200000001</v>
      </c>
      <c r="P118">
        <v>224.05744300000001</v>
      </c>
      <c r="Q118">
        <v>1.2150101400247388</v>
      </c>
      <c r="R118">
        <v>43.642492699999998</v>
      </c>
      <c r="S118">
        <v>780.88621499999999</v>
      </c>
      <c r="T118">
        <v>1.13796401E-16</v>
      </c>
      <c r="U118">
        <v>19.144347985092068</v>
      </c>
      <c r="V118">
        <v>100.934</v>
      </c>
      <c r="W118">
        <v>-238.87771840454116</v>
      </c>
      <c r="X118">
        <v>62.866818600000002</v>
      </c>
      <c r="Y118">
        <v>92.198366300000004</v>
      </c>
      <c r="Z118">
        <v>203.285</v>
      </c>
      <c r="AA118">
        <v>232.44804600000001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P118" s="27">
        <f>SUM(AB118:AN118)+Q118</f>
        <v>1.2150101400247388</v>
      </c>
    </row>
    <row r="119" spans="1:42">
      <c r="A119">
        <v>936.25147234170402</v>
      </c>
      <c r="B119">
        <v>36</v>
      </c>
      <c r="C119">
        <v>10</v>
      </c>
      <c r="D119">
        <v>7.3002723699501679</v>
      </c>
      <c r="E119">
        <v>15</v>
      </c>
      <c r="F119">
        <v>13</v>
      </c>
      <c r="G119">
        <v>1.1483502968299486</v>
      </c>
      <c r="H119">
        <v>22</v>
      </c>
      <c r="I119">
        <v>10</v>
      </c>
      <c r="J119">
        <v>1.1946871077482721</v>
      </c>
      <c r="K119">
        <v>511968051.0017361</v>
      </c>
      <c r="L119">
        <v>54478100</v>
      </c>
      <c r="M119">
        <v>79677906.315765142</v>
      </c>
      <c r="N119">
        <v>71397300</v>
      </c>
      <c r="O119">
        <v>15891771.76</v>
      </c>
      <c r="P119">
        <v>227.81670700000001</v>
      </c>
      <c r="Q119">
        <v>1.197739280702216</v>
      </c>
      <c r="R119">
        <v>43.488854099999998</v>
      </c>
      <c r="S119">
        <v>780.26252699999998</v>
      </c>
      <c r="T119">
        <v>9.7221795000000002E-17</v>
      </c>
      <c r="U119">
        <v>18.747377339784901</v>
      </c>
      <c r="V119">
        <v>100.934</v>
      </c>
      <c r="W119">
        <v>-239.56277583490504</v>
      </c>
      <c r="X119">
        <v>62.827976700000001</v>
      </c>
      <c r="Y119">
        <v>92.327454700000004</v>
      </c>
      <c r="Z119">
        <v>121.52199999999999</v>
      </c>
      <c r="AA119">
        <v>229.60923399999999</v>
      </c>
      <c r="AB119">
        <v>100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P119" s="27">
        <f>SUM(AB119:AN119)+Q119</f>
        <v>101.19773928070222</v>
      </c>
    </row>
    <row r="120" spans="1:42">
      <c r="A120">
        <v>951.66784842075094</v>
      </c>
      <c r="B120">
        <v>39</v>
      </c>
      <c r="C120">
        <v>16</v>
      </c>
      <c r="D120">
        <v>1.9250593283389081</v>
      </c>
      <c r="E120">
        <v>12</v>
      </c>
      <c r="F120">
        <v>5</v>
      </c>
      <c r="G120">
        <v>0.62032015120940442</v>
      </c>
      <c r="H120">
        <v>29</v>
      </c>
      <c r="I120">
        <v>7</v>
      </c>
      <c r="J120">
        <v>0.73526772323090028</v>
      </c>
      <c r="K120">
        <v>509412973.30242169</v>
      </c>
      <c r="L120">
        <v>54504200</v>
      </c>
      <c r="M120">
        <v>79722682.106348485</v>
      </c>
      <c r="N120">
        <v>72247900</v>
      </c>
      <c r="O120">
        <v>15895930.560000001</v>
      </c>
      <c r="P120">
        <v>227.95375799999999</v>
      </c>
      <c r="Q120">
        <v>1.1734435518496733</v>
      </c>
      <c r="R120">
        <v>43.603594800000003</v>
      </c>
      <c r="S120">
        <v>779.97588600000006</v>
      </c>
      <c r="T120">
        <v>1.4652858899999999E-9</v>
      </c>
      <c r="U120">
        <v>19.473451916592431</v>
      </c>
      <c r="V120">
        <v>100.934</v>
      </c>
      <c r="W120">
        <v>-236.738825821577</v>
      </c>
      <c r="X120">
        <v>62.8106905</v>
      </c>
      <c r="Y120">
        <v>92.950724800000003</v>
      </c>
      <c r="Z120">
        <v>165.7</v>
      </c>
      <c r="AA120">
        <v>231.52638200000001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P120" s="27">
        <f>SUM(AB120:AN120)+Q120</f>
        <v>1.1734435518496733</v>
      </c>
    </row>
    <row r="121" spans="1:42">
      <c r="A121">
        <v>932.0900591934801</v>
      </c>
      <c r="B121">
        <v>32</v>
      </c>
      <c r="C121">
        <v>15</v>
      </c>
      <c r="D121">
        <v>11.658973290466676</v>
      </c>
      <c r="E121">
        <v>24</v>
      </c>
      <c r="F121">
        <v>14</v>
      </c>
      <c r="G121">
        <v>0.56028509504501878</v>
      </c>
      <c r="H121">
        <v>13</v>
      </c>
      <c r="I121">
        <v>11</v>
      </c>
      <c r="J121">
        <v>1.2332799884585504</v>
      </c>
      <c r="K121">
        <v>510082960.29731739</v>
      </c>
      <c r="L121">
        <v>54467100</v>
      </c>
      <c r="M121">
        <v>79697515.532892272</v>
      </c>
      <c r="N121">
        <v>72134300</v>
      </c>
      <c r="O121">
        <v>15890766.24</v>
      </c>
      <c r="P121">
        <v>226.35149100000001</v>
      </c>
      <c r="Q121">
        <v>1.18525125404938</v>
      </c>
      <c r="R121">
        <v>43.653157999999998</v>
      </c>
      <c r="S121">
        <v>779.938717</v>
      </c>
      <c r="T121">
        <v>1.4465754300000001E-9</v>
      </c>
      <c r="U121">
        <v>19.491729825692591</v>
      </c>
      <c r="V121">
        <v>100.934</v>
      </c>
      <c r="W121">
        <v>-238.03434370938729</v>
      </c>
      <c r="X121">
        <v>62.859383700000002</v>
      </c>
      <c r="Y121">
        <v>92.318082200000006</v>
      </c>
      <c r="Z121">
        <v>180.98100000000002</v>
      </c>
      <c r="AA121">
        <v>234.06506400000001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P121" s="27">
        <f>SUM(AB121:AN121)+Q121</f>
        <v>1.18525125404938</v>
      </c>
    </row>
    <row r="122" spans="1:42">
      <c r="A122">
        <v>913.85289437588108</v>
      </c>
      <c r="B122">
        <v>39</v>
      </c>
      <c r="C122">
        <v>15</v>
      </c>
      <c r="D122">
        <v>14.337636493861487</v>
      </c>
      <c r="E122">
        <v>15</v>
      </c>
      <c r="F122">
        <v>5</v>
      </c>
      <c r="G122">
        <v>0.51508706542909866</v>
      </c>
      <c r="H122">
        <v>18</v>
      </c>
      <c r="I122">
        <v>9</v>
      </c>
      <c r="J122">
        <v>0.81264109538614959</v>
      </c>
      <c r="K122">
        <v>510772675.54595238</v>
      </c>
      <c r="L122">
        <v>54462600</v>
      </c>
      <c r="M122">
        <v>79678739.898238912</v>
      </c>
      <c r="N122">
        <v>71454500</v>
      </c>
      <c r="O122">
        <v>15897264.719999999</v>
      </c>
      <c r="P122">
        <v>225.15531100000001</v>
      </c>
      <c r="Q122">
        <v>1.2068674206278709</v>
      </c>
      <c r="R122">
        <v>43.636205699999998</v>
      </c>
      <c r="S122">
        <v>779.90531199999998</v>
      </c>
      <c r="T122">
        <v>1.8185195400000001E-9</v>
      </c>
      <c r="U122">
        <v>19.540354059565534</v>
      </c>
      <c r="V122">
        <v>100.934</v>
      </c>
      <c r="W122">
        <v>-238.39857686795318</v>
      </c>
      <c r="X122">
        <v>62.858585699999999</v>
      </c>
      <c r="Y122">
        <v>92.088968499999993</v>
      </c>
      <c r="Z122">
        <v>177.97</v>
      </c>
      <c r="AA122">
        <v>231.93896899999999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P122" s="27">
        <f>SUM(AB122:AN122)+Q122</f>
        <v>1.2068674206278709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BC5C-18A2-4AAF-A1CB-FF670D682275}">
  <dimension ref="A1:AP72"/>
  <sheetViews>
    <sheetView tabSelected="1" topLeftCell="R41" workbookViewId="0">
      <selection activeCell="W74" sqref="W74"/>
    </sheetView>
  </sheetViews>
  <sheetFormatPr defaultRowHeight="16.5"/>
  <sheetData>
    <row r="1" spans="1:42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156</v>
      </c>
      <c r="Q1" t="s">
        <v>209</v>
      </c>
      <c r="R1" t="s">
        <v>186</v>
      </c>
      <c r="S1" t="s">
        <v>187</v>
      </c>
      <c r="T1" t="s">
        <v>188</v>
      </c>
      <c r="U1" t="s">
        <v>189</v>
      </c>
      <c r="V1" t="s">
        <v>210</v>
      </c>
      <c r="W1" t="s">
        <v>211</v>
      </c>
      <c r="X1" t="s">
        <v>357</v>
      </c>
      <c r="Y1" t="s">
        <v>358</v>
      </c>
      <c r="Z1" t="s">
        <v>359</v>
      </c>
      <c r="AA1" t="s">
        <v>360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220</v>
      </c>
      <c r="AK1" t="s">
        <v>361</v>
      </c>
      <c r="AL1" t="s">
        <v>362</v>
      </c>
      <c r="AM1" t="s">
        <v>363</v>
      </c>
      <c r="AN1" t="s">
        <v>364</v>
      </c>
    </row>
    <row r="2" spans="1:42">
      <c r="A2">
        <v>930</v>
      </c>
      <c r="B2">
        <v>30</v>
      </c>
      <c r="C2">
        <v>18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1.4</v>
      </c>
      <c r="K2">
        <v>508733616.41642964</v>
      </c>
      <c r="L2">
        <v>54426700</v>
      </c>
      <c r="M2">
        <v>79694818.867205724</v>
      </c>
      <c r="N2">
        <v>54566700</v>
      </c>
      <c r="O2">
        <v>15885043.199999999</v>
      </c>
      <c r="P2">
        <v>210.83242799999999</v>
      </c>
      <c r="Q2">
        <v>1.6351299353592319</v>
      </c>
      <c r="R2">
        <v>43.636125999999997</v>
      </c>
      <c r="S2">
        <v>779.72033699999997</v>
      </c>
      <c r="T2">
        <v>2.9525344899999998E-12</v>
      </c>
      <c r="U2">
        <v>19.330489997202008</v>
      </c>
      <c r="V2">
        <v>91.850000000000009</v>
      </c>
      <c r="W2">
        <v>-239.19747492230738</v>
      </c>
      <c r="X2">
        <v>62.838960999999998</v>
      </c>
      <c r="Y2">
        <v>92.781374299999996</v>
      </c>
      <c r="Z2">
        <v>177.97</v>
      </c>
      <c r="AA2">
        <v>231.503522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P2" s="27">
        <f>SUM(AB2:AN2)+Q2</f>
        <v>1.6351299353592319</v>
      </c>
    </row>
    <row r="3" spans="1:42">
      <c r="A3">
        <v>949.18259306069808</v>
      </c>
      <c r="B3">
        <v>28</v>
      </c>
      <c r="C3">
        <v>12</v>
      </c>
      <c r="D3">
        <v>1.1753461291906178</v>
      </c>
      <c r="E3">
        <v>14</v>
      </c>
      <c r="F3">
        <v>9</v>
      </c>
      <c r="G3">
        <v>0.78809415157104901</v>
      </c>
      <c r="H3">
        <v>14</v>
      </c>
      <c r="I3">
        <v>10</v>
      </c>
      <c r="J3">
        <v>1.130565398492748</v>
      </c>
      <c r="K3">
        <v>508609514.50734746</v>
      </c>
      <c r="L3">
        <v>54446800</v>
      </c>
      <c r="M3">
        <v>79719186.387952104</v>
      </c>
      <c r="N3">
        <v>55109300</v>
      </c>
      <c r="O3">
        <v>15894034.640000001</v>
      </c>
      <c r="P3">
        <v>210.64974100000001</v>
      </c>
      <c r="Q3">
        <v>1.6251986475745728</v>
      </c>
      <c r="R3">
        <v>43.548725400000002</v>
      </c>
      <c r="S3">
        <v>780.29876200000001</v>
      </c>
      <c r="T3">
        <v>3.0829348800000002E-13</v>
      </c>
      <c r="U3">
        <v>19.274027042032724</v>
      </c>
      <c r="V3">
        <v>80.72</v>
      </c>
      <c r="W3">
        <v>-172.67289760391949</v>
      </c>
      <c r="X3">
        <v>62.9871987</v>
      </c>
      <c r="Y3">
        <v>94.390744400000003</v>
      </c>
      <c r="Z3">
        <v>144.29</v>
      </c>
      <c r="AA3">
        <v>231.57482099999999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P3" s="27">
        <f t="shared" ref="AP3:AP66" si="0">SUM(AB3:AN3)+Q3</f>
        <v>1.6251986475745728</v>
      </c>
    </row>
    <row r="4" spans="1:42">
      <c r="A4">
        <v>938.24477473976822</v>
      </c>
      <c r="B4">
        <v>30</v>
      </c>
      <c r="C4">
        <v>16</v>
      </c>
      <c r="D4">
        <v>9.3469501178022458</v>
      </c>
      <c r="E4">
        <v>19</v>
      </c>
      <c r="F4">
        <v>9</v>
      </c>
      <c r="G4">
        <v>0.4993505369763292</v>
      </c>
      <c r="H4">
        <v>16</v>
      </c>
      <c r="I4">
        <v>13</v>
      </c>
      <c r="J4">
        <v>0.69234796088375949</v>
      </c>
      <c r="K4">
        <v>509699905.41956365</v>
      </c>
      <c r="L4">
        <v>54481000</v>
      </c>
      <c r="M4">
        <v>79705205.305199027</v>
      </c>
      <c r="N4">
        <v>54767600</v>
      </c>
      <c r="O4">
        <v>15892412.560000001</v>
      </c>
      <c r="P4">
        <v>211.843039</v>
      </c>
      <c r="Q4">
        <v>1.6273711135510029</v>
      </c>
      <c r="R4">
        <v>43.626227299999996</v>
      </c>
      <c r="S4">
        <v>779.57987700000001</v>
      </c>
      <c r="T4">
        <v>5.5603497799999995E-13</v>
      </c>
      <c r="U4">
        <v>19.31131406058018</v>
      </c>
      <c r="V4">
        <v>100.934</v>
      </c>
      <c r="W4">
        <v>-238.95106948040009</v>
      </c>
      <c r="X4">
        <v>62.8475532</v>
      </c>
      <c r="Y4">
        <v>92.4087715</v>
      </c>
      <c r="Z4">
        <v>177.97</v>
      </c>
      <c r="AA4">
        <v>234.047303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P4" s="27">
        <f t="shared" si="0"/>
        <v>1.6273711135510029</v>
      </c>
    </row>
    <row r="5" spans="1:42">
      <c r="A5">
        <v>953.83873387046674</v>
      </c>
      <c r="B5">
        <v>36</v>
      </c>
      <c r="C5">
        <v>19</v>
      </c>
      <c r="D5">
        <v>8.6951146119519791</v>
      </c>
      <c r="E5">
        <v>19</v>
      </c>
      <c r="F5">
        <v>10</v>
      </c>
      <c r="G5">
        <v>1.1897506860362526</v>
      </c>
      <c r="H5">
        <v>19</v>
      </c>
      <c r="I5">
        <v>7</v>
      </c>
      <c r="J5">
        <v>1.166076067446328</v>
      </c>
      <c r="K5">
        <v>510470957.60260081</v>
      </c>
      <c r="L5">
        <v>54515200</v>
      </c>
      <c r="M5">
        <v>79721883.116709158</v>
      </c>
      <c r="N5">
        <v>54978000</v>
      </c>
      <c r="O5">
        <v>15918404</v>
      </c>
      <c r="P5">
        <v>212.343422</v>
      </c>
      <c r="Q5">
        <v>1.6223383090536556</v>
      </c>
      <c r="R5">
        <v>43.633361000000001</v>
      </c>
      <c r="S5">
        <v>780.47977900000001</v>
      </c>
      <c r="T5">
        <v>1.11879774E-14</v>
      </c>
      <c r="U5">
        <v>19.182357290655951</v>
      </c>
      <c r="V5">
        <v>100.934</v>
      </c>
      <c r="W5">
        <v>-238.86207643750538</v>
      </c>
      <c r="X5">
        <v>62.804239299999999</v>
      </c>
      <c r="Y5">
        <v>92.261509000000004</v>
      </c>
      <c r="Z5">
        <v>177.97</v>
      </c>
      <c r="AA5">
        <v>231.45799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P5" s="27">
        <f t="shared" si="0"/>
        <v>1.6223383090536556</v>
      </c>
    </row>
    <row r="6" spans="1:42">
      <c r="A6">
        <v>954.78920024071942</v>
      </c>
      <c r="B6">
        <v>29</v>
      </c>
      <c r="C6">
        <v>11</v>
      </c>
      <c r="D6">
        <v>10.235909904502824</v>
      </c>
      <c r="E6">
        <v>10</v>
      </c>
      <c r="F6">
        <v>8</v>
      </c>
      <c r="G6">
        <v>0.93073004185940778</v>
      </c>
      <c r="H6">
        <v>14</v>
      </c>
      <c r="I6">
        <v>9</v>
      </c>
      <c r="J6">
        <v>1.2764626611382279</v>
      </c>
      <c r="K6">
        <v>510438269.38072067</v>
      </c>
      <c r="L6">
        <v>54498200</v>
      </c>
      <c r="M6">
        <v>79722481.031890109</v>
      </c>
      <c r="N6">
        <v>53753700</v>
      </c>
      <c r="O6">
        <v>15919830.560000001</v>
      </c>
      <c r="P6">
        <v>213.899575</v>
      </c>
      <c r="Q6">
        <v>1.6353473868744106</v>
      </c>
      <c r="R6">
        <v>43.466078899999999</v>
      </c>
      <c r="S6">
        <v>780.39368000000002</v>
      </c>
      <c r="T6">
        <v>3.0563102500000001E-12</v>
      </c>
      <c r="U6">
        <v>18.863848429338347</v>
      </c>
      <c r="V6">
        <v>100.934</v>
      </c>
      <c r="W6">
        <v>-240.54022308491628</v>
      </c>
      <c r="X6">
        <v>62.813140099999998</v>
      </c>
      <c r="Y6">
        <v>92.400078800000003</v>
      </c>
      <c r="Z6">
        <v>100.934</v>
      </c>
      <c r="AA6">
        <v>229.62633700000001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P6" s="27">
        <f t="shared" si="0"/>
        <v>1.6353473868744106</v>
      </c>
    </row>
    <row r="7" spans="1:42">
      <c r="A7">
        <v>941.90149602430279</v>
      </c>
      <c r="B7">
        <v>33</v>
      </c>
      <c r="C7">
        <v>16</v>
      </c>
      <c r="D7">
        <v>11.327321677111939</v>
      </c>
      <c r="E7">
        <v>15</v>
      </c>
      <c r="F7">
        <v>8</v>
      </c>
      <c r="G7">
        <v>0.70816341868672106</v>
      </c>
      <c r="H7">
        <v>28</v>
      </c>
      <c r="I7">
        <v>7</v>
      </c>
      <c r="J7">
        <v>0.33617782465194107</v>
      </c>
      <c r="K7">
        <v>510736775.89293289</v>
      </c>
      <c r="L7">
        <v>54525400</v>
      </c>
      <c r="M7">
        <v>79714604.379274771</v>
      </c>
      <c r="N7">
        <v>54743300</v>
      </c>
      <c r="O7">
        <v>15896435.84</v>
      </c>
      <c r="P7">
        <v>211.604353</v>
      </c>
      <c r="Q7">
        <v>1.6339663499657413</v>
      </c>
      <c r="R7">
        <v>43.609340099999997</v>
      </c>
      <c r="S7">
        <v>779.87350200000003</v>
      </c>
      <c r="T7">
        <v>2.1726649199999999E-12</v>
      </c>
      <c r="U7">
        <v>19.287390733892369</v>
      </c>
      <c r="V7">
        <v>100.934</v>
      </c>
      <c r="W7">
        <v>-238.42951230579351</v>
      </c>
      <c r="X7">
        <v>62.783484399999999</v>
      </c>
      <c r="Y7">
        <v>92.258207400000003</v>
      </c>
      <c r="Z7">
        <v>165.7</v>
      </c>
      <c r="AA7">
        <v>234.54222799999999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P7" s="27">
        <f t="shared" si="0"/>
        <v>1.6339663499657413</v>
      </c>
    </row>
    <row r="8" spans="1:42">
      <c r="A8">
        <v>927.5487240127444</v>
      </c>
      <c r="B8">
        <v>38</v>
      </c>
      <c r="C8">
        <v>13</v>
      </c>
      <c r="D8">
        <v>12.538485332381443</v>
      </c>
      <c r="E8">
        <v>28</v>
      </c>
      <c r="F8">
        <v>12</v>
      </c>
      <c r="G8">
        <v>0.43001855007886008</v>
      </c>
      <c r="H8">
        <v>27</v>
      </c>
      <c r="I8">
        <v>8</v>
      </c>
      <c r="J8">
        <v>0.80715635735620173</v>
      </c>
      <c r="K8">
        <v>510749734.22110915</v>
      </c>
      <c r="L8">
        <v>54512200</v>
      </c>
      <c r="M8">
        <v>79691922.860780552</v>
      </c>
      <c r="N8">
        <v>54545700</v>
      </c>
      <c r="O8">
        <v>15889126.16</v>
      </c>
      <c r="P8">
        <v>210.80476400000001</v>
      </c>
      <c r="Q8">
        <v>1.6440671784012699</v>
      </c>
      <c r="R8">
        <v>43.640660199999999</v>
      </c>
      <c r="S8">
        <v>779.51778400000001</v>
      </c>
      <c r="T8">
        <v>2.0676306999999999E-15</v>
      </c>
      <c r="U8">
        <v>19.329820671576059</v>
      </c>
      <c r="V8">
        <v>100.934</v>
      </c>
      <c r="W8">
        <v>-237.43809044675234</v>
      </c>
      <c r="X8">
        <v>62.841622100000002</v>
      </c>
      <c r="Y8">
        <v>92.134947400000001</v>
      </c>
      <c r="Z8">
        <v>180.98100000000002</v>
      </c>
      <c r="AA8">
        <v>231.79145500000001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P8" s="27">
        <f t="shared" si="0"/>
        <v>1.6440671784012699</v>
      </c>
    </row>
    <row r="9" spans="1:42">
      <c r="A9">
        <v>946.31128960407455</v>
      </c>
      <c r="B9">
        <v>38</v>
      </c>
      <c r="C9">
        <v>10</v>
      </c>
      <c r="D9">
        <v>3.1409268769601471</v>
      </c>
      <c r="E9">
        <v>12</v>
      </c>
      <c r="F9">
        <v>8</v>
      </c>
      <c r="G9">
        <v>0.43886700268886369</v>
      </c>
      <c r="H9">
        <v>28</v>
      </c>
      <c r="I9">
        <v>9</v>
      </c>
      <c r="J9">
        <v>0.75662013651243676</v>
      </c>
      <c r="K9">
        <v>509587238.94146025</v>
      </c>
      <c r="L9">
        <v>54496000</v>
      </c>
      <c r="M9">
        <v>79715091.23657392</v>
      </c>
      <c r="N9">
        <v>53998800</v>
      </c>
      <c r="O9">
        <v>15893243.360000001</v>
      </c>
      <c r="P9">
        <v>212.93797499999999</v>
      </c>
      <c r="Q9">
        <v>1.6348925936039853</v>
      </c>
      <c r="R9">
        <v>43.505299000000001</v>
      </c>
      <c r="S9">
        <v>780.05408599999998</v>
      </c>
      <c r="T9">
        <v>1.0536847499999999E-11</v>
      </c>
      <c r="U9">
        <v>19.192633966546531</v>
      </c>
      <c r="V9">
        <v>100.934</v>
      </c>
      <c r="W9">
        <v>-237.41332076507805</v>
      </c>
      <c r="X9">
        <v>62.822727100000002</v>
      </c>
      <c r="Y9">
        <v>92.7097002</v>
      </c>
      <c r="Z9">
        <v>121.52199999999999</v>
      </c>
      <c r="AA9">
        <v>230.21754899999999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P9" s="27">
        <f t="shared" si="0"/>
        <v>1.6348925936039853</v>
      </c>
    </row>
    <row r="10" spans="1:42">
      <c r="A10">
        <v>916.74352923675929</v>
      </c>
      <c r="B10">
        <v>36</v>
      </c>
      <c r="C10">
        <v>10</v>
      </c>
      <c r="D10">
        <v>8.8082325129310348</v>
      </c>
      <c r="E10">
        <v>20</v>
      </c>
      <c r="F10">
        <v>7</v>
      </c>
      <c r="G10">
        <v>0.89330792230270384</v>
      </c>
      <c r="H10">
        <v>26</v>
      </c>
      <c r="I10">
        <v>9</v>
      </c>
      <c r="J10">
        <v>0.75484308244823839</v>
      </c>
      <c r="K10">
        <v>510173213.3048799</v>
      </c>
      <c r="L10">
        <v>54461300</v>
      </c>
      <c r="M10">
        <v>79682235.409550399</v>
      </c>
      <c r="N10">
        <v>54332100</v>
      </c>
      <c r="O10">
        <v>15895125.040000001</v>
      </c>
      <c r="P10">
        <v>210.08998399999999</v>
      </c>
      <c r="Q10">
        <v>1.6512164262974269</v>
      </c>
      <c r="R10">
        <v>43.638734999999997</v>
      </c>
      <c r="S10">
        <v>780.06872299999998</v>
      </c>
      <c r="T10">
        <v>9.4081780099999993E-12</v>
      </c>
      <c r="U10">
        <v>19.262033290648812</v>
      </c>
      <c r="V10">
        <v>100.934</v>
      </c>
      <c r="W10">
        <v>-237.3292427616978</v>
      </c>
      <c r="X10">
        <v>62.855538099999997</v>
      </c>
      <c r="Y10">
        <v>92.285949700000003</v>
      </c>
      <c r="Z10">
        <v>180.98100000000002</v>
      </c>
      <c r="AA10">
        <v>231.64706200000001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P10" s="27">
        <f t="shared" si="0"/>
        <v>1.6512164262974269</v>
      </c>
    </row>
    <row r="11" spans="1:42">
      <c r="A11">
        <v>921.80941664600959</v>
      </c>
      <c r="B11">
        <v>27</v>
      </c>
      <c r="C11">
        <v>19</v>
      </c>
      <c r="D11">
        <v>3.2858724145537339</v>
      </c>
      <c r="E11">
        <v>17</v>
      </c>
      <c r="F11">
        <v>11</v>
      </c>
      <c r="G11">
        <v>0.82763085302670225</v>
      </c>
      <c r="H11">
        <v>14</v>
      </c>
      <c r="I11">
        <v>10</v>
      </c>
      <c r="J11">
        <v>0.76113259619614304</v>
      </c>
      <c r="K11">
        <v>508238445.28760886</v>
      </c>
      <c r="L11">
        <v>54419200</v>
      </c>
      <c r="M11">
        <v>79688127.374943793</v>
      </c>
      <c r="N11">
        <v>54344700</v>
      </c>
      <c r="O11">
        <v>15893816.32</v>
      </c>
      <c r="P11">
        <v>210.53093200000001</v>
      </c>
      <c r="Q11">
        <v>1.6403724511553148</v>
      </c>
      <c r="R11">
        <v>43.610572500000004</v>
      </c>
      <c r="S11">
        <v>779.71065299999998</v>
      </c>
      <c r="T11">
        <v>3.2431569599999999E-11</v>
      </c>
      <c r="U11">
        <v>19.152464963390038</v>
      </c>
      <c r="V11">
        <v>80.72</v>
      </c>
      <c r="W11">
        <v>-243.42582492469617</v>
      </c>
      <c r="X11">
        <v>62.8577741</v>
      </c>
      <c r="Y11">
        <v>92.838609099999999</v>
      </c>
      <c r="Z11">
        <v>165.7</v>
      </c>
      <c r="AA11">
        <v>232.750541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P11" s="27">
        <f t="shared" si="0"/>
        <v>1.6403724511553148</v>
      </c>
    </row>
    <row r="12" spans="1:42">
      <c r="A12">
        <v>957.44419568352225</v>
      </c>
      <c r="B12">
        <v>31</v>
      </c>
      <c r="C12">
        <v>14</v>
      </c>
      <c r="D12">
        <v>1.8905868036572246</v>
      </c>
      <c r="E12">
        <v>24</v>
      </c>
      <c r="F12">
        <v>8</v>
      </c>
      <c r="G12">
        <v>0.44414667025214427</v>
      </c>
      <c r="H12">
        <v>29</v>
      </c>
      <c r="I12">
        <v>13</v>
      </c>
      <c r="J12">
        <v>1.0424228510721274</v>
      </c>
      <c r="K12">
        <v>504011698.0222978</v>
      </c>
      <c r="L12">
        <v>54419200</v>
      </c>
      <c r="M12">
        <v>79688202.468490213</v>
      </c>
      <c r="N12">
        <v>54344700</v>
      </c>
      <c r="O12">
        <v>16376899.520000001</v>
      </c>
      <c r="P12">
        <v>204.647763</v>
      </c>
      <c r="Q12">
        <v>1.6735086028359616</v>
      </c>
      <c r="R12">
        <v>43.6380968</v>
      </c>
      <c r="S12">
        <v>779.82260999999994</v>
      </c>
      <c r="T12">
        <v>4.99090839E-12</v>
      </c>
      <c r="U12">
        <v>19.424630591882114</v>
      </c>
      <c r="V12">
        <v>91.850000000000009</v>
      </c>
      <c r="W12">
        <v>-230.97038298788326</v>
      </c>
      <c r="X12">
        <v>62.919981700000001</v>
      </c>
      <c r="Y12">
        <v>93.099865800000003</v>
      </c>
      <c r="Z12">
        <v>180.98100000000002</v>
      </c>
      <c r="AA12">
        <v>231.19336000000001</v>
      </c>
      <c r="AB12">
        <v>100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P12" s="27">
        <f t="shared" si="0"/>
        <v>101.67350860283597</v>
      </c>
    </row>
    <row r="13" spans="1:42">
      <c r="A13">
        <v>944.26397938759078</v>
      </c>
      <c r="B13">
        <v>27</v>
      </c>
      <c r="C13">
        <v>15</v>
      </c>
      <c r="D13">
        <v>13.858452527284866</v>
      </c>
      <c r="E13">
        <v>27</v>
      </c>
      <c r="F13">
        <v>12</v>
      </c>
      <c r="G13">
        <v>1.0030608099947593</v>
      </c>
      <c r="H13">
        <v>17</v>
      </c>
      <c r="I13">
        <v>13</v>
      </c>
      <c r="J13">
        <v>1.2849560129227151</v>
      </c>
      <c r="K13">
        <v>511001900.04050881</v>
      </c>
      <c r="L13">
        <v>54491700</v>
      </c>
      <c r="M13">
        <v>79712795.022036627</v>
      </c>
      <c r="N13">
        <v>54874600</v>
      </c>
      <c r="O13">
        <v>15897829.439999999</v>
      </c>
      <c r="P13">
        <v>211.75787800000001</v>
      </c>
      <c r="Q13">
        <v>1.6301920393945086</v>
      </c>
      <c r="R13">
        <v>43.6389511</v>
      </c>
      <c r="S13">
        <v>780.71722499999998</v>
      </c>
      <c r="T13">
        <v>1.5351651600000001E-16</v>
      </c>
      <c r="U13">
        <v>19.160388683568804</v>
      </c>
      <c r="V13">
        <v>100.934</v>
      </c>
      <c r="W13">
        <v>-239.06403083765738</v>
      </c>
      <c r="X13">
        <v>62.821606600000003</v>
      </c>
      <c r="Y13">
        <v>92.423268800000002</v>
      </c>
      <c r="Z13">
        <v>180.98100000000002</v>
      </c>
      <c r="AA13">
        <v>231.999199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P13" s="27">
        <f t="shared" si="0"/>
        <v>1.6301920393945086</v>
      </c>
    </row>
    <row r="14" spans="1:42">
      <c r="A14">
        <v>912.66487679707188</v>
      </c>
      <c r="B14">
        <v>39</v>
      </c>
      <c r="C14">
        <v>14</v>
      </c>
      <c r="D14">
        <v>5.9806364373513556</v>
      </c>
      <c r="E14">
        <v>26</v>
      </c>
      <c r="F14">
        <v>7</v>
      </c>
      <c r="G14">
        <v>0.87778727259163203</v>
      </c>
      <c r="H14">
        <v>13</v>
      </c>
      <c r="I14">
        <v>7</v>
      </c>
      <c r="J14">
        <v>1.1174221723182998</v>
      </c>
      <c r="K14">
        <v>509411637.95761204</v>
      </c>
      <c r="L14">
        <v>54440200</v>
      </c>
      <c r="M14">
        <v>79677341.762619361</v>
      </c>
      <c r="N14">
        <v>54286100</v>
      </c>
      <c r="O14">
        <v>15892667.84</v>
      </c>
      <c r="P14">
        <v>209.77690200000001</v>
      </c>
      <c r="Q14">
        <v>1.6517402394277403</v>
      </c>
      <c r="R14">
        <v>43.641705399999999</v>
      </c>
      <c r="S14">
        <v>780.22229200000004</v>
      </c>
      <c r="T14">
        <v>8.6868827800000005E-12</v>
      </c>
      <c r="U14">
        <v>19.251949906470621</v>
      </c>
      <c r="V14">
        <v>100.934</v>
      </c>
      <c r="W14">
        <v>-237.84969605723433</v>
      </c>
      <c r="X14">
        <v>62.862882300000003</v>
      </c>
      <c r="Y14">
        <v>92.325506899999993</v>
      </c>
      <c r="Z14">
        <v>203.285</v>
      </c>
      <c r="AA14">
        <v>232.376508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P14" s="27">
        <f t="shared" si="0"/>
        <v>1.6517402394277403</v>
      </c>
    </row>
    <row r="15" spans="1:42">
      <c r="A15">
        <v>942.1404470912338</v>
      </c>
      <c r="B15">
        <v>35</v>
      </c>
      <c r="C15">
        <v>18</v>
      </c>
      <c r="D15">
        <v>2.883814960529838</v>
      </c>
      <c r="E15">
        <v>13</v>
      </c>
      <c r="F15">
        <v>11</v>
      </c>
      <c r="G15">
        <v>0.50669368709970142</v>
      </c>
      <c r="H15">
        <v>18</v>
      </c>
      <c r="I15">
        <v>13</v>
      </c>
      <c r="J15">
        <v>1.0092222189253051</v>
      </c>
      <c r="K15">
        <v>509127055.30161166</v>
      </c>
      <c r="L15">
        <v>54454200</v>
      </c>
      <c r="M15">
        <v>79709098.124612212</v>
      </c>
      <c r="N15">
        <v>52860900</v>
      </c>
      <c r="O15">
        <v>15890893.439999999</v>
      </c>
      <c r="P15">
        <v>213.86721399999999</v>
      </c>
      <c r="Q15">
        <v>1.6489525081589782</v>
      </c>
      <c r="R15">
        <v>43.3832874</v>
      </c>
      <c r="S15">
        <v>780.74038499999995</v>
      </c>
      <c r="T15">
        <v>4.3316423399999999E-14</v>
      </c>
      <c r="U15">
        <v>18.711375307593759</v>
      </c>
      <c r="V15">
        <v>100.934</v>
      </c>
      <c r="W15">
        <v>-241.39119333860856</v>
      </c>
      <c r="X15">
        <v>62.838397700000002</v>
      </c>
      <c r="Y15">
        <v>92.717058100000003</v>
      </c>
      <c r="Z15">
        <v>100.934</v>
      </c>
      <c r="AA15">
        <v>228.324006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P15" s="27">
        <f t="shared" si="0"/>
        <v>1.6489525081589782</v>
      </c>
    </row>
    <row r="16" spans="1:42">
      <c r="A16">
        <v>959.73920354257416</v>
      </c>
      <c r="B16">
        <v>29</v>
      </c>
      <c r="C16">
        <v>15</v>
      </c>
      <c r="D16">
        <v>2.8965466444209289</v>
      </c>
      <c r="E16">
        <v>25</v>
      </c>
      <c r="F16">
        <v>7</v>
      </c>
      <c r="G16">
        <v>0.8587984985764392</v>
      </c>
      <c r="H16">
        <v>25</v>
      </c>
      <c r="I16">
        <v>14</v>
      </c>
      <c r="J16">
        <v>0.9234666802896212</v>
      </c>
      <c r="K16">
        <v>504056861.57022595</v>
      </c>
      <c r="L16">
        <v>54454200</v>
      </c>
      <c r="M16">
        <v>79709202.440139294</v>
      </c>
      <c r="N16">
        <v>52860900</v>
      </c>
      <c r="O16">
        <v>16377417.359999999</v>
      </c>
      <c r="P16">
        <v>204.640411</v>
      </c>
      <c r="Q16">
        <v>1.7064808961221154</v>
      </c>
      <c r="R16">
        <v>43.639349299999999</v>
      </c>
      <c r="S16">
        <v>780.25934200000006</v>
      </c>
      <c r="T16">
        <v>8.9152616300000005E-12</v>
      </c>
      <c r="U16">
        <v>19.263504675957247</v>
      </c>
      <c r="V16">
        <v>91.850000000000009</v>
      </c>
      <c r="W16">
        <v>-236.76184653380636</v>
      </c>
      <c r="X16">
        <v>62.907899999999998</v>
      </c>
      <c r="Y16">
        <v>92.806612099999995</v>
      </c>
      <c r="Z16">
        <v>203.285</v>
      </c>
      <c r="AA16">
        <v>231.456277</v>
      </c>
      <c r="AB16">
        <v>100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P16" s="27">
        <f t="shared" si="0"/>
        <v>101.70648089612212</v>
      </c>
    </row>
    <row r="17" spans="1:42">
      <c r="A17">
        <v>956.04835143503055</v>
      </c>
      <c r="B17">
        <v>27</v>
      </c>
      <c r="C17">
        <v>15</v>
      </c>
      <c r="D17">
        <v>6.9628543207328164</v>
      </c>
      <c r="E17">
        <v>10</v>
      </c>
      <c r="F17">
        <v>5</v>
      </c>
      <c r="G17">
        <v>1.056102576133672</v>
      </c>
      <c r="H17">
        <v>21</v>
      </c>
      <c r="I17">
        <v>10</v>
      </c>
      <c r="J17">
        <v>1.1961046389301033</v>
      </c>
      <c r="K17">
        <v>504085081.72131264</v>
      </c>
      <c r="L17">
        <v>54454200</v>
      </c>
      <c r="M17">
        <v>79709202.357551873</v>
      </c>
      <c r="N17">
        <v>52860900</v>
      </c>
      <c r="O17">
        <v>16379510.32</v>
      </c>
      <c r="P17">
        <v>205.06388699999999</v>
      </c>
      <c r="Q17">
        <v>1.7030502759378205</v>
      </c>
      <c r="R17">
        <v>43.5935974</v>
      </c>
      <c r="S17">
        <v>779.89531499999998</v>
      </c>
      <c r="T17">
        <v>8.0445409600000004E-10</v>
      </c>
      <c r="U17">
        <v>19.340373473784265</v>
      </c>
      <c r="V17">
        <v>100.934</v>
      </c>
      <c r="W17">
        <v>-238.61053366099929</v>
      </c>
      <c r="X17">
        <v>62.906392400000001</v>
      </c>
      <c r="Y17">
        <v>92.561798400000001</v>
      </c>
      <c r="Z17">
        <v>144.29</v>
      </c>
      <c r="AA17">
        <v>230.74600000000001</v>
      </c>
      <c r="AB17">
        <v>100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P17" s="27">
        <f t="shared" si="0"/>
        <v>101.70305027593783</v>
      </c>
    </row>
    <row r="18" spans="1:42">
      <c r="A18">
        <v>934.42235410706576</v>
      </c>
      <c r="B18">
        <v>28</v>
      </c>
      <c r="C18">
        <v>10</v>
      </c>
      <c r="D18">
        <v>14.414903776679417</v>
      </c>
      <c r="E18">
        <v>16</v>
      </c>
      <c r="F18">
        <v>5</v>
      </c>
      <c r="G18">
        <v>0.72934252407684363</v>
      </c>
      <c r="H18">
        <v>26</v>
      </c>
      <c r="I18">
        <v>8</v>
      </c>
      <c r="J18">
        <v>0.96086045253630137</v>
      </c>
      <c r="K18">
        <v>510685915.57339257</v>
      </c>
      <c r="L18">
        <v>54484900</v>
      </c>
      <c r="M18">
        <v>79700311.636696652</v>
      </c>
      <c r="N18">
        <v>54650300</v>
      </c>
      <c r="O18">
        <v>15892995.360000001</v>
      </c>
      <c r="P18">
        <v>211.19082700000001</v>
      </c>
      <c r="Q18">
        <v>1.6380996434160744</v>
      </c>
      <c r="R18">
        <v>43.639318699999997</v>
      </c>
      <c r="S18">
        <v>779.91952300000003</v>
      </c>
      <c r="T18">
        <v>1.03905942E-9</v>
      </c>
      <c r="U18">
        <v>19.442426633944663</v>
      </c>
      <c r="V18">
        <v>100.934</v>
      </c>
      <c r="W18">
        <v>-237.72273928067341</v>
      </c>
      <c r="X18">
        <v>62.8321282</v>
      </c>
      <c r="Y18">
        <v>92.390856600000006</v>
      </c>
      <c r="Z18">
        <v>177.97</v>
      </c>
      <c r="AA18">
        <v>231.422011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P18" s="27">
        <f t="shared" si="0"/>
        <v>1.6380996434160744</v>
      </c>
    </row>
    <row r="19" spans="1:42">
      <c r="A19">
        <v>954.96371727902181</v>
      </c>
      <c r="B19">
        <v>27</v>
      </c>
      <c r="C19">
        <v>19</v>
      </c>
      <c r="D19">
        <v>9.2110786372418278</v>
      </c>
      <c r="E19">
        <v>15</v>
      </c>
      <c r="F19">
        <v>9</v>
      </c>
      <c r="G19">
        <v>1.0321629964326504</v>
      </c>
      <c r="H19">
        <v>14</v>
      </c>
      <c r="I19">
        <v>8</v>
      </c>
      <c r="J19">
        <v>1.0537497510527947</v>
      </c>
      <c r="K19">
        <v>510297141.25037169</v>
      </c>
      <c r="L19">
        <v>54486900</v>
      </c>
      <c r="M19">
        <v>79728077.138570681</v>
      </c>
      <c r="N19">
        <v>54995900</v>
      </c>
      <c r="O19">
        <v>15884470.079999998</v>
      </c>
      <c r="P19">
        <v>212.85262599999999</v>
      </c>
      <c r="Q19">
        <v>1.6169447189671551</v>
      </c>
      <c r="R19">
        <v>43.614291600000001</v>
      </c>
      <c r="S19">
        <v>780.02815400000009</v>
      </c>
      <c r="T19">
        <v>3.8858467499999998E-12</v>
      </c>
      <c r="U19">
        <v>19.191987501593637</v>
      </c>
      <c r="V19">
        <v>91.850000000000009</v>
      </c>
      <c r="W19">
        <v>-240.44281679419032</v>
      </c>
      <c r="X19">
        <v>62.801482999999998</v>
      </c>
      <c r="Y19">
        <v>92.508159000000006</v>
      </c>
      <c r="Z19">
        <v>165.7</v>
      </c>
      <c r="AA19">
        <v>231.92900700000001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P19" s="27">
        <f t="shared" si="0"/>
        <v>1.6169447189671551</v>
      </c>
    </row>
    <row r="20" spans="1:42">
      <c r="A20">
        <v>953.696718362772</v>
      </c>
      <c r="B20">
        <v>28</v>
      </c>
      <c r="C20">
        <v>19</v>
      </c>
      <c r="D20">
        <v>14.989531110804842</v>
      </c>
      <c r="E20">
        <v>29</v>
      </c>
      <c r="F20">
        <v>8</v>
      </c>
      <c r="G20">
        <v>0.37572839573544747</v>
      </c>
      <c r="H20">
        <v>16</v>
      </c>
      <c r="I20">
        <v>8</v>
      </c>
      <c r="J20">
        <v>1.3300490624060333</v>
      </c>
      <c r="K20">
        <v>511311601.34289896</v>
      </c>
      <c r="L20">
        <v>54520100</v>
      </c>
      <c r="M20">
        <v>79721883.441306517</v>
      </c>
      <c r="N20">
        <v>55154700</v>
      </c>
      <c r="O20">
        <v>15921674.559999999</v>
      </c>
      <c r="P20">
        <v>212.38379599999999</v>
      </c>
      <c r="Q20">
        <v>1.6211460867791265</v>
      </c>
      <c r="R20">
        <v>43.6522808</v>
      </c>
      <c r="S20">
        <v>779.82795699999997</v>
      </c>
      <c r="T20">
        <v>8.6845479700000004E-12</v>
      </c>
      <c r="U20">
        <v>19.518797775722994</v>
      </c>
      <c r="V20">
        <v>100.934</v>
      </c>
      <c r="W20">
        <v>-238.08561718205149</v>
      </c>
      <c r="X20">
        <v>62.804735000000001</v>
      </c>
      <c r="Y20">
        <v>92.395719099999994</v>
      </c>
      <c r="Z20">
        <v>180.98100000000002</v>
      </c>
      <c r="AA20">
        <v>232.16535999999999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P20" s="27">
        <f t="shared" si="0"/>
        <v>1.6211460867791265</v>
      </c>
    </row>
    <row r="21" spans="1:42">
      <c r="A21">
        <v>933.83613317143227</v>
      </c>
      <c r="B21">
        <v>37</v>
      </c>
      <c r="C21">
        <v>12</v>
      </c>
      <c r="D21">
        <v>4.9480821360798259</v>
      </c>
      <c r="E21">
        <v>26</v>
      </c>
      <c r="F21">
        <v>6</v>
      </c>
      <c r="G21">
        <v>1.0211656659921311</v>
      </c>
      <c r="H21">
        <v>14</v>
      </c>
      <c r="I21">
        <v>7</v>
      </c>
      <c r="J21">
        <v>0.73581571254508327</v>
      </c>
      <c r="K21">
        <v>509210152.13860857</v>
      </c>
      <c r="L21">
        <v>54465800</v>
      </c>
      <c r="M21">
        <v>79699612.702321053</v>
      </c>
      <c r="N21">
        <v>54690500</v>
      </c>
      <c r="O21">
        <v>15887791.68</v>
      </c>
      <c r="P21">
        <v>211.02319499999999</v>
      </c>
      <c r="Q21">
        <v>1.6334129451254709</v>
      </c>
      <c r="R21">
        <v>43.641835999999998</v>
      </c>
      <c r="S21">
        <v>780.35566700000004</v>
      </c>
      <c r="T21">
        <v>6.1225518300000006E-11</v>
      </c>
      <c r="U21">
        <v>19.281347819752863</v>
      </c>
      <c r="V21">
        <v>100.934</v>
      </c>
      <c r="W21">
        <v>-237.53805594318595</v>
      </c>
      <c r="X21">
        <v>62.835404599999997</v>
      </c>
      <c r="Y21">
        <v>92.433062399999997</v>
      </c>
      <c r="Z21">
        <v>203.285</v>
      </c>
      <c r="AA21">
        <v>232.664806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P21" s="27">
        <f t="shared" si="0"/>
        <v>1.6334129451254709</v>
      </c>
    </row>
    <row r="22" spans="1:42">
      <c r="A22">
        <v>950.74208948627791</v>
      </c>
      <c r="B22">
        <v>28</v>
      </c>
      <c r="C22">
        <v>12</v>
      </c>
      <c r="D22">
        <v>8.3075703716707068</v>
      </c>
      <c r="E22">
        <v>20</v>
      </c>
      <c r="F22">
        <v>11</v>
      </c>
      <c r="G22">
        <v>0.68643725944626865</v>
      </c>
      <c r="H22">
        <v>20</v>
      </c>
      <c r="I22">
        <v>12</v>
      </c>
      <c r="J22">
        <v>0.36674996636373636</v>
      </c>
      <c r="K22">
        <v>510039640.47378159</v>
      </c>
      <c r="L22">
        <v>54498300</v>
      </c>
      <c r="M22">
        <v>79722084.365998134</v>
      </c>
      <c r="N22">
        <v>55082600</v>
      </c>
      <c r="O22">
        <v>15898941.92</v>
      </c>
      <c r="P22">
        <v>212.53698600000001</v>
      </c>
      <c r="Q22">
        <v>1.6169596192543703</v>
      </c>
      <c r="R22">
        <v>43.6215343</v>
      </c>
      <c r="S22">
        <v>779.83633799999996</v>
      </c>
      <c r="T22">
        <v>4.24815097E-15</v>
      </c>
      <c r="U22">
        <v>19.20749753687668</v>
      </c>
      <c r="V22">
        <v>100.934</v>
      </c>
      <c r="W22">
        <v>-238.44276659630873</v>
      </c>
      <c r="X22">
        <v>62.805125199999999</v>
      </c>
      <c r="Y22">
        <v>92.456761900000004</v>
      </c>
      <c r="Z22">
        <v>177.97</v>
      </c>
      <c r="AA22">
        <v>234.57345799999999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P22" s="27">
        <f t="shared" si="0"/>
        <v>1.6169596192543703</v>
      </c>
    </row>
    <row r="23" spans="1:42">
      <c r="A23">
        <v>950.85558057681124</v>
      </c>
      <c r="B23">
        <v>32</v>
      </c>
      <c r="C23">
        <v>10</v>
      </c>
      <c r="D23">
        <v>12.251499114320332</v>
      </c>
      <c r="E23">
        <v>16</v>
      </c>
      <c r="F23">
        <v>14</v>
      </c>
      <c r="G23">
        <v>0.63924159653355206</v>
      </c>
      <c r="H23">
        <v>10</v>
      </c>
      <c r="I23">
        <v>7</v>
      </c>
      <c r="J23">
        <v>0.3</v>
      </c>
      <c r="K23">
        <v>510301291.3331598</v>
      </c>
      <c r="L23">
        <v>54498300</v>
      </c>
      <c r="M23">
        <v>79722088.541183129</v>
      </c>
      <c r="N23">
        <v>55082600</v>
      </c>
      <c r="O23">
        <v>15905045.760000002</v>
      </c>
      <c r="P23">
        <v>214.91225</v>
      </c>
      <c r="Q23">
        <v>1.5999150675985878</v>
      </c>
      <c r="R23">
        <v>43.409346499999998</v>
      </c>
      <c r="S23">
        <v>780.06167000000005</v>
      </c>
      <c r="T23">
        <v>5.8291348500000005E-17</v>
      </c>
      <c r="U23">
        <v>18.549283417601398</v>
      </c>
      <c r="V23">
        <v>100.934</v>
      </c>
      <c r="W23">
        <v>-241.23423828988425</v>
      </c>
      <c r="X23">
        <v>62.8534212</v>
      </c>
      <c r="Y23">
        <v>92.319626400000004</v>
      </c>
      <c r="Z23">
        <v>100.934</v>
      </c>
      <c r="AA23">
        <v>234.63548399999999</v>
      </c>
      <c r="AB23">
        <v>100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 s="27">
        <f t="shared" si="0"/>
        <v>101.59991506759859</v>
      </c>
    </row>
    <row r="24" spans="1:42">
      <c r="A24">
        <v>910</v>
      </c>
      <c r="B24">
        <v>27</v>
      </c>
      <c r="C24">
        <v>10</v>
      </c>
      <c r="D24">
        <v>15</v>
      </c>
      <c r="E24">
        <v>10</v>
      </c>
      <c r="F24">
        <v>5</v>
      </c>
      <c r="G24">
        <v>1.2</v>
      </c>
      <c r="H24">
        <v>10</v>
      </c>
      <c r="I24">
        <v>7</v>
      </c>
      <c r="J24">
        <v>0.3</v>
      </c>
      <c r="K24">
        <v>510235910.33474648</v>
      </c>
      <c r="L24">
        <v>54435500</v>
      </c>
      <c r="M24">
        <v>79687760.546123952</v>
      </c>
      <c r="N24">
        <v>54107400</v>
      </c>
      <c r="O24">
        <v>15900880.08</v>
      </c>
      <c r="P24">
        <v>209.49097399999999</v>
      </c>
      <c r="Q24">
        <v>1.6603321875211232</v>
      </c>
      <c r="R24">
        <v>43.596586500000001</v>
      </c>
      <c r="S24">
        <v>779.95539199999996</v>
      </c>
      <c r="T24">
        <v>7.1208050600000001E-10</v>
      </c>
      <c r="U24">
        <v>19.373114287181568</v>
      </c>
      <c r="V24">
        <v>100.934</v>
      </c>
      <c r="W24">
        <v>-238.35212659590408</v>
      </c>
      <c r="X24">
        <v>62.819864600000002</v>
      </c>
      <c r="Y24">
        <v>92.404515900000007</v>
      </c>
      <c r="Z24">
        <v>144.29</v>
      </c>
      <c r="AA24">
        <v>236.178686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P24" s="27">
        <f t="shared" si="0"/>
        <v>1.6603321875211232</v>
      </c>
    </row>
    <row r="25" spans="1:42">
      <c r="A25">
        <v>910</v>
      </c>
      <c r="B25">
        <v>27</v>
      </c>
      <c r="C25">
        <v>19</v>
      </c>
      <c r="D25">
        <v>1</v>
      </c>
      <c r="E25">
        <v>29</v>
      </c>
      <c r="F25">
        <v>14</v>
      </c>
      <c r="G25">
        <v>1.2</v>
      </c>
      <c r="H25">
        <v>29</v>
      </c>
      <c r="I25">
        <v>7</v>
      </c>
      <c r="J25">
        <v>1.4</v>
      </c>
      <c r="K25">
        <v>508655099.26619613</v>
      </c>
      <c r="L25">
        <v>54422300</v>
      </c>
      <c r="M25">
        <v>79674245.776738316</v>
      </c>
      <c r="N25">
        <v>55588200</v>
      </c>
      <c r="O25">
        <v>15889451.92</v>
      </c>
      <c r="P25">
        <v>203.4248</v>
      </c>
      <c r="Q25">
        <v>1.6721483347775483</v>
      </c>
      <c r="R25">
        <v>43.682935200000003</v>
      </c>
      <c r="S25">
        <v>779.888555</v>
      </c>
      <c r="T25">
        <v>2.5671319000000002E-9</v>
      </c>
      <c r="U25">
        <v>19.787587372134265</v>
      </c>
      <c r="V25">
        <v>68.709999999999994</v>
      </c>
      <c r="W25">
        <v>-167.17069563959603</v>
      </c>
      <c r="X25">
        <v>63.118468100000001</v>
      </c>
      <c r="Y25">
        <v>95.104556099999996</v>
      </c>
      <c r="Z25">
        <v>203.285</v>
      </c>
      <c r="AA25">
        <v>230.37343200000001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P25" s="27">
        <f t="shared" si="0"/>
        <v>1.6721483347775483</v>
      </c>
    </row>
    <row r="26" spans="1:42">
      <c r="A26">
        <v>910</v>
      </c>
      <c r="B26">
        <v>27</v>
      </c>
      <c r="C26">
        <v>19</v>
      </c>
      <c r="D26">
        <v>15</v>
      </c>
      <c r="E26">
        <v>10</v>
      </c>
      <c r="F26">
        <v>8</v>
      </c>
      <c r="G26">
        <v>0.52957773550842735</v>
      </c>
      <c r="H26">
        <v>29</v>
      </c>
      <c r="I26">
        <v>14</v>
      </c>
      <c r="J26">
        <v>0.36793870207164436</v>
      </c>
      <c r="K26">
        <v>510678242.6716221</v>
      </c>
      <c r="L26">
        <v>54456800</v>
      </c>
      <c r="M26">
        <v>79673245.282240942</v>
      </c>
      <c r="N26">
        <v>52359300</v>
      </c>
      <c r="O26">
        <v>15896695.279999999</v>
      </c>
      <c r="P26">
        <v>211.44565800000001</v>
      </c>
      <c r="Q26">
        <v>1.6833432491876057</v>
      </c>
      <c r="R26">
        <v>43.395263</v>
      </c>
      <c r="S26">
        <v>780.921558</v>
      </c>
      <c r="T26">
        <v>1.3099007599999999E-11</v>
      </c>
      <c r="U26">
        <v>18.831127153156942</v>
      </c>
      <c r="V26">
        <v>91.850000000000009</v>
      </c>
      <c r="W26">
        <v>-241.51696141488998</v>
      </c>
      <c r="X26">
        <v>62.866207699999997</v>
      </c>
      <c r="Y26">
        <v>92.454375999999996</v>
      </c>
      <c r="Z26">
        <v>100.934</v>
      </c>
      <c r="AA26">
        <v>228.825592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P26" s="27">
        <f t="shared" si="0"/>
        <v>1.6833432491876057</v>
      </c>
    </row>
    <row r="27" spans="1:42">
      <c r="A27">
        <v>930.34592099193219</v>
      </c>
      <c r="B27">
        <v>39</v>
      </c>
      <c r="C27">
        <v>10</v>
      </c>
      <c r="D27">
        <v>1</v>
      </c>
      <c r="E27">
        <v>10</v>
      </c>
      <c r="F27">
        <v>8</v>
      </c>
      <c r="G27">
        <v>0.3</v>
      </c>
      <c r="H27">
        <v>29</v>
      </c>
      <c r="I27">
        <v>14</v>
      </c>
      <c r="J27">
        <v>1.4</v>
      </c>
      <c r="K27">
        <v>508803035.25508285</v>
      </c>
      <c r="L27">
        <v>54444200</v>
      </c>
      <c r="M27">
        <v>79693717.539643586</v>
      </c>
      <c r="N27">
        <v>52606300</v>
      </c>
      <c r="O27">
        <v>15884051.84</v>
      </c>
      <c r="P27">
        <v>210.251484</v>
      </c>
      <c r="Q27">
        <v>1.6813991380966593</v>
      </c>
      <c r="R27">
        <v>43.2791991</v>
      </c>
      <c r="S27">
        <v>783.12496899999996</v>
      </c>
      <c r="T27">
        <v>7.0509713000000006E-11</v>
      </c>
      <c r="U27">
        <v>18.982062210866363</v>
      </c>
      <c r="V27">
        <v>80.72</v>
      </c>
      <c r="W27">
        <v>-142.20323690729518</v>
      </c>
      <c r="X27">
        <v>63.088319599999998</v>
      </c>
      <c r="Y27">
        <v>94.859686300000007</v>
      </c>
      <c r="Z27">
        <v>100.934</v>
      </c>
      <c r="AA27">
        <v>226.623133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P27" s="27">
        <f t="shared" si="0"/>
        <v>1.6813991380966593</v>
      </c>
    </row>
    <row r="28" spans="1:42">
      <c r="A28">
        <v>926.73570396999389</v>
      </c>
      <c r="B28">
        <v>27</v>
      </c>
      <c r="C28">
        <v>19</v>
      </c>
      <c r="D28">
        <v>1</v>
      </c>
      <c r="E28">
        <v>29</v>
      </c>
      <c r="F28">
        <v>5</v>
      </c>
      <c r="G28">
        <v>0.3</v>
      </c>
      <c r="H28">
        <v>29</v>
      </c>
      <c r="I28">
        <v>14</v>
      </c>
      <c r="J28">
        <v>0.3</v>
      </c>
      <c r="K28">
        <v>508233261.55110204</v>
      </c>
      <c r="L28">
        <v>54447500</v>
      </c>
      <c r="M28">
        <v>79696530.327752635</v>
      </c>
      <c r="N28">
        <v>56010400</v>
      </c>
      <c r="O28">
        <v>15884267.279999999</v>
      </c>
      <c r="P28">
        <v>203.975247</v>
      </c>
      <c r="Q28">
        <v>1.6576402560192203</v>
      </c>
      <c r="R28">
        <v>43.675751499999997</v>
      </c>
      <c r="S28">
        <v>779.99249699999996</v>
      </c>
      <c r="T28">
        <v>5.4845768400000001E-9</v>
      </c>
      <c r="U28">
        <v>20.242965982849483</v>
      </c>
      <c r="V28">
        <v>68.709999999999994</v>
      </c>
      <c r="W28">
        <v>-168.01355812966258</v>
      </c>
      <c r="X28">
        <v>63.050472300000003</v>
      </c>
      <c r="Y28">
        <v>95.065398599999995</v>
      </c>
      <c r="Z28">
        <v>177.97</v>
      </c>
      <c r="AA28">
        <v>234.10397699999999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P28" s="27">
        <f t="shared" si="0"/>
        <v>1.6576402560192203</v>
      </c>
    </row>
    <row r="29" spans="1:42">
      <c r="A29">
        <v>910</v>
      </c>
      <c r="B29">
        <v>27</v>
      </c>
      <c r="C29">
        <v>19</v>
      </c>
      <c r="D29">
        <v>15</v>
      </c>
      <c r="E29">
        <v>29</v>
      </c>
      <c r="F29">
        <v>14</v>
      </c>
      <c r="G29">
        <v>0.3</v>
      </c>
      <c r="H29">
        <v>16</v>
      </c>
      <c r="I29">
        <v>14</v>
      </c>
      <c r="J29">
        <v>0.3</v>
      </c>
      <c r="K29">
        <v>510455316.95556211</v>
      </c>
      <c r="L29">
        <v>54483000</v>
      </c>
      <c r="M29">
        <v>79698472.080629751</v>
      </c>
      <c r="N29">
        <v>54497100</v>
      </c>
      <c r="O29">
        <v>15903928.16</v>
      </c>
      <c r="P29">
        <v>208.65703999999999</v>
      </c>
      <c r="Q29">
        <v>1.660442250506093</v>
      </c>
      <c r="R29">
        <v>43.644414699999999</v>
      </c>
      <c r="S29">
        <v>780.07045700000003</v>
      </c>
      <c r="T29">
        <v>1.79633183E-12</v>
      </c>
      <c r="U29">
        <v>19.686639617024003</v>
      </c>
      <c r="V29">
        <v>91.850000000000009</v>
      </c>
      <c r="W29">
        <v>-236.87128150649855</v>
      </c>
      <c r="X29">
        <v>62.766716199999998</v>
      </c>
      <c r="Y29">
        <v>92.399892399999999</v>
      </c>
      <c r="Z29">
        <v>177.97</v>
      </c>
      <c r="AA29">
        <v>241.51573099999999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P29" s="27">
        <f t="shared" si="0"/>
        <v>1.660442250506093</v>
      </c>
    </row>
    <row r="30" spans="1:42">
      <c r="A30">
        <v>910</v>
      </c>
      <c r="B30">
        <v>39</v>
      </c>
      <c r="C30">
        <v>19</v>
      </c>
      <c r="D30">
        <v>1</v>
      </c>
      <c r="E30">
        <v>10</v>
      </c>
      <c r="F30">
        <v>5</v>
      </c>
      <c r="G30">
        <v>0.3</v>
      </c>
      <c r="H30">
        <v>10</v>
      </c>
      <c r="I30">
        <v>7</v>
      </c>
      <c r="J30">
        <v>1.4</v>
      </c>
      <c r="K30">
        <v>508140477.3914727</v>
      </c>
      <c r="L30">
        <v>54405100</v>
      </c>
      <c r="M30">
        <v>79673745.528359696</v>
      </c>
      <c r="N30">
        <v>54010400</v>
      </c>
      <c r="O30">
        <v>15889643.92</v>
      </c>
      <c r="P30">
        <v>207.29147</v>
      </c>
      <c r="Q30">
        <v>1.6725054186833634</v>
      </c>
      <c r="R30">
        <v>43.471099299999999</v>
      </c>
      <c r="S30">
        <v>781.20701299999996</v>
      </c>
      <c r="T30">
        <v>5.9034425600000003E-9</v>
      </c>
      <c r="U30">
        <v>19.72798057351585</v>
      </c>
      <c r="V30">
        <v>80.72</v>
      </c>
      <c r="W30">
        <v>-151.61399770352759</v>
      </c>
      <c r="X30">
        <v>63.137129199999997</v>
      </c>
      <c r="Y30">
        <v>94.861028700000006</v>
      </c>
      <c r="Z30">
        <v>144.29</v>
      </c>
      <c r="AA30">
        <v>230.181546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P30" s="27">
        <f t="shared" si="0"/>
        <v>1.6725054186833634</v>
      </c>
    </row>
    <row r="31" spans="1:42">
      <c r="A31">
        <v>910</v>
      </c>
      <c r="B31">
        <v>39</v>
      </c>
      <c r="C31">
        <v>19</v>
      </c>
      <c r="D31">
        <v>1</v>
      </c>
      <c r="E31">
        <v>10</v>
      </c>
      <c r="F31">
        <v>5</v>
      </c>
      <c r="G31">
        <v>0.3</v>
      </c>
      <c r="H31">
        <v>29</v>
      </c>
      <c r="I31">
        <v>7</v>
      </c>
      <c r="J31">
        <v>1.4</v>
      </c>
      <c r="K31">
        <v>508559495.79026854</v>
      </c>
      <c r="L31">
        <v>54422600</v>
      </c>
      <c r="M31">
        <v>79673645.528359696</v>
      </c>
      <c r="N31">
        <v>53957400</v>
      </c>
      <c r="O31">
        <v>15889417.359999999</v>
      </c>
      <c r="P31">
        <v>207.06409199999999</v>
      </c>
      <c r="Q31">
        <v>1.6772187165184043</v>
      </c>
      <c r="R31">
        <v>43.470117100000003</v>
      </c>
      <c r="S31">
        <v>781.26557700000001</v>
      </c>
      <c r="T31">
        <v>5.9130120000000003E-9</v>
      </c>
      <c r="U31">
        <v>19.74905078518082</v>
      </c>
      <c r="V31">
        <v>80.72</v>
      </c>
      <c r="W31">
        <v>-151.53488741606037</v>
      </c>
      <c r="X31">
        <v>63.112933300000002</v>
      </c>
      <c r="Y31">
        <v>94.847034600000001</v>
      </c>
      <c r="Z31">
        <v>144.29</v>
      </c>
      <c r="AA31">
        <v>229.09008700000001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P31" s="27">
        <f t="shared" si="0"/>
        <v>1.6772187165184043</v>
      </c>
    </row>
    <row r="32" spans="1:42">
      <c r="A32">
        <v>910</v>
      </c>
      <c r="B32">
        <v>39</v>
      </c>
      <c r="C32">
        <v>10</v>
      </c>
      <c r="D32">
        <v>1</v>
      </c>
      <c r="E32">
        <v>29</v>
      </c>
      <c r="F32">
        <v>14</v>
      </c>
      <c r="G32">
        <v>0.3</v>
      </c>
      <c r="H32">
        <v>29</v>
      </c>
      <c r="I32">
        <v>14</v>
      </c>
      <c r="J32">
        <v>1.4</v>
      </c>
      <c r="K32">
        <v>508777324.71242732</v>
      </c>
      <c r="L32">
        <v>54458800</v>
      </c>
      <c r="M32">
        <v>79674345.841246918</v>
      </c>
      <c r="N32">
        <v>54980500</v>
      </c>
      <c r="O32">
        <v>15889464.799999999</v>
      </c>
      <c r="P32">
        <v>0</v>
      </c>
      <c r="Q32">
        <v>100</v>
      </c>
      <c r="R32">
        <v>43.623316000000003</v>
      </c>
      <c r="S32">
        <v>780.879009</v>
      </c>
      <c r="T32">
        <v>4.0601501500000003E-9</v>
      </c>
      <c r="U32">
        <v>19.774381122301325</v>
      </c>
      <c r="V32">
        <v>80.72</v>
      </c>
      <c r="W32">
        <v>-137.09826705168831</v>
      </c>
      <c r="X32">
        <v>63.1152327</v>
      </c>
      <c r="Y32">
        <v>94.874240599999993</v>
      </c>
      <c r="Z32">
        <v>180.98100000000002</v>
      </c>
      <c r="AA32">
        <v>230.89587900000001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P32" s="27">
        <f t="shared" si="0"/>
        <v>100</v>
      </c>
    </row>
    <row r="33" spans="1:42">
      <c r="A33">
        <v>923.34425481106564</v>
      </c>
      <c r="B33">
        <v>39</v>
      </c>
      <c r="C33">
        <v>19</v>
      </c>
      <c r="D33">
        <v>15</v>
      </c>
      <c r="E33">
        <v>10</v>
      </c>
      <c r="F33">
        <v>5</v>
      </c>
      <c r="G33">
        <v>1.2</v>
      </c>
      <c r="H33">
        <v>22</v>
      </c>
      <c r="I33">
        <v>7</v>
      </c>
      <c r="J33">
        <v>0.3</v>
      </c>
      <c r="K33">
        <v>510843305.66915673</v>
      </c>
      <c r="L33">
        <v>54499900</v>
      </c>
      <c r="M33">
        <v>79698233.821899474</v>
      </c>
      <c r="N33">
        <v>54286700</v>
      </c>
      <c r="O33">
        <v>15901061.600000001</v>
      </c>
      <c r="P33">
        <v>0</v>
      </c>
      <c r="Q33">
        <v>100</v>
      </c>
      <c r="R33">
        <v>43.597499399999997</v>
      </c>
      <c r="S33">
        <v>780.00842899999998</v>
      </c>
      <c r="T33">
        <v>7.1038684699999996E-10</v>
      </c>
      <c r="U33">
        <v>19.390809351080442</v>
      </c>
      <c r="V33">
        <v>100.934</v>
      </c>
      <c r="W33">
        <v>-238.40013204339112</v>
      </c>
      <c r="X33">
        <v>62.782724999999999</v>
      </c>
      <c r="Y33">
        <v>92.044841700000006</v>
      </c>
      <c r="Z33">
        <v>144.29</v>
      </c>
      <c r="AA33">
        <v>234.933438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P33" s="27">
        <f t="shared" si="0"/>
        <v>100</v>
      </c>
    </row>
    <row r="34" spans="1:42">
      <c r="A34">
        <v>930.65916522518967</v>
      </c>
      <c r="B34">
        <v>27</v>
      </c>
      <c r="C34">
        <v>19</v>
      </c>
      <c r="D34">
        <v>1</v>
      </c>
      <c r="E34">
        <v>29</v>
      </c>
      <c r="F34">
        <v>14</v>
      </c>
      <c r="G34">
        <v>0.3</v>
      </c>
      <c r="H34">
        <v>10</v>
      </c>
      <c r="I34">
        <v>7</v>
      </c>
      <c r="J34">
        <v>1.4</v>
      </c>
      <c r="K34">
        <v>508058549.67442667</v>
      </c>
      <c r="L34">
        <v>54428700</v>
      </c>
      <c r="M34">
        <v>79695717.843491375</v>
      </c>
      <c r="N34">
        <v>56044400</v>
      </c>
      <c r="O34">
        <v>15884399.600000001</v>
      </c>
      <c r="P34">
        <v>204.79019099999999</v>
      </c>
      <c r="Q34">
        <v>1.6493265511050106</v>
      </c>
      <c r="R34">
        <v>43.678241800000002</v>
      </c>
      <c r="S34">
        <v>779.85713700000008</v>
      </c>
      <c r="T34">
        <v>5.4283997999999999E-9</v>
      </c>
      <c r="U34">
        <v>20.190116426634322</v>
      </c>
      <c r="V34">
        <v>68.709999999999994</v>
      </c>
      <c r="W34">
        <v>-168.17261714885709</v>
      </c>
      <c r="X34">
        <v>63.101781299999999</v>
      </c>
      <c r="Y34">
        <v>95.095450499999998</v>
      </c>
      <c r="Z34">
        <v>177.97</v>
      </c>
      <c r="AA34">
        <v>232.239529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P34" s="27">
        <f t="shared" si="0"/>
        <v>1.6493265511050106</v>
      </c>
    </row>
    <row r="35" spans="1:42">
      <c r="A35">
        <v>936.9091712385997</v>
      </c>
      <c r="B35">
        <v>27</v>
      </c>
      <c r="C35">
        <v>10</v>
      </c>
      <c r="D35">
        <v>15</v>
      </c>
      <c r="E35">
        <v>29</v>
      </c>
      <c r="F35">
        <v>14</v>
      </c>
      <c r="G35">
        <v>1.2</v>
      </c>
      <c r="H35">
        <v>29</v>
      </c>
      <c r="I35">
        <v>7</v>
      </c>
      <c r="J35">
        <v>1.4</v>
      </c>
      <c r="K35">
        <v>511250218.03022987</v>
      </c>
      <c r="L35">
        <v>54505400</v>
      </c>
      <c r="M35">
        <v>79703407.471783742</v>
      </c>
      <c r="N35">
        <v>54677200</v>
      </c>
      <c r="O35">
        <v>15894484.24</v>
      </c>
      <c r="P35">
        <v>211.012463</v>
      </c>
      <c r="Q35">
        <v>1.6411658406909724</v>
      </c>
      <c r="R35">
        <v>43.641465799999999</v>
      </c>
      <c r="S35">
        <v>781.19904299999996</v>
      </c>
      <c r="T35">
        <v>1.40386012E-18</v>
      </c>
      <c r="U35">
        <v>19.151742389642219</v>
      </c>
      <c r="V35">
        <v>100.934</v>
      </c>
      <c r="W35">
        <v>-238.93027539446987</v>
      </c>
      <c r="X35">
        <v>62.828302800000003</v>
      </c>
      <c r="Y35">
        <v>92.414677600000005</v>
      </c>
      <c r="Z35">
        <v>203.285</v>
      </c>
      <c r="AA35">
        <v>230.88824500000001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P35" s="27">
        <f t="shared" si="0"/>
        <v>1.6411658406909724</v>
      </c>
    </row>
    <row r="36" spans="1:42">
      <c r="A36">
        <v>919.31899938852735</v>
      </c>
      <c r="B36">
        <v>27</v>
      </c>
      <c r="C36">
        <v>10</v>
      </c>
      <c r="D36">
        <v>15</v>
      </c>
      <c r="E36">
        <v>29</v>
      </c>
      <c r="F36">
        <v>5</v>
      </c>
      <c r="G36">
        <v>1.2</v>
      </c>
      <c r="H36">
        <v>10</v>
      </c>
      <c r="I36">
        <v>7</v>
      </c>
      <c r="J36">
        <v>0.3</v>
      </c>
      <c r="K36">
        <v>510784089.3987096</v>
      </c>
      <c r="L36">
        <v>54484300</v>
      </c>
      <c r="M36">
        <v>79700247.702751175</v>
      </c>
      <c r="N36">
        <v>54583400</v>
      </c>
      <c r="O36">
        <v>15903519.6</v>
      </c>
      <c r="P36">
        <v>209.51451900000001</v>
      </c>
      <c r="Q36">
        <v>1.6529209366524855</v>
      </c>
      <c r="R36">
        <v>43.642187300000003</v>
      </c>
      <c r="S36">
        <v>780.652199</v>
      </c>
      <c r="T36">
        <v>4.6799132000000004E-10</v>
      </c>
      <c r="U36">
        <v>19.369397687988023</v>
      </c>
      <c r="V36">
        <v>100.934</v>
      </c>
      <c r="W36">
        <v>-236.77114263286211</v>
      </c>
      <c r="X36">
        <v>62.788966100000003</v>
      </c>
      <c r="Y36">
        <v>92.389798499999998</v>
      </c>
      <c r="Z36">
        <v>203.285</v>
      </c>
      <c r="AA36">
        <v>236.913679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P36" s="27">
        <f t="shared" si="0"/>
        <v>1.6529209366524855</v>
      </c>
    </row>
    <row r="37" spans="1:42">
      <c r="A37">
        <v>936.28576661372551</v>
      </c>
      <c r="B37">
        <v>27</v>
      </c>
      <c r="C37">
        <v>10</v>
      </c>
      <c r="D37">
        <v>1</v>
      </c>
      <c r="E37">
        <v>19</v>
      </c>
      <c r="F37">
        <v>14</v>
      </c>
      <c r="G37">
        <v>1.2</v>
      </c>
      <c r="H37">
        <v>23</v>
      </c>
      <c r="I37">
        <v>14</v>
      </c>
      <c r="J37">
        <v>0.3</v>
      </c>
      <c r="K37">
        <v>508228290.60431784</v>
      </c>
      <c r="L37">
        <v>54443400</v>
      </c>
      <c r="M37">
        <v>79710216.867850304</v>
      </c>
      <c r="N37">
        <v>55394700</v>
      </c>
      <c r="O37">
        <v>15888835.6</v>
      </c>
      <c r="P37">
        <v>207.01001199999999</v>
      </c>
      <c r="Q37">
        <v>1.6463648957184016</v>
      </c>
      <c r="R37">
        <v>43.587589100000002</v>
      </c>
      <c r="S37">
        <v>781.03394200000002</v>
      </c>
      <c r="T37">
        <v>1.05927905E-13</v>
      </c>
      <c r="U37">
        <v>19.22437697638135</v>
      </c>
      <c r="V37">
        <v>80.72</v>
      </c>
      <c r="W37">
        <v>-149.45229541509391</v>
      </c>
      <c r="X37">
        <v>63.008147899999997</v>
      </c>
      <c r="Y37">
        <v>94.885640499999994</v>
      </c>
      <c r="Z37">
        <v>144.29</v>
      </c>
      <c r="AA37">
        <v>234.26919899999999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P37" s="27">
        <f t="shared" si="0"/>
        <v>1.6463648957184016</v>
      </c>
    </row>
    <row r="38" spans="1:42">
      <c r="A38">
        <v>910</v>
      </c>
      <c r="B38">
        <v>27</v>
      </c>
      <c r="C38">
        <v>10</v>
      </c>
      <c r="D38">
        <v>1</v>
      </c>
      <c r="E38">
        <v>16</v>
      </c>
      <c r="F38">
        <v>14</v>
      </c>
      <c r="G38">
        <v>0.78902947652290889</v>
      </c>
      <c r="H38">
        <v>10</v>
      </c>
      <c r="I38">
        <v>7</v>
      </c>
      <c r="J38">
        <v>1.4</v>
      </c>
      <c r="K38">
        <v>507955314.15968376</v>
      </c>
      <c r="L38">
        <v>54368500</v>
      </c>
      <c r="M38">
        <v>79673445.37879838</v>
      </c>
      <c r="N38">
        <v>53499200</v>
      </c>
      <c r="O38">
        <v>15889693.68</v>
      </c>
      <c r="P38">
        <v>207.869452</v>
      </c>
      <c r="Q38">
        <v>1.6773289702213618</v>
      </c>
      <c r="R38">
        <v>43.405336499999997</v>
      </c>
      <c r="S38">
        <v>780.362303</v>
      </c>
      <c r="T38">
        <v>1.02535127E-13</v>
      </c>
      <c r="U38">
        <v>18.5652341220521</v>
      </c>
      <c r="V38">
        <v>80.72</v>
      </c>
      <c r="W38">
        <v>-151.09836372596754</v>
      </c>
      <c r="X38">
        <v>63.139198299999997</v>
      </c>
      <c r="Y38">
        <v>94.960115900000005</v>
      </c>
      <c r="Z38">
        <v>100.934</v>
      </c>
      <c r="AA38">
        <v>229.50227799999999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P38" s="27">
        <f t="shared" si="0"/>
        <v>1.6773289702213618</v>
      </c>
    </row>
    <row r="39" spans="1:42">
      <c r="A39">
        <v>936.22331831142469</v>
      </c>
      <c r="B39">
        <v>39</v>
      </c>
      <c r="C39">
        <v>19</v>
      </c>
      <c r="D39">
        <v>1</v>
      </c>
      <c r="E39">
        <v>29</v>
      </c>
      <c r="F39">
        <v>14</v>
      </c>
      <c r="G39">
        <v>1.2</v>
      </c>
      <c r="H39">
        <v>29</v>
      </c>
      <c r="I39">
        <v>7</v>
      </c>
      <c r="J39">
        <v>0.3</v>
      </c>
      <c r="K39">
        <v>509134217.45941186</v>
      </c>
      <c r="L39">
        <v>54497200</v>
      </c>
      <c r="M39">
        <v>79710817.600865111</v>
      </c>
      <c r="N39">
        <v>55518400</v>
      </c>
      <c r="O39">
        <v>15888952</v>
      </c>
      <c r="P39">
        <v>206.95282399999999</v>
      </c>
      <c r="Q39">
        <v>1.648300520402904</v>
      </c>
      <c r="R39">
        <v>43.605035600000001</v>
      </c>
      <c r="S39">
        <v>782.09974699999998</v>
      </c>
      <c r="T39">
        <v>6.7328210299999995E-19</v>
      </c>
      <c r="U39">
        <v>19.494359628961096</v>
      </c>
      <c r="V39">
        <v>80.72</v>
      </c>
      <c r="W39">
        <v>-148.10970208015425</v>
      </c>
      <c r="X39">
        <v>63.009781799999999</v>
      </c>
      <c r="Y39">
        <v>94.788949299999999</v>
      </c>
      <c r="Z39">
        <v>203.285</v>
      </c>
      <c r="AA39">
        <v>234.69842600000001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P39" s="27">
        <f t="shared" si="0"/>
        <v>1.648300520402904</v>
      </c>
    </row>
    <row r="40" spans="1:42">
      <c r="A40">
        <v>938.36599739390113</v>
      </c>
      <c r="B40">
        <v>39</v>
      </c>
      <c r="C40">
        <v>10</v>
      </c>
      <c r="D40">
        <v>15</v>
      </c>
      <c r="E40">
        <v>29</v>
      </c>
      <c r="F40">
        <v>5</v>
      </c>
      <c r="G40">
        <v>0.3</v>
      </c>
      <c r="H40">
        <v>29</v>
      </c>
      <c r="I40">
        <v>14</v>
      </c>
      <c r="J40">
        <v>1.4</v>
      </c>
      <c r="K40">
        <v>511361755.89287555</v>
      </c>
      <c r="L40">
        <v>54555600</v>
      </c>
      <c r="M40">
        <v>79705405.114549443</v>
      </c>
      <c r="N40">
        <v>54922500</v>
      </c>
      <c r="O40">
        <v>15895218.32</v>
      </c>
      <c r="P40">
        <v>211.23264900000001</v>
      </c>
      <c r="Q40">
        <v>1.6357363696814946</v>
      </c>
      <c r="R40">
        <v>43.670628999999998</v>
      </c>
      <c r="S40">
        <v>780.31332099999997</v>
      </c>
      <c r="T40">
        <v>4.6942633699999998E-9</v>
      </c>
      <c r="U40">
        <v>19.83203710259815</v>
      </c>
      <c r="V40">
        <v>100.934</v>
      </c>
      <c r="W40">
        <v>-237.2453780601239</v>
      </c>
      <c r="X40">
        <v>62.825001399999998</v>
      </c>
      <c r="Y40">
        <v>92.083406299999993</v>
      </c>
      <c r="Z40">
        <v>180.98100000000002</v>
      </c>
      <c r="AA40">
        <v>231.18474399999999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P40" s="27">
        <f t="shared" si="0"/>
        <v>1.6357363696814946</v>
      </c>
    </row>
    <row r="41" spans="1:42">
      <c r="A41">
        <v>927.73852431900843</v>
      </c>
      <c r="B41">
        <v>27</v>
      </c>
      <c r="C41">
        <v>19</v>
      </c>
      <c r="D41">
        <v>15</v>
      </c>
      <c r="E41">
        <v>29</v>
      </c>
      <c r="F41">
        <v>14</v>
      </c>
      <c r="G41">
        <v>1.2</v>
      </c>
      <c r="H41">
        <v>10</v>
      </c>
      <c r="I41">
        <v>7</v>
      </c>
      <c r="J41">
        <v>1.4</v>
      </c>
      <c r="K41">
        <v>510750049.21224582</v>
      </c>
      <c r="L41">
        <v>54475600</v>
      </c>
      <c r="M41">
        <v>79692022.547071576</v>
      </c>
      <c r="N41">
        <v>54565400</v>
      </c>
      <c r="O41">
        <v>15889903.039999999</v>
      </c>
      <c r="P41">
        <v>210.43148600000001</v>
      </c>
      <c r="Q41">
        <v>1.6458035182073369</v>
      </c>
      <c r="R41">
        <v>43.643791399999998</v>
      </c>
      <c r="S41">
        <v>781.12069299999996</v>
      </c>
      <c r="T41">
        <v>1.76967116E-12</v>
      </c>
      <c r="U41">
        <v>19.140606501163912</v>
      </c>
      <c r="V41">
        <v>91.850000000000009</v>
      </c>
      <c r="W41">
        <v>-240.00247546813625</v>
      </c>
      <c r="X41">
        <v>62.854004099999997</v>
      </c>
      <c r="Y41">
        <v>92.451163899999997</v>
      </c>
      <c r="Z41">
        <v>203.285</v>
      </c>
      <c r="AA41">
        <v>232.943352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P41" s="27">
        <f t="shared" si="0"/>
        <v>1.6458035182073369</v>
      </c>
    </row>
    <row r="42" spans="1:42">
      <c r="A42">
        <v>921.17244683843808</v>
      </c>
      <c r="B42">
        <v>27</v>
      </c>
      <c r="C42">
        <v>10</v>
      </c>
      <c r="D42">
        <v>15</v>
      </c>
      <c r="E42">
        <v>29</v>
      </c>
      <c r="F42">
        <v>5</v>
      </c>
      <c r="G42">
        <v>1.2</v>
      </c>
      <c r="H42">
        <v>29</v>
      </c>
      <c r="I42">
        <v>7</v>
      </c>
      <c r="J42">
        <v>0.3</v>
      </c>
      <c r="K42">
        <v>511296721.69138408</v>
      </c>
      <c r="L42">
        <v>54515600</v>
      </c>
      <c r="M42">
        <v>79696338.083986163</v>
      </c>
      <c r="N42">
        <v>54533000</v>
      </c>
      <c r="O42">
        <v>15901972.959999999</v>
      </c>
      <c r="P42">
        <v>209.60655</v>
      </c>
      <c r="Q42">
        <v>1.6555760765752898</v>
      </c>
      <c r="R42">
        <v>43.641966799999999</v>
      </c>
      <c r="S42">
        <v>780.66743299999996</v>
      </c>
      <c r="T42">
        <v>4.6787501900000004E-10</v>
      </c>
      <c r="U42">
        <v>19.373580885021404</v>
      </c>
      <c r="V42">
        <v>100.934</v>
      </c>
      <c r="W42">
        <v>-236.71404215854227</v>
      </c>
      <c r="X42">
        <v>62.782393800000001</v>
      </c>
      <c r="Y42">
        <v>92.386608899999999</v>
      </c>
      <c r="Z42">
        <v>203.285</v>
      </c>
      <c r="AA42">
        <v>235.43946800000001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P42" s="27">
        <f t="shared" si="0"/>
        <v>1.6555760765752898</v>
      </c>
    </row>
    <row r="43" spans="1:42">
      <c r="A43">
        <v>942.51875983648961</v>
      </c>
      <c r="B43">
        <v>27</v>
      </c>
      <c r="C43">
        <v>19</v>
      </c>
      <c r="D43">
        <v>1</v>
      </c>
      <c r="E43">
        <v>29</v>
      </c>
      <c r="F43">
        <v>5</v>
      </c>
      <c r="G43">
        <v>0.3</v>
      </c>
      <c r="H43">
        <v>10</v>
      </c>
      <c r="I43">
        <v>7</v>
      </c>
      <c r="J43">
        <v>1.4</v>
      </c>
      <c r="K43">
        <v>512058981.98401368</v>
      </c>
      <c r="L43">
        <v>54515600</v>
      </c>
      <c r="M43">
        <v>79696296.215240106</v>
      </c>
      <c r="N43">
        <v>54533000</v>
      </c>
      <c r="O43">
        <v>15891713.040000001</v>
      </c>
      <c r="P43">
        <v>205.77272400000001</v>
      </c>
      <c r="Q43">
        <v>1.6889364499964077</v>
      </c>
      <c r="R43">
        <v>43.677821700000003</v>
      </c>
      <c r="S43">
        <v>779.88559899999996</v>
      </c>
      <c r="T43">
        <v>5.3991052100000004E-9</v>
      </c>
      <c r="U43">
        <v>20.195498228949333</v>
      </c>
      <c r="V43">
        <v>68.709999999999994</v>
      </c>
      <c r="W43">
        <v>-168.30515664620054</v>
      </c>
      <c r="X43">
        <v>63.078578200000003</v>
      </c>
      <c r="Y43">
        <v>95.082425099999995</v>
      </c>
      <c r="Z43">
        <v>177.97</v>
      </c>
      <c r="AA43">
        <v>232.23977600000001</v>
      </c>
      <c r="AB43">
        <v>100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P43" s="27">
        <f t="shared" si="0"/>
        <v>101.6889364499964</v>
      </c>
    </row>
    <row r="44" spans="1:42">
      <c r="A44">
        <v>921.1217382690453</v>
      </c>
      <c r="B44">
        <v>27</v>
      </c>
      <c r="C44">
        <v>10</v>
      </c>
      <c r="D44">
        <v>1</v>
      </c>
      <c r="E44">
        <v>29</v>
      </c>
      <c r="F44">
        <v>14</v>
      </c>
      <c r="G44">
        <v>1.2</v>
      </c>
      <c r="H44">
        <v>10</v>
      </c>
      <c r="I44">
        <v>7</v>
      </c>
      <c r="J44">
        <v>1.4</v>
      </c>
      <c r="K44">
        <v>508444116.52142346</v>
      </c>
      <c r="L44">
        <v>54418900</v>
      </c>
      <c r="M44">
        <v>79687428.520895764</v>
      </c>
      <c r="N44">
        <v>55316600</v>
      </c>
      <c r="O44">
        <v>15892412.640000001</v>
      </c>
      <c r="P44">
        <v>206.43635499999999</v>
      </c>
      <c r="Q44">
        <v>1.6527957975474969</v>
      </c>
      <c r="R44">
        <v>43.627822899999998</v>
      </c>
      <c r="S44">
        <v>781.53002500000002</v>
      </c>
      <c r="T44">
        <v>1.03364469E-13</v>
      </c>
      <c r="U44">
        <v>19.221629005547385</v>
      </c>
      <c r="V44">
        <v>80.72</v>
      </c>
      <c r="W44">
        <v>-148.87328099402032</v>
      </c>
      <c r="X44">
        <v>63.102730399999999</v>
      </c>
      <c r="Y44">
        <v>94.939499699999999</v>
      </c>
      <c r="Z44">
        <v>180.98100000000002</v>
      </c>
      <c r="AA44">
        <v>232.49848800000001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P44" s="27">
        <f t="shared" si="0"/>
        <v>1.6527957975474969</v>
      </c>
    </row>
    <row r="45" spans="1:42">
      <c r="A45">
        <v>935.41296933310809</v>
      </c>
      <c r="B45">
        <v>28</v>
      </c>
      <c r="C45">
        <v>10</v>
      </c>
      <c r="D45">
        <v>3.3179487625726609</v>
      </c>
      <c r="E45">
        <v>10</v>
      </c>
      <c r="F45">
        <v>5</v>
      </c>
      <c r="G45">
        <v>0.48528480707724125</v>
      </c>
      <c r="H45">
        <v>15</v>
      </c>
      <c r="I45">
        <v>13</v>
      </c>
      <c r="J45">
        <v>0.6485780564519088</v>
      </c>
      <c r="K45">
        <v>508459085.66635036</v>
      </c>
      <c r="L45">
        <v>54415300</v>
      </c>
      <c r="M45">
        <v>79701309.92249386</v>
      </c>
      <c r="N45">
        <v>54118100</v>
      </c>
      <c r="O45">
        <v>15887638.16</v>
      </c>
      <c r="P45">
        <v>211.73214899999999</v>
      </c>
      <c r="Q45">
        <v>1.6364165721135939</v>
      </c>
      <c r="R45">
        <v>43.551538999999998</v>
      </c>
      <c r="S45">
        <v>780.16876100000002</v>
      </c>
      <c r="T45">
        <v>2.5254996900000001E-9</v>
      </c>
      <c r="U45">
        <v>19.444345599855279</v>
      </c>
      <c r="V45">
        <v>100.934</v>
      </c>
      <c r="W45">
        <v>-237.76051303405134</v>
      </c>
      <c r="X45">
        <v>62.841137600000003</v>
      </c>
      <c r="Y45">
        <v>92.784587200000004</v>
      </c>
      <c r="Z45">
        <v>144.29</v>
      </c>
      <c r="AA45">
        <v>231.24996100000001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P45" s="27">
        <f t="shared" si="0"/>
        <v>1.6364165721135939</v>
      </c>
    </row>
    <row r="46" spans="1:42">
      <c r="A46">
        <v>940.34196877865634</v>
      </c>
      <c r="B46">
        <v>39</v>
      </c>
      <c r="C46">
        <v>19</v>
      </c>
      <c r="D46">
        <v>15</v>
      </c>
      <c r="E46">
        <v>29</v>
      </c>
      <c r="F46">
        <v>14</v>
      </c>
      <c r="G46">
        <v>1.2</v>
      </c>
      <c r="H46">
        <v>23</v>
      </c>
      <c r="I46">
        <v>14</v>
      </c>
      <c r="J46">
        <v>1.4</v>
      </c>
      <c r="K46">
        <v>511608833.58865148</v>
      </c>
      <c r="L46">
        <v>54557200</v>
      </c>
      <c r="M46">
        <v>79707801.723328725</v>
      </c>
      <c r="N46">
        <v>54784900</v>
      </c>
      <c r="O46">
        <v>15896237.84</v>
      </c>
      <c r="P46">
        <v>211.45755199999999</v>
      </c>
      <c r="Q46">
        <v>1.6376957423831879</v>
      </c>
      <c r="R46">
        <v>43.646649400000001</v>
      </c>
      <c r="S46">
        <v>780.48424800000009</v>
      </c>
      <c r="T46">
        <v>4.6291525799999998E-10</v>
      </c>
      <c r="U46">
        <v>19.317678180031407</v>
      </c>
      <c r="V46">
        <v>100.934</v>
      </c>
      <c r="W46">
        <v>-238.27883392386127</v>
      </c>
      <c r="X46">
        <v>62.821424299999997</v>
      </c>
      <c r="Y46">
        <v>92.071638699999994</v>
      </c>
      <c r="Z46">
        <v>203.285</v>
      </c>
      <c r="AA46">
        <v>231.06311600000001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P46" s="27">
        <f t="shared" si="0"/>
        <v>1.6376957423831879</v>
      </c>
    </row>
    <row r="47" spans="1:42">
      <c r="A47">
        <v>910</v>
      </c>
      <c r="B47">
        <v>27</v>
      </c>
      <c r="C47">
        <v>19</v>
      </c>
      <c r="D47">
        <v>1</v>
      </c>
      <c r="E47">
        <v>29</v>
      </c>
      <c r="F47">
        <v>5</v>
      </c>
      <c r="G47">
        <v>1.2</v>
      </c>
      <c r="H47">
        <v>10</v>
      </c>
      <c r="I47">
        <v>7</v>
      </c>
      <c r="J47">
        <v>0.3</v>
      </c>
      <c r="K47">
        <v>508139432.62983155</v>
      </c>
      <c r="L47">
        <v>54419300</v>
      </c>
      <c r="M47">
        <v>79687760.517362162</v>
      </c>
      <c r="N47">
        <v>55787200</v>
      </c>
      <c r="O47">
        <v>15893542.880000001</v>
      </c>
      <c r="P47">
        <v>202.917305</v>
      </c>
      <c r="Q47">
        <v>1.6702108321041997</v>
      </c>
      <c r="R47">
        <v>43.681744100000003</v>
      </c>
      <c r="S47">
        <v>780.01266700000008</v>
      </c>
      <c r="T47">
        <v>2.5985940999999999E-9</v>
      </c>
      <c r="U47">
        <v>19.837313541809873</v>
      </c>
      <c r="V47">
        <v>68.709999999999994</v>
      </c>
      <c r="W47">
        <v>-166.96328863850931</v>
      </c>
      <c r="X47">
        <v>63.064402600000001</v>
      </c>
      <c r="Y47">
        <v>95.073021199999999</v>
      </c>
      <c r="Z47">
        <v>203.285</v>
      </c>
      <c r="AA47">
        <v>235.42667800000001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P47" s="27">
        <f t="shared" si="0"/>
        <v>1.6702108321041997</v>
      </c>
    </row>
    <row r="48" spans="1:42">
      <c r="A48">
        <v>928.39849721710334</v>
      </c>
      <c r="B48">
        <v>27</v>
      </c>
      <c r="C48">
        <v>19</v>
      </c>
      <c r="D48">
        <v>15</v>
      </c>
      <c r="E48">
        <v>29</v>
      </c>
      <c r="F48">
        <v>14</v>
      </c>
      <c r="G48">
        <v>0.3</v>
      </c>
      <c r="H48">
        <v>29</v>
      </c>
      <c r="I48">
        <v>14</v>
      </c>
      <c r="J48">
        <v>1.4</v>
      </c>
      <c r="K48">
        <v>510852915.43373168</v>
      </c>
      <c r="L48">
        <v>54495100</v>
      </c>
      <c r="M48">
        <v>79692921.487815857</v>
      </c>
      <c r="N48">
        <v>54607300</v>
      </c>
      <c r="O48">
        <v>15890734.720000001</v>
      </c>
      <c r="P48">
        <v>210.69915700000001</v>
      </c>
      <c r="Q48">
        <v>1.64357482470792</v>
      </c>
      <c r="R48">
        <v>43.648645000000002</v>
      </c>
      <c r="S48">
        <v>779.80517400000008</v>
      </c>
      <c r="T48">
        <v>1.7717319299999999E-12</v>
      </c>
      <c r="U48">
        <v>19.599919453751006</v>
      </c>
      <c r="V48">
        <v>91.850000000000009</v>
      </c>
      <c r="W48">
        <v>-238.72656671955187</v>
      </c>
      <c r="X48">
        <v>62.840455400000003</v>
      </c>
      <c r="Y48">
        <v>92.443823899999998</v>
      </c>
      <c r="Z48">
        <v>177.97</v>
      </c>
      <c r="AA48">
        <v>231.21077600000001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P48" s="27">
        <f t="shared" si="0"/>
        <v>1.64357482470792</v>
      </c>
    </row>
    <row r="49" spans="1:42">
      <c r="A49">
        <v>910</v>
      </c>
      <c r="B49">
        <v>27</v>
      </c>
      <c r="C49">
        <v>10</v>
      </c>
      <c r="D49">
        <v>1</v>
      </c>
      <c r="E49">
        <v>10</v>
      </c>
      <c r="F49">
        <v>5</v>
      </c>
      <c r="G49">
        <v>0.3</v>
      </c>
      <c r="H49">
        <v>29</v>
      </c>
      <c r="I49">
        <v>7</v>
      </c>
      <c r="J49">
        <v>1.4</v>
      </c>
      <c r="K49">
        <v>508121336.31954455</v>
      </c>
      <c r="L49">
        <v>54387100</v>
      </c>
      <c r="M49">
        <v>79673645.479875535</v>
      </c>
      <c r="N49">
        <v>54017700</v>
      </c>
      <c r="O49">
        <v>15889415.92</v>
      </c>
      <c r="P49">
        <v>206.70250100000001</v>
      </c>
      <c r="Q49">
        <v>1.6766678115318145</v>
      </c>
      <c r="R49">
        <v>43.485421199999998</v>
      </c>
      <c r="S49">
        <v>780.90806499999997</v>
      </c>
      <c r="T49">
        <v>5.7728323900000003E-9</v>
      </c>
      <c r="U49">
        <v>19.526107877104831</v>
      </c>
      <c r="V49">
        <v>80.72</v>
      </c>
      <c r="W49">
        <v>-152.25098926530126</v>
      </c>
      <c r="X49">
        <v>63.107056300000004</v>
      </c>
      <c r="Y49">
        <v>94.941500099999999</v>
      </c>
      <c r="Z49">
        <v>144.29</v>
      </c>
      <c r="AA49">
        <v>228.98070899999999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P49" s="27">
        <f t="shared" si="0"/>
        <v>1.6766678115318145</v>
      </c>
    </row>
    <row r="50" spans="1:42">
      <c r="A50">
        <v>910</v>
      </c>
      <c r="B50">
        <v>39</v>
      </c>
      <c r="C50">
        <v>19</v>
      </c>
      <c r="D50">
        <v>15</v>
      </c>
      <c r="E50">
        <v>29</v>
      </c>
      <c r="F50">
        <v>14</v>
      </c>
      <c r="G50">
        <v>1.2</v>
      </c>
      <c r="H50">
        <v>10</v>
      </c>
      <c r="I50">
        <v>7</v>
      </c>
      <c r="J50">
        <v>0.3</v>
      </c>
      <c r="K50">
        <v>511076162.97222656</v>
      </c>
      <c r="L50">
        <v>54490200</v>
      </c>
      <c r="M50">
        <v>79689262.11056</v>
      </c>
      <c r="N50">
        <v>54388500</v>
      </c>
      <c r="O50">
        <v>15901185.119999999</v>
      </c>
      <c r="P50">
        <v>208.889409</v>
      </c>
      <c r="Q50">
        <v>1.6630599506497692</v>
      </c>
      <c r="R50">
        <v>43.6443893</v>
      </c>
      <c r="S50">
        <v>780.61360100000002</v>
      </c>
      <c r="T50">
        <v>4.69771805E-10</v>
      </c>
      <c r="U50">
        <v>19.365084115987372</v>
      </c>
      <c r="V50">
        <v>100.934</v>
      </c>
      <c r="W50">
        <v>-236.95351217102606</v>
      </c>
      <c r="X50">
        <v>62.801498000000002</v>
      </c>
      <c r="Y50">
        <v>92.051886100000004</v>
      </c>
      <c r="Z50">
        <v>203.285</v>
      </c>
      <c r="AA50">
        <v>236.91906800000001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P50" s="27">
        <f t="shared" si="0"/>
        <v>1.6630599506497692</v>
      </c>
    </row>
    <row r="51" spans="1:42">
      <c r="A51">
        <v>940.89146062273096</v>
      </c>
      <c r="B51">
        <v>27</v>
      </c>
      <c r="C51">
        <v>19</v>
      </c>
      <c r="D51">
        <v>15</v>
      </c>
      <c r="E51">
        <v>20</v>
      </c>
      <c r="F51">
        <v>14</v>
      </c>
      <c r="G51">
        <v>1.2</v>
      </c>
      <c r="H51">
        <v>26</v>
      </c>
      <c r="I51">
        <v>14</v>
      </c>
      <c r="J51">
        <v>0.3</v>
      </c>
      <c r="K51">
        <v>511015058.23297077</v>
      </c>
      <c r="L51">
        <v>54531600</v>
      </c>
      <c r="M51">
        <v>79717010.057263389</v>
      </c>
      <c r="N51">
        <v>54756200</v>
      </c>
      <c r="O51">
        <v>15898139.76</v>
      </c>
      <c r="P51">
        <v>210.95805899999999</v>
      </c>
      <c r="Q51">
        <v>1.6397274949262364</v>
      </c>
      <c r="R51">
        <v>43.616917899999997</v>
      </c>
      <c r="S51">
        <v>780.68459300000006</v>
      </c>
      <c r="T51">
        <v>1.77212799E-12</v>
      </c>
      <c r="U51">
        <v>19.185060065914971</v>
      </c>
      <c r="V51">
        <v>91.850000000000009</v>
      </c>
      <c r="W51">
        <v>-238.97011939224939</v>
      </c>
      <c r="X51">
        <v>62.757791400000002</v>
      </c>
      <c r="Y51">
        <v>92.401720299999994</v>
      </c>
      <c r="Z51">
        <v>165.7</v>
      </c>
      <c r="AA51">
        <v>235.13656399999999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P51" s="27">
        <f t="shared" si="0"/>
        <v>1.6397274949262364</v>
      </c>
    </row>
    <row r="52" spans="1:42">
      <c r="A52">
        <v>910</v>
      </c>
      <c r="B52">
        <v>27</v>
      </c>
      <c r="C52">
        <v>10</v>
      </c>
      <c r="D52">
        <v>15</v>
      </c>
      <c r="E52">
        <v>20</v>
      </c>
      <c r="F52">
        <v>5</v>
      </c>
      <c r="G52">
        <v>0.99859787310430181</v>
      </c>
      <c r="H52">
        <v>16</v>
      </c>
      <c r="I52">
        <v>14</v>
      </c>
      <c r="J52">
        <v>0.64580845484194349</v>
      </c>
      <c r="K52">
        <v>510446987.98083591</v>
      </c>
      <c r="L52">
        <v>54439800</v>
      </c>
      <c r="M52">
        <v>79674445.975194693</v>
      </c>
      <c r="N52">
        <v>54469500</v>
      </c>
      <c r="O52">
        <v>15897260.48</v>
      </c>
      <c r="P52">
        <v>210.05714</v>
      </c>
      <c r="Q52">
        <v>1.6490201056767635</v>
      </c>
      <c r="R52">
        <v>43.646103500000002</v>
      </c>
      <c r="S52">
        <v>779.939572</v>
      </c>
      <c r="T52">
        <v>6.4775488800000004E-10</v>
      </c>
      <c r="U52">
        <v>19.313313881363424</v>
      </c>
      <c r="V52">
        <v>100.934</v>
      </c>
      <c r="W52">
        <v>-238.34426033584165</v>
      </c>
      <c r="X52">
        <v>62.9121126</v>
      </c>
      <c r="Y52">
        <v>92.454871900000001</v>
      </c>
      <c r="Z52">
        <v>180.98100000000002</v>
      </c>
      <c r="AA52">
        <v>236.86514399999999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P52" s="27">
        <f t="shared" si="0"/>
        <v>1.6490201056767635</v>
      </c>
    </row>
    <row r="53" spans="1:42">
      <c r="A53">
        <v>923.96511417189254</v>
      </c>
      <c r="B53">
        <v>39</v>
      </c>
      <c r="C53">
        <v>19</v>
      </c>
      <c r="D53">
        <v>1</v>
      </c>
      <c r="E53">
        <v>29</v>
      </c>
      <c r="F53">
        <v>14</v>
      </c>
      <c r="G53">
        <v>1.2</v>
      </c>
      <c r="H53">
        <v>10</v>
      </c>
      <c r="I53">
        <v>7</v>
      </c>
      <c r="J53">
        <v>1.4</v>
      </c>
      <c r="K53">
        <v>508672788.46573985</v>
      </c>
      <c r="L53">
        <v>54458100</v>
      </c>
      <c r="M53">
        <v>79690823.951468781</v>
      </c>
      <c r="N53">
        <v>55286200</v>
      </c>
      <c r="O53">
        <v>15893108.720000001</v>
      </c>
      <c r="P53">
        <v>207.02945399999999</v>
      </c>
      <c r="Q53">
        <v>1.6502947123265201</v>
      </c>
      <c r="R53">
        <v>43.607384400000001</v>
      </c>
      <c r="S53">
        <v>781.89257399999997</v>
      </c>
      <c r="T53">
        <v>6.7424028599999996E-19</v>
      </c>
      <c r="U53">
        <v>19.420658688976779</v>
      </c>
      <c r="V53">
        <v>80.72</v>
      </c>
      <c r="W53">
        <v>-148.33806372524054</v>
      </c>
      <c r="X53">
        <v>63.103820200000001</v>
      </c>
      <c r="Y53">
        <v>94.842480300000005</v>
      </c>
      <c r="Z53">
        <v>203.285</v>
      </c>
      <c r="AA53">
        <v>232.59133600000001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P53" s="27">
        <f t="shared" si="0"/>
        <v>1.6502947123265201</v>
      </c>
    </row>
    <row r="54" spans="1:42">
      <c r="A54">
        <v>931.00238020598511</v>
      </c>
      <c r="B54">
        <v>27</v>
      </c>
      <c r="C54">
        <v>19</v>
      </c>
      <c r="D54">
        <v>1</v>
      </c>
      <c r="E54">
        <v>16</v>
      </c>
      <c r="F54">
        <v>14</v>
      </c>
      <c r="G54">
        <v>0.3</v>
      </c>
      <c r="H54">
        <v>29</v>
      </c>
      <c r="I54">
        <v>7</v>
      </c>
      <c r="J54">
        <v>1.4</v>
      </c>
      <c r="K54">
        <v>508392704.03053272</v>
      </c>
      <c r="L54">
        <v>54427100</v>
      </c>
      <c r="M54">
        <v>79694316.370887622</v>
      </c>
      <c r="N54">
        <v>53070700</v>
      </c>
      <c r="O54">
        <v>15884305.120000001</v>
      </c>
      <c r="P54">
        <v>207.30214900000001</v>
      </c>
      <c r="Q54">
        <v>1.6937238963519845</v>
      </c>
      <c r="R54">
        <v>43.310199099999998</v>
      </c>
      <c r="S54">
        <v>782.07374399999992</v>
      </c>
      <c r="T54">
        <v>2.21014306E-9</v>
      </c>
      <c r="U54">
        <v>19.153376901300025</v>
      </c>
      <c r="V54">
        <v>68.709999999999994</v>
      </c>
      <c r="W54">
        <v>-171.67777012463262</v>
      </c>
      <c r="X54">
        <v>63.0896969</v>
      </c>
      <c r="Y54">
        <v>95.088407099999998</v>
      </c>
      <c r="Z54">
        <v>100.934</v>
      </c>
      <c r="AA54">
        <v>226.14071799999999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P54" s="27">
        <f t="shared" si="0"/>
        <v>1.6937238963519845</v>
      </c>
    </row>
    <row r="55" spans="1:42">
      <c r="A55">
        <v>930.19549861710175</v>
      </c>
      <c r="B55">
        <v>39</v>
      </c>
      <c r="C55">
        <v>10</v>
      </c>
      <c r="D55">
        <v>1</v>
      </c>
      <c r="E55">
        <v>23</v>
      </c>
      <c r="F55">
        <v>14</v>
      </c>
      <c r="G55">
        <v>0.3</v>
      </c>
      <c r="H55">
        <v>16</v>
      </c>
      <c r="I55">
        <v>14</v>
      </c>
      <c r="J55">
        <v>0.3</v>
      </c>
      <c r="K55">
        <v>508444895.4041183</v>
      </c>
      <c r="L55">
        <v>54467800</v>
      </c>
      <c r="M55">
        <v>79715540.959138155</v>
      </c>
      <c r="N55">
        <v>55132700</v>
      </c>
      <c r="O55">
        <v>15890481.040000001</v>
      </c>
      <c r="P55">
        <v>207.78018900000001</v>
      </c>
      <c r="Q55">
        <v>1.6470546537332118</v>
      </c>
      <c r="R55">
        <v>43.549272999999999</v>
      </c>
      <c r="S55">
        <v>780.68549399999995</v>
      </c>
      <c r="T55">
        <v>3.0919037299999999E-16</v>
      </c>
      <c r="U55">
        <v>19.547099957431001</v>
      </c>
      <c r="V55">
        <v>80.72</v>
      </c>
      <c r="W55">
        <v>-140.4145397997836</v>
      </c>
      <c r="X55">
        <v>63.024704999999997</v>
      </c>
      <c r="Y55">
        <v>94.822781699999993</v>
      </c>
      <c r="Z55">
        <v>165.7</v>
      </c>
      <c r="AA55">
        <v>239.450086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P55" s="27">
        <f t="shared" si="0"/>
        <v>1.6470546537332118</v>
      </c>
    </row>
    <row r="56" spans="1:42">
      <c r="A56">
        <v>910</v>
      </c>
      <c r="B56">
        <v>27</v>
      </c>
      <c r="C56">
        <v>19</v>
      </c>
      <c r="D56">
        <v>15</v>
      </c>
      <c r="E56">
        <v>17</v>
      </c>
      <c r="F56">
        <v>14</v>
      </c>
      <c r="G56">
        <v>0.3</v>
      </c>
      <c r="H56">
        <v>10</v>
      </c>
      <c r="I56">
        <v>7</v>
      </c>
      <c r="J56">
        <v>1.4</v>
      </c>
      <c r="K56">
        <v>510301451.14645517</v>
      </c>
      <c r="L56">
        <v>54438800</v>
      </c>
      <c r="M56">
        <v>79673345.336888343</v>
      </c>
      <c r="N56">
        <v>52568800</v>
      </c>
      <c r="O56">
        <v>15897006.4</v>
      </c>
      <c r="P56">
        <v>211.41364200000001</v>
      </c>
      <c r="Q56">
        <v>1.6776380571489138</v>
      </c>
      <c r="R56">
        <v>43.425455800000002</v>
      </c>
      <c r="S56">
        <v>780.87697500000002</v>
      </c>
      <c r="T56">
        <v>1.76239754E-12</v>
      </c>
      <c r="U56">
        <v>19.125290218570022</v>
      </c>
      <c r="V56">
        <v>91.850000000000009</v>
      </c>
      <c r="W56">
        <v>-243.34665524558122</v>
      </c>
      <c r="X56">
        <v>62.8968159</v>
      </c>
      <c r="Y56">
        <v>92.471167500000007</v>
      </c>
      <c r="Z56">
        <v>121.52199999999999</v>
      </c>
      <c r="AA56">
        <v>229.20446999999999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P56" s="27">
        <f t="shared" si="0"/>
        <v>1.6776380571489138</v>
      </c>
    </row>
    <row r="57" spans="1:42">
      <c r="A57">
        <v>927.17471354480085</v>
      </c>
      <c r="B57">
        <v>39</v>
      </c>
      <c r="C57">
        <v>10</v>
      </c>
      <c r="D57">
        <v>15</v>
      </c>
      <c r="E57">
        <v>29</v>
      </c>
      <c r="F57">
        <v>14</v>
      </c>
      <c r="G57">
        <v>1.2</v>
      </c>
      <c r="H57">
        <v>10</v>
      </c>
      <c r="I57">
        <v>8</v>
      </c>
      <c r="J57">
        <v>0.3</v>
      </c>
      <c r="K57">
        <v>511086108.20853662</v>
      </c>
      <c r="L57">
        <v>54516500</v>
      </c>
      <c r="M57">
        <v>79713847.907370791</v>
      </c>
      <c r="N57">
        <v>54675700</v>
      </c>
      <c r="O57">
        <v>15897041.359999999</v>
      </c>
      <c r="P57">
        <v>209.504673</v>
      </c>
      <c r="Q57">
        <v>1.6527109165435265</v>
      </c>
      <c r="R57">
        <v>43.639520599999997</v>
      </c>
      <c r="S57">
        <v>781.4082249999999</v>
      </c>
      <c r="T57">
        <v>1.4339702200000001E-18</v>
      </c>
      <c r="U57">
        <v>19.221900958281942</v>
      </c>
      <c r="V57">
        <v>100.934</v>
      </c>
      <c r="W57">
        <v>-237.30239478905864</v>
      </c>
      <c r="X57">
        <v>62.7602926</v>
      </c>
      <c r="Y57">
        <v>92.042984399999995</v>
      </c>
      <c r="Z57">
        <v>203.285</v>
      </c>
      <c r="AA57">
        <v>240.33764600000001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P57" s="27">
        <f t="shared" si="0"/>
        <v>1.6527109165435265</v>
      </c>
    </row>
    <row r="58" spans="1:42">
      <c r="A58">
        <v>920.84906021411598</v>
      </c>
      <c r="B58">
        <v>27</v>
      </c>
      <c r="C58">
        <v>10</v>
      </c>
      <c r="D58">
        <v>1</v>
      </c>
      <c r="E58">
        <v>10</v>
      </c>
      <c r="F58">
        <v>5</v>
      </c>
      <c r="G58">
        <v>0.3</v>
      </c>
      <c r="H58">
        <v>10</v>
      </c>
      <c r="I58">
        <v>7</v>
      </c>
      <c r="J58">
        <v>1.4</v>
      </c>
      <c r="K58">
        <v>507931059.26541251</v>
      </c>
      <c r="L58">
        <v>54383400</v>
      </c>
      <c r="M58">
        <v>79686528.655870751</v>
      </c>
      <c r="N58">
        <v>54291300</v>
      </c>
      <c r="O58">
        <v>15892383.76</v>
      </c>
      <c r="P58">
        <v>207.67874599999999</v>
      </c>
      <c r="Q58">
        <v>1.6622700658418981</v>
      </c>
      <c r="R58">
        <v>43.486070499999997</v>
      </c>
      <c r="S58">
        <v>780.87055499999997</v>
      </c>
      <c r="T58">
        <v>5.7460255399999998E-9</v>
      </c>
      <c r="U58">
        <v>19.508321815013584</v>
      </c>
      <c r="V58">
        <v>80.72</v>
      </c>
      <c r="W58">
        <v>-152.40149895418759</v>
      </c>
      <c r="X58">
        <v>63.1143839</v>
      </c>
      <c r="Y58">
        <v>94.946261000000007</v>
      </c>
      <c r="Z58">
        <v>144.29</v>
      </c>
      <c r="AA58">
        <v>230.046246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P58" s="27">
        <f t="shared" si="0"/>
        <v>1.6622700658418981</v>
      </c>
    </row>
    <row r="59" spans="1:42">
      <c r="A59">
        <v>929.12856148201342</v>
      </c>
      <c r="B59">
        <v>27</v>
      </c>
      <c r="C59">
        <v>10</v>
      </c>
      <c r="D59">
        <v>15</v>
      </c>
      <c r="E59">
        <v>29</v>
      </c>
      <c r="F59">
        <v>14</v>
      </c>
      <c r="G59">
        <v>0.3</v>
      </c>
      <c r="H59">
        <v>17</v>
      </c>
      <c r="I59">
        <v>14</v>
      </c>
      <c r="J59">
        <v>0.3</v>
      </c>
      <c r="K59">
        <v>510480337.14161932</v>
      </c>
      <c r="L59">
        <v>54488300</v>
      </c>
      <c r="M59">
        <v>79703130.426980808</v>
      </c>
      <c r="N59">
        <v>54828600</v>
      </c>
      <c r="O59">
        <v>15893483.039999999</v>
      </c>
      <c r="P59">
        <v>209.87917400000001</v>
      </c>
      <c r="Q59">
        <v>1.6439934733981285</v>
      </c>
      <c r="R59">
        <v>43.666077199999997</v>
      </c>
      <c r="S59">
        <v>780.51601500000004</v>
      </c>
      <c r="T59">
        <v>4.7295020799999996E-9</v>
      </c>
      <c r="U59">
        <v>19.893463284585007</v>
      </c>
      <c r="V59">
        <v>100.934</v>
      </c>
      <c r="W59">
        <v>-236.00374244007986</v>
      </c>
      <c r="X59">
        <v>62.772822900000001</v>
      </c>
      <c r="Y59">
        <v>92.382615999999999</v>
      </c>
      <c r="Z59">
        <v>180.98100000000002</v>
      </c>
      <c r="AA59">
        <v>235.88018199999999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P59" s="27">
        <f t="shared" si="0"/>
        <v>1.6439934733981285</v>
      </c>
    </row>
    <row r="60" spans="1:42">
      <c r="A60">
        <v>940.98113742825046</v>
      </c>
      <c r="B60">
        <v>39</v>
      </c>
      <c r="C60">
        <v>10</v>
      </c>
      <c r="D60">
        <v>14.276747822244683</v>
      </c>
      <c r="E60">
        <v>16</v>
      </c>
      <c r="F60">
        <v>14</v>
      </c>
      <c r="G60">
        <v>0.3</v>
      </c>
      <c r="H60">
        <v>29</v>
      </c>
      <c r="I60">
        <v>14</v>
      </c>
      <c r="J60">
        <v>0.3</v>
      </c>
      <c r="K60">
        <v>511437276.94696844</v>
      </c>
      <c r="L60">
        <v>54540800</v>
      </c>
      <c r="M60">
        <v>79707400.109792188</v>
      </c>
      <c r="N60">
        <v>52406000</v>
      </c>
      <c r="O60">
        <v>15895676</v>
      </c>
      <c r="P60">
        <v>213.94276400000001</v>
      </c>
      <c r="Q60">
        <v>1.6668736231511294</v>
      </c>
      <c r="R60">
        <v>43.337646900000003</v>
      </c>
      <c r="S60">
        <v>782.3434729999999</v>
      </c>
      <c r="T60">
        <v>4.1746853100000001E-15</v>
      </c>
      <c r="U60">
        <v>19.02466347160005</v>
      </c>
      <c r="V60">
        <v>100.934</v>
      </c>
      <c r="W60">
        <v>-241.44815602811232</v>
      </c>
      <c r="X60">
        <v>62.837331599999999</v>
      </c>
      <c r="Y60">
        <v>92.100313499999999</v>
      </c>
      <c r="Z60">
        <v>100.934</v>
      </c>
      <c r="AA60">
        <v>227.022482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P60" s="27">
        <f t="shared" si="0"/>
        <v>1.6668736231511294</v>
      </c>
    </row>
    <row r="61" spans="1:42">
      <c r="A61">
        <v>934.41553294113896</v>
      </c>
      <c r="B61">
        <v>39</v>
      </c>
      <c r="C61">
        <v>10</v>
      </c>
      <c r="D61">
        <v>1</v>
      </c>
      <c r="E61">
        <v>23</v>
      </c>
      <c r="F61">
        <v>5</v>
      </c>
      <c r="G61">
        <v>1.2</v>
      </c>
      <c r="H61">
        <v>29</v>
      </c>
      <c r="I61">
        <v>7</v>
      </c>
      <c r="J61">
        <v>1.4</v>
      </c>
      <c r="K61">
        <v>509094780.60681236</v>
      </c>
      <c r="L61">
        <v>54485800</v>
      </c>
      <c r="M61">
        <v>79700311.632382393</v>
      </c>
      <c r="N61">
        <v>55269100</v>
      </c>
      <c r="O61">
        <v>15885909.84</v>
      </c>
      <c r="P61">
        <v>208.26643899999999</v>
      </c>
      <c r="Q61">
        <v>1.6428179636670479</v>
      </c>
      <c r="R61">
        <v>43.599597699999997</v>
      </c>
      <c r="S61">
        <v>780.99919999999997</v>
      </c>
      <c r="T61">
        <v>4.3175859099999999E-10</v>
      </c>
      <c r="U61">
        <v>19.313501138027473</v>
      </c>
      <c r="V61">
        <v>80.72</v>
      </c>
      <c r="W61">
        <v>-138.38369495542034</v>
      </c>
      <c r="X61">
        <v>63.080629100000003</v>
      </c>
      <c r="Y61">
        <v>94.855511199999995</v>
      </c>
      <c r="Z61">
        <v>203.285</v>
      </c>
      <c r="AA61">
        <v>230.863001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P61" s="27">
        <f t="shared" si="0"/>
        <v>1.6428179636670479</v>
      </c>
    </row>
    <row r="62" spans="1:42">
      <c r="A62">
        <v>910</v>
      </c>
      <c r="B62">
        <v>27</v>
      </c>
      <c r="C62">
        <v>19</v>
      </c>
      <c r="D62">
        <v>15</v>
      </c>
      <c r="E62">
        <v>29</v>
      </c>
      <c r="F62">
        <v>5</v>
      </c>
      <c r="G62">
        <v>1.2</v>
      </c>
      <c r="H62">
        <v>29</v>
      </c>
      <c r="I62">
        <v>7</v>
      </c>
      <c r="J62">
        <v>0.3</v>
      </c>
      <c r="K62">
        <v>511079595.14442766</v>
      </c>
      <c r="L62">
        <v>54483600</v>
      </c>
      <c r="M62">
        <v>79683155.425908655</v>
      </c>
      <c r="N62">
        <v>54311900</v>
      </c>
      <c r="O62">
        <v>15899079.279999999</v>
      </c>
      <c r="P62">
        <v>208.800074</v>
      </c>
      <c r="Q62">
        <v>1.6652625516441404</v>
      </c>
      <c r="R62">
        <v>43.643686299999999</v>
      </c>
      <c r="S62">
        <v>780.61857599999996</v>
      </c>
      <c r="T62">
        <v>4.6953144799999999E-10</v>
      </c>
      <c r="U62">
        <v>19.372462622751012</v>
      </c>
      <c r="V62">
        <v>91.850000000000009</v>
      </c>
      <c r="W62">
        <v>-237.56022646056292</v>
      </c>
      <c r="X62">
        <v>62.798249200000001</v>
      </c>
      <c r="Y62">
        <v>92.417142200000001</v>
      </c>
      <c r="Z62">
        <v>203.285</v>
      </c>
      <c r="AA62">
        <v>235.429013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P62" s="27">
        <f t="shared" si="0"/>
        <v>1.6652625516441404</v>
      </c>
    </row>
    <row r="63" spans="1:42">
      <c r="A63">
        <v>910.35393859123542</v>
      </c>
      <c r="B63">
        <v>27</v>
      </c>
      <c r="C63">
        <v>10</v>
      </c>
      <c r="D63">
        <v>15</v>
      </c>
      <c r="E63">
        <v>16</v>
      </c>
      <c r="F63">
        <v>14</v>
      </c>
      <c r="G63">
        <v>1.2</v>
      </c>
      <c r="H63">
        <v>29</v>
      </c>
      <c r="I63">
        <v>7</v>
      </c>
      <c r="J63">
        <v>1.4</v>
      </c>
      <c r="K63">
        <v>510909064.19842744</v>
      </c>
      <c r="L63">
        <v>54456200</v>
      </c>
      <c r="M63">
        <v>79674144.967299312</v>
      </c>
      <c r="N63">
        <v>53166000</v>
      </c>
      <c r="O63">
        <v>15896781.76</v>
      </c>
      <c r="P63">
        <v>210.71477999999999</v>
      </c>
      <c r="Q63">
        <v>1.6730132464902017</v>
      </c>
      <c r="R63">
        <v>43.494790500000001</v>
      </c>
      <c r="S63">
        <v>780.24534900000003</v>
      </c>
      <c r="T63">
        <v>1.26917727E-17</v>
      </c>
      <c r="U63">
        <v>18.736063186606209</v>
      </c>
      <c r="V63">
        <v>100.934</v>
      </c>
      <c r="W63">
        <v>-239.98563159921909</v>
      </c>
      <c r="X63">
        <v>62.8651239</v>
      </c>
      <c r="Y63">
        <v>92.429303500000003</v>
      </c>
      <c r="Z63">
        <v>121.52199999999999</v>
      </c>
      <c r="AA63">
        <v>229.76476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P63" s="27">
        <f t="shared" si="0"/>
        <v>1.6730132464902017</v>
      </c>
    </row>
    <row r="64" spans="1:42">
      <c r="A64">
        <v>924.30182080643544</v>
      </c>
      <c r="B64">
        <v>27</v>
      </c>
      <c r="C64">
        <v>10</v>
      </c>
      <c r="D64">
        <v>1</v>
      </c>
      <c r="E64">
        <v>10</v>
      </c>
      <c r="F64">
        <v>5</v>
      </c>
      <c r="G64">
        <v>1.2</v>
      </c>
      <c r="H64">
        <v>29</v>
      </c>
      <c r="I64">
        <v>14</v>
      </c>
      <c r="J64">
        <v>1.4</v>
      </c>
      <c r="K64">
        <v>508491216.80964357</v>
      </c>
      <c r="L64">
        <v>54419000</v>
      </c>
      <c r="M64">
        <v>79687627.877042517</v>
      </c>
      <c r="N64">
        <v>54926700</v>
      </c>
      <c r="O64">
        <v>15881879.84</v>
      </c>
      <c r="P64">
        <v>207.019892</v>
      </c>
      <c r="Q64">
        <v>1.6566075066465253</v>
      </c>
      <c r="R64">
        <v>43.574290900000001</v>
      </c>
      <c r="S64">
        <v>780.15293399999996</v>
      </c>
      <c r="T64">
        <v>5.8842027199999997E-10</v>
      </c>
      <c r="U64">
        <v>19.362526092000508</v>
      </c>
      <c r="V64">
        <v>80.72</v>
      </c>
      <c r="W64">
        <v>-149.3199493363029</v>
      </c>
      <c r="X64">
        <v>63.088452400000001</v>
      </c>
      <c r="Y64">
        <v>94.931242699999999</v>
      </c>
      <c r="Z64">
        <v>144.29</v>
      </c>
      <c r="AA64">
        <v>229.867974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P64" s="27">
        <f t="shared" si="0"/>
        <v>1.6566075066465253</v>
      </c>
    </row>
    <row r="65" spans="1:42">
      <c r="A65">
        <v>926.13329026143253</v>
      </c>
      <c r="B65">
        <v>27</v>
      </c>
      <c r="C65">
        <v>10</v>
      </c>
      <c r="D65">
        <v>1</v>
      </c>
      <c r="E65">
        <v>22</v>
      </c>
      <c r="F65">
        <v>5</v>
      </c>
      <c r="G65">
        <v>1.2</v>
      </c>
      <c r="H65">
        <v>29</v>
      </c>
      <c r="I65">
        <v>7</v>
      </c>
      <c r="J65">
        <v>1.4</v>
      </c>
      <c r="K65">
        <v>508610041.80034077</v>
      </c>
      <c r="L65">
        <v>54419000</v>
      </c>
      <c r="M65">
        <v>79687622.94932577</v>
      </c>
      <c r="N65">
        <v>54926700</v>
      </c>
      <c r="O65">
        <v>15884344.4</v>
      </c>
      <c r="P65">
        <v>206.88587699999999</v>
      </c>
      <c r="Q65">
        <v>1.6580705123051949</v>
      </c>
      <c r="R65">
        <v>43.626662000000003</v>
      </c>
      <c r="S65">
        <v>780.52398900000003</v>
      </c>
      <c r="T65">
        <v>4.0070882499999999E-10</v>
      </c>
      <c r="U65">
        <v>19.379031973730172</v>
      </c>
      <c r="V65">
        <v>80.72</v>
      </c>
      <c r="W65">
        <v>-147.45378892303791</v>
      </c>
      <c r="X65">
        <v>63.082185000000003</v>
      </c>
      <c r="Y65">
        <v>94.927827100000002</v>
      </c>
      <c r="Z65">
        <v>180.98100000000002</v>
      </c>
      <c r="AA65">
        <v>230.72023799999999</v>
      </c>
      <c r="AB65">
        <v>100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P65" s="27">
        <f t="shared" si="0"/>
        <v>101.6580705123052</v>
      </c>
    </row>
    <row r="66" spans="1:42">
      <c r="A66">
        <v>921.03145748301449</v>
      </c>
      <c r="B66">
        <v>39</v>
      </c>
      <c r="C66">
        <v>10</v>
      </c>
      <c r="D66">
        <v>1</v>
      </c>
      <c r="E66">
        <v>15</v>
      </c>
      <c r="F66">
        <v>13</v>
      </c>
      <c r="G66">
        <v>0.44430278755361513</v>
      </c>
      <c r="H66">
        <v>10</v>
      </c>
      <c r="I66">
        <v>7</v>
      </c>
      <c r="J66">
        <v>0.3</v>
      </c>
      <c r="K66">
        <v>508482800.6906687</v>
      </c>
      <c r="L66">
        <v>54425100</v>
      </c>
      <c r="M66">
        <v>79690933.289395437</v>
      </c>
      <c r="N66">
        <v>53114700</v>
      </c>
      <c r="O66">
        <v>15894584.960000001</v>
      </c>
      <c r="P66">
        <v>210.585261</v>
      </c>
      <c r="Q66">
        <v>1.6666442122842264</v>
      </c>
      <c r="R66">
        <v>43.317522699999998</v>
      </c>
      <c r="S66">
        <v>781.39307800000006</v>
      </c>
      <c r="T66">
        <v>1.4566784599999999E-15</v>
      </c>
      <c r="U66">
        <v>18.576104849771031</v>
      </c>
      <c r="V66">
        <v>80.72</v>
      </c>
      <c r="W66">
        <v>-142.32221489975561</v>
      </c>
      <c r="X66">
        <v>63.185364399999997</v>
      </c>
      <c r="Y66">
        <v>94.915965999999997</v>
      </c>
      <c r="Z66">
        <v>100.934</v>
      </c>
      <c r="AA66">
        <v>232.97003100000001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P66" s="27">
        <f t="shared" si="0"/>
        <v>1.6666442122842264</v>
      </c>
    </row>
    <row r="67" spans="1:42">
      <c r="A67">
        <v>939.42549775226496</v>
      </c>
      <c r="B67">
        <v>39</v>
      </c>
      <c r="C67">
        <v>10</v>
      </c>
      <c r="D67">
        <v>1</v>
      </c>
      <c r="E67">
        <v>16</v>
      </c>
      <c r="F67">
        <v>14</v>
      </c>
      <c r="G67">
        <v>0.3</v>
      </c>
      <c r="H67">
        <v>29</v>
      </c>
      <c r="I67">
        <v>7</v>
      </c>
      <c r="J67">
        <v>0.3</v>
      </c>
      <c r="K67">
        <v>508874480.10492945</v>
      </c>
      <c r="L67">
        <v>54488400</v>
      </c>
      <c r="M67">
        <v>79706904.442345276</v>
      </c>
      <c r="N67">
        <v>52899100</v>
      </c>
      <c r="O67">
        <v>15888861.279999999</v>
      </c>
      <c r="P67">
        <v>210.97745699999999</v>
      </c>
      <c r="Q67">
        <v>1.6706418051550269</v>
      </c>
      <c r="R67">
        <v>43.278367299999999</v>
      </c>
      <c r="S67">
        <v>782.99452099999996</v>
      </c>
      <c r="T67">
        <v>3.1057489099999998E-15</v>
      </c>
      <c r="U67">
        <v>18.933454430950032</v>
      </c>
      <c r="V67">
        <v>80.72</v>
      </c>
      <c r="W67">
        <v>-142.25819965120996</v>
      </c>
      <c r="X67">
        <v>63.074928300000003</v>
      </c>
      <c r="Y67">
        <v>94.852588400000002</v>
      </c>
      <c r="Z67">
        <v>100.934</v>
      </c>
      <c r="AA67">
        <v>226.86041700000001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P67" s="27">
        <f t="shared" ref="AP67:AP72" si="1">SUM(AB67:AN67)+Q67</f>
        <v>1.6706418051550269</v>
      </c>
    </row>
    <row r="68" spans="1:42">
      <c r="A68">
        <v>910</v>
      </c>
      <c r="B68">
        <v>39</v>
      </c>
      <c r="C68">
        <v>10</v>
      </c>
      <c r="D68">
        <v>15</v>
      </c>
      <c r="E68">
        <v>17</v>
      </c>
      <c r="F68">
        <v>14</v>
      </c>
      <c r="G68">
        <v>0.3</v>
      </c>
      <c r="H68">
        <v>10</v>
      </c>
      <c r="I68">
        <v>7</v>
      </c>
      <c r="J68">
        <v>1.4</v>
      </c>
      <c r="K68">
        <v>510759871.47392225</v>
      </c>
      <c r="L68">
        <v>54456600</v>
      </c>
      <c r="M68">
        <v>79673345.336888343</v>
      </c>
      <c r="N68">
        <v>52561800</v>
      </c>
      <c r="O68">
        <v>15897003.280000001</v>
      </c>
      <c r="P68">
        <v>211.45800800000001</v>
      </c>
      <c r="Q68">
        <v>1.6792754817527891</v>
      </c>
      <c r="R68">
        <v>43.426359699999999</v>
      </c>
      <c r="S68">
        <v>780.88408700000002</v>
      </c>
      <c r="T68">
        <v>2.0118216100000001E-15</v>
      </c>
      <c r="U68">
        <v>19.125088505800019</v>
      </c>
      <c r="V68">
        <v>100.934</v>
      </c>
      <c r="W68">
        <v>-242.35916434076623</v>
      </c>
      <c r="X68">
        <v>62.896784099999998</v>
      </c>
      <c r="Y68">
        <v>92.117683</v>
      </c>
      <c r="Z68">
        <v>121.52199999999999</v>
      </c>
      <c r="AA68">
        <v>229.22295700000001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P68" s="27">
        <f t="shared" si="1"/>
        <v>1.6792754817527891</v>
      </c>
    </row>
    <row r="69" spans="1:42">
      <c r="A69">
        <v>944.83808695641858</v>
      </c>
      <c r="B69">
        <v>39</v>
      </c>
      <c r="C69">
        <v>10</v>
      </c>
      <c r="D69">
        <v>15</v>
      </c>
      <c r="E69">
        <v>29</v>
      </c>
      <c r="F69">
        <v>14</v>
      </c>
      <c r="G69">
        <v>1.2</v>
      </c>
      <c r="H69">
        <v>29</v>
      </c>
      <c r="I69">
        <v>7</v>
      </c>
      <c r="J69">
        <v>0.3</v>
      </c>
      <c r="K69">
        <v>512059087.62657833</v>
      </c>
      <c r="L69">
        <v>54572900</v>
      </c>
      <c r="M69">
        <v>79722403.539635882</v>
      </c>
      <c r="N69">
        <v>54951400</v>
      </c>
      <c r="O69">
        <v>15901003.84</v>
      </c>
      <c r="P69">
        <v>210.974628</v>
      </c>
      <c r="Q69">
        <v>1.6397379655658793</v>
      </c>
      <c r="R69">
        <v>43.639924700000002</v>
      </c>
      <c r="S69">
        <v>781.393371</v>
      </c>
      <c r="T69">
        <v>1.4195435E-18</v>
      </c>
      <c r="U69">
        <v>19.21227675562503</v>
      </c>
      <c r="V69">
        <v>100.934</v>
      </c>
      <c r="W69">
        <v>-237.75898336224782</v>
      </c>
      <c r="X69">
        <v>62.7502821</v>
      </c>
      <c r="Y69">
        <v>92.042336899999995</v>
      </c>
      <c r="Z69">
        <v>203.285</v>
      </c>
      <c r="AA69">
        <v>235.21659399999999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P69" s="27">
        <f t="shared" si="1"/>
        <v>1.6397379655658793</v>
      </c>
    </row>
    <row r="70" spans="1:42">
      <c r="A70">
        <v>938.29961273326978</v>
      </c>
      <c r="B70">
        <v>39</v>
      </c>
      <c r="C70">
        <v>10</v>
      </c>
      <c r="D70">
        <v>4.4469247683861735</v>
      </c>
      <c r="E70">
        <v>29</v>
      </c>
      <c r="F70">
        <v>14</v>
      </c>
      <c r="G70">
        <v>1.2</v>
      </c>
      <c r="H70">
        <v>23</v>
      </c>
      <c r="I70">
        <v>14</v>
      </c>
      <c r="J70">
        <v>0.3</v>
      </c>
      <c r="K70">
        <v>509525116.48447323</v>
      </c>
      <c r="L70">
        <v>54508700</v>
      </c>
      <c r="M70">
        <v>79712513.168467522</v>
      </c>
      <c r="N70">
        <v>54845900</v>
      </c>
      <c r="O70">
        <v>15890947.200000001</v>
      </c>
      <c r="P70">
        <v>210.587569</v>
      </c>
      <c r="Q70">
        <v>1.6354489579429492</v>
      </c>
      <c r="R70">
        <v>43.637437499999997</v>
      </c>
      <c r="S70">
        <v>781.37492500000008</v>
      </c>
      <c r="T70">
        <v>1.41682138E-18</v>
      </c>
      <c r="U70">
        <v>19.199896230754369</v>
      </c>
      <c r="V70">
        <v>100.934</v>
      </c>
      <c r="W70">
        <v>-236.29801598905055</v>
      </c>
      <c r="X70">
        <v>62.779085100000003</v>
      </c>
      <c r="Y70">
        <v>92.460386900000003</v>
      </c>
      <c r="Z70">
        <v>203.285</v>
      </c>
      <c r="AA70">
        <v>235.485443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P70" s="27">
        <f t="shared" si="1"/>
        <v>1.6354489579429492</v>
      </c>
    </row>
    <row r="71" spans="1:42">
      <c r="A71">
        <v>939.18961276826485</v>
      </c>
      <c r="B71">
        <v>39</v>
      </c>
      <c r="C71">
        <v>10</v>
      </c>
      <c r="D71">
        <v>1</v>
      </c>
      <c r="E71">
        <v>10</v>
      </c>
      <c r="F71">
        <v>5</v>
      </c>
      <c r="G71">
        <v>0.3</v>
      </c>
      <c r="H71">
        <v>16</v>
      </c>
      <c r="I71">
        <v>14</v>
      </c>
      <c r="J71">
        <v>1.4</v>
      </c>
      <c r="K71">
        <v>508324934.13542312</v>
      </c>
      <c r="L71">
        <v>54451400</v>
      </c>
      <c r="M71">
        <v>79705803.407126203</v>
      </c>
      <c r="N71">
        <v>54474800</v>
      </c>
      <c r="O71">
        <v>15888545.760000002</v>
      </c>
      <c r="P71">
        <v>209.82020900000001</v>
      </c>
      <c r="Q71">
        <v>1.6441490172247772</v>
      </c>
      <c r="R71">
        <v>43.470164099999998</v>
      </c>
      <c r="S71">
        <v>781.254456</v>
      </c>
      <c r="T71">
        <v>6.0007488600000003E-9</v>
      </c>
      <c r="U71">
        <v>19.484342390926834</v>
      </c>
      <c r="V71">
        <v>80.72</v>
      </c>
      <c r="W71">
        <v>-142.92650128026457</v>
      </c>
      <c r="X71">
        <v>63.111250900000002</v>
      </c>
      <c r="Y71">
        <v>94.873687399999994</v>
      </c>
      <c r="Z71">
        <v>144.29</v>
      </c>
      <c r="AA71">
        <v>230.23832100000001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P71" s="27">
        <f t="shared" si="1"/>
        <v>1.6441490172247772</v>
      </c>
    </row>
    <row r="72" spans="1:42">
      <c r="A72">
        <v>910</v>
      </c>
      <c r="B72">
        <v>27</v>
      </c>
      <c r="C72">
        <v>10</v>
      </c>
      <c r="D72">
        <v>1</v>
      </c>
      <c r="E72">
        <v>10</v>
      </c>
      <c r="F72">
        <v>5</v>
      </c>
      <c r="G72">
        <v>1.2</v>
      </c>
      <c r="H72">
        <v>15</v>
      </c>
      <c r="I72">
        <v>13</v>
      </c>
      <c r="J72">
        <v>0.3</v>
      </c>
      <c r="K72">
        <v>507858420.49526525</v>
      </c>
      <c r="L72">
        <v>54390300</v>
      </c>
      <c r="M72">
        <v>79693767.1543511</v>
      </c>
      <c r="N72">
        <v>54940200</v>
      </c>
      <c r="O72">
        <v>15895611.6</v>
      </c>
      <c r="P72">
        <v>205.720134</v>
      </c>
      <c r="Q72">
        <v>1.6640804099353557</v>
      </c>
      <c r="R72">
        <v>43.572999899999999</v>
      </c>
      <c r="S72">
        <v>780.25936799999999</v>
      </c>
      <c r="T72">
        <v>5.9146444600000004E-10</v>
      </c>
      <c r="U72">
        <v>19.407733379739291</v>
      </c>
      <c r="V72">
        <v>80.72</v>
      </c>
      <c r="W72">
        <v>-149.05363519853435</v>
      </c>
      <c r="X72">
        <v>63.052138999999997</v>
      </c>
      <c r="Y72">
        <v>94.909849300000005</v>
      </c>
      <c r="Z72">
        <v>144.29</v>
      </c>
      <c r="AA72">
        <v>238.829431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P72" s="27">
        <f t="shared" si="1"/>
        <v>1.6640804099353557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7E8D-D6DC-472B-BCFF-09596CECC980}">
  <dimension ref="A1:AO121"/>
  <sheetViews>
    <sheetView topLeftCell="Q1" workbookViewId="0">
      <selection activeCell="Y20" sqref="Y20"/>
    </sheetView>
  </sheetViews>
  <sheetFormatPr defaultRowHeight="16.5"/>
  <sheetData>
    <row r="1" spans="1:41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156</v>
      </c>
      <c r="Q1" t="s">
        <v>209</v>
      </c>
      <c r="R1" t="s">
        <v>186</v>
      </c>
      <c r="S1" t="s">
        <v>187</v>
      </c>
      <c r="T1" t="s">
        <v>188</v>
      </c>
      <c r="U1" t="s">
        <v>189</v>
      </c>
      <c r="V1" t="s">
        <v>210</v>
      </c>
      <c r="W1" t="s">
        <v>211</v>
      </c>
      <c r="X1" t="s">
        <v>357</v>
      </c>
      <c r="Y1" t="s">
        <v>358</v>
      </c>
      <c r="Z1" t="s">
        <v>359</v>
      </c>
      <c r="AA1" t="s">
        <v>360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220</v>
      </c>
      <c r="AK1" t="s">
        <v>361</v>
      </c>
      <c r="AL1" t="s">
        <v>362</v>
      </c>
      <c r="AM1" t="s">
        <v>363</v>
      </c>
      <c r="AN1" t="s">
        <v>364</v>
      </c>
    </row>
    <row r="2" spans="1:41">
      <c r="A2">
        <v>930</v>
      </c>
      <c r="B2">
        <v>30</v>
      </c>
      <c r="C2">
        <v>15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1.4</v>
      </c>
      <c r="K2">
        <v>508751179.58097976</v>
      </c>
      <c r="L2">
        <v>54426600</v>
      </c>
      <c r="M2">
        <v>79694718.852413952</v>
      </c>
      <c r="N2">
        <v>148888000</v>
      </c>
      <c r="O2">
        <v>15885041.520000001</v>
      </c>
      <c r="P2">
        <v>211.092052</v>
      </c>
      <c r="Q2">
        <v>-0.339266432377964</v>
      </c>
      <c r="R2">
        <v>43.6080969</v>
      </c>
      <c r="S2">
        <v>779.54591100000005</v>
      </c>
      <c r="T2">
        <v>1.0407077699999999E-15</v>
      </c>
      <c r="U2">
        <v>19.207163182540537</v>
      </c>
      <c r="V2">
        <v>91.850000000000009</v>
      </c>
      <c r="W2">
        <v>-238.8056443034265</v>
      </c>
      <c r="X2">
        <v>62.840800999999999</v>
      </c>
      <c r="Y2">
        <v>92.759419800000003</v>
      </c>
      <c r="Z2">
        <v>165.7</v>
      </c>
      <c r="AA2">
        <v>231.17583999999999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f>SUM(AB2:AN2)+Q2</f>
        <v>-0.339266432377964</v>
      </c>
    </row>
    <row r="3" spans="1:41">
      <c r="A3">
        <v>935.61482858241686</v>
      </c>
      <c r="B3">
        <v>34</v>
      </c>
      <c r="C3">
        <v>14</v>
      </c>
      <c r="D3">
        <v>8.3883608197754498</v>
      </c>
      <c r="E3">
        <v>19</v>
      </c>
      <c r="F3">
        <v>6</v>
      </c>
      <c r="G3">
        <v>0.51441568545639726</v>
      </c>
      <c r="H3">
        <v>23</v>
      </c>
      <c r="I3">
        <v>14</v>
      </c>
      <c r="J3">
        <v>0.31617107370904657</v>
      </c>
      <c r="K3">
        <v>509775130.72054029</v>
      </c>
      <c r="L3">
        <v>54488800</v>
      </c>
      <c r="M3">
        <v>79707015.229249924</v>
      </c>
      <c r="N3">
        <v>149237000</v>
      </c>
      <c r="O3">
        <v>15891765.92</v>
      </c>
      <c r="P3">
        <v>210.93363099999999</v>
      </c>
      <c r="Q3">
        <v>-0.34222786305039549</v>
      </c>
      <c r="R3">
        <v>43.641509300000003</v>
      </c>
      <c r="S3">
        <v>779.96827599999995</v>
      </c>
      <c r="T3">
        <v>2.1640779500000001E-10</v>
      </c>
      <c r="U3">
        <v>19.496817418431885</v>
      </c>
      <c r="V3">
        <v>100.934</v>
      </c>
      <c r="W3">
        <v>-237.15726909352111</v>
      </c>
      <c r="X3">
        <v>62.794704500000002</v>
      </c>
      <c r="Y3">
        <v>92.294169100000005</v>
      </c>
      <c r="Z3">
        <v>177.97</v>
      </c>
      <c r="AA3">
        <v>235.62688399999999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27">
        <f>SUM(AB3:AN3)+Q3</f>
        <v>-0.34222786305039549</v>
      </c>
    </row>
    <row r="4" spans="1:41">
      <c r="A4">
        <v>944.70076033540022</v>
      </c>
      <c r="B4">
        <v>31</v>
      </c>
      <c r="C4">
        <v>18</v>
      </c>
      <c r="D4">
        <v>5.2002680556269336</v>
      </c>
      <c r="E4">
        <v>19</v>
      </c>
      <c r="F4">
        <v>6</v>
      </c>
      <c r="G4">
        <v>0.88635726051142005</v>
      </c>
      <c r="H4">
        <v>11</v>
      </c>
      <c r="I4">
        <v>8</v>
      </c>
      <c r="J4">
        <v>0.79981637234159764</v>
      </c>
      <c r="K4">
        <v>509353152.10574329</v>
      </c>
      <c r="L4">
        <v>54474800</v>
      </c>
      <c r="M4">
        <v>79713594.419271648</v>
      </c>
      <c r="N4">
        <v>149855000</v>
      </c>
      <c r="O4">
        <v>15893661.68</v>
      </c>
      <c r="P4">
        <v>212.086027</v>
      </c>
      <c r="Q4">
        <v>-0.35487340872307094</v>
      </c>
      <c r="R4">
        <v>43.640584699999998</v>
      </c>
      <c r="S4">
        <v>779.993514</v>
      </c>
      <c r="T4">
        <v>8.3475174899999996E-11</v>
      </c>
      <c r="U4">
        <v>19.306043589266714</v>
      </c>
      <c r="V4">
        <v>100.934</v>
      </c>
      <c r="W4">
        <v>-238.77664392550713</v>
      </c>
      <c r="X4">
        <v>62.834219099999999</v>
      </c>
      <c r="Y4">
        <v>92.541322600000001</v>
      </c>
      <c r="Z4">
        <v>180.98100000000002</v>
      </c>
      <c r="AA4">
        <v>234.10405299999999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 s="27">
        <f>SUM(AB4:AN4)+Q4</f>
        <v>-0.35487340872307094</v>
      </c>
    </row>
    <row r="5" spans="1:41">
      <c r="A5">
        <v>922.24729103520406</v>
      </c>
      <c r="B5">
        <v>31</v>
      </c>
      <c r="C5">
        <v>10</v>
      </c>
      <c r="D5">
        <v>9.6441614222027887</v>
      </c>
      <c r="E5">
        <v>23</v>
      </c>
      <c r="F5">
        <v>6</v>
      </c>
      <c r="G5">
        <v>0.73515994074788282</v>
      </c>
      <c r="H5">
        <v>28</v>
      </c>
      <c r="I5">
        <v>11</v>
      </c>
      <c r="J5">
        <v>0.3456883080297169</v>
      </c>
      <c r="K5">
        <v>509946572.01656556</v>
      </c>
      <c r="L5">
        <v>54488300</v>
      </c>
      <c r="M5">
        <v>79690628.718119487</v>
      </c>
      <c r="N5">
        <v>148750000</v>
      </c>
      <c r="O5">
        <v>15896341.039999999</v>
      </c>
      <c r="P5">
        <v>210.336277</v>
      </c>
      <c r="Q5">
        <v>-0.33243626020528921</v>
      </c>
      <c r="R5">
        <v>43.642619199999999</v>
      </c>
      <c r="S5">
        <v>780.05664400000001</v>
      </c>
      <c r="T5">
        <v>1.0768654499999999E-10</v>
      </c>
      <c r="U5">
        <v>19.358580351209898</v>
      </c>
      <c r="V5">
        <v>100.934</v>
      </c>
      <c r="W5">
        <v>-236.97579895969113</v>
      </c>
      <c r="X5">
        <v>62.834006500000001</v>
      </c>
      <c r="Y5">
        <v>92.369294199999999</v>
      </c>
      <c r="Z5">
        <v>180.98100000000002</v>
      </c>
      <c r="AA5">
        <v>234.715349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 s="27">
        <f>SUM(AB5:AN5)+Q5</f>
        <v>-0.33243626020528921</v>
      </c>
    </row>
    <row r="6" spans="1:41">
      <c r="A6">
        <v>944.63973334414914</v>
      </c>
      <c r="B6">
        <v>34</v>
      </c>
      <c r="C6">
        <v>16</v>
      </c>
      <c r="D6">
        <v>4.3022445114000636</v>
      </c>
      <c r="E6">
        <v>14</v>
      </c>
      <c r="F6">
        <v>8</v>
      </c>
      <c r="G6">
        <v>0.43896131343891659</v>
      </c>
      <c r="H6">
        <v>17</v>
      </c>
      <c r="I6">
        <v>14</v>
      </c>
      <c r="J6">
        <v>0.76960870891153332</v>
      </c>
      <c r="K6">
        <v>510822101.49227989</v>
      </c>
      <c r="L6">
        <v>54488300</v>
      </c>
      <c r="M6">
        <v>79690592.470043913</v>
      </c>
      <c r="N6">
        <v>148750000</v>
      </c>
      <c r="O6">
        <v>15894731.040000001</v>
      </c>
      <c r="P6">
        <v>212.820819</v>
      </c>
      <c r="Q6">
        <v>-0.32576252638375841</v>
      </c>
      <c r="R6">
        <v>43.572684799999998</v>
      </c>
      <c r="S6">
        <v>779.69656099999997</v>
      </c>
      <c r="T6">
        <v>7.8187653699999993E-12</v>
      </c>
      <c r="U6">
        <v>19.310580076606954</v>
      </c>
      <c r="V6">
        <v>100.934</v>
      </c>
      <c r="W6">
        <v>-241.10422021059847</v>
      </c>
      <c r="X6">
        <v>62.839003900000002</v>
      </c>
      <c r="Y6">
        <v>92.537476699999999</v>
      </c>
      <c r="Z6">
        <v>144.29</v>
      </c>
      <c r="AA6">
        <v>232.69446099999999</v>
      </c>
      <c r="AB6">
        <v>100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 s="27">
        <f>SUM(AB6:AN6)+Q6</f>
        <v>99.674237473616245</v>
      </c>
    </row>
    <row r="7" spans="1:41">
      <c r="A7">
        <v>930.30251904454417</v>
      </c>
      <c r="B7">
        <v>34</v>
      </c>
      <c r="C7">
        <v>12</v>
      </c>
      <c r="D7">
        <v>8.8429776306221957</v>
      </c>
      <c r="E7">
        <v>20</v>
      </c>
      <c r="F7">
        <v>5</v>
      </c>
      <c r="G7">
        <v>0.70197689938355978</v>
      </c>
      <c r="H7">
        <v>14</v>
      </c>
      <c r="I7">
        <v>11</v>
      </c>
      <c r="J7">
        <v>0.86347187340751508</v>
      </c>
      <c r="K7">
        <v>509657445.59715176</v>
      </c>
      <c r="L7">
        <v>54457800</v>
      </c>
      <c r="M7">
        <v>79695218.425301343</v>
      </c>
      <c r="N7">
        <v>149106000</v>
      </c>
      <c r="O7">
        <v>15888451.199999999</v>
      </c>
      <c r="P7">
        <v>211.00741400000001</v>
      </c>
      <c r="Q7">
        <v>-0.34039478289469993</v>
      </c>
      <c r="R7">
        <v>43.647511600000001</v>
      </c>
      <c r="S7">
        <v>779.93417199999999</v>
      </c>
      <c r="T7">
        <v>1.04522056E-9</v>
      </c>
      <c r="U7">
        <v>19.429480130091346</v>
      </c>
      <c r="V7">
        <v>100.934</v>
      </c>
      <c r="W7">
        <v>-237.77189936876081</v>
      </c>
      <c r="X7">
        <v>62.855002800000001</v>
      </c>
      <c r="Y7">
        <v>92.318010400000006</v>
      </c>
      <c r="Z7">
        <v>180.98100000000002</v>
      </c>
      <c r="AA7">
        <v>233.73770200000001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 s="27">
        <f>SUM(AB7:AN7)+Q7</f>
        <v>-0.34039478289469993</v>
      </c>
    </row>
    <row r="8" spans="1:41">
      <c r="A8">
        <v>915.62533203952557</v>
      </c>
      <c r="B8">
        <v>28</v>
      </c>
      <c r="C8">
        <v>17</v>
      </c>
      <c r="D8">
        <v>7.8402180314766285</v>
      </c>
      <c r="E8">
        <v>24</v>
      </c>
      <c r="F8">
        <v>12</v>
      </c>
      <c r="G8">
        <v>0.78857788224172221</v>
      </c>
      <c r="H8">
        <v>14</v>
      </c>
      <c r="I8">
        <v>7</v>
      </c>
      <c r="J8">
        <v>0.96624996463662161</v>
      </c>
      <c r="K8">
        <v>509539791.67434514</v>
      </c>
      <c r="L8">
        <v>54442200</v>
      </c>
      <c r="M8">
        <v>79680837.182098553</v>
      </c>
      <c r="N8">
        <v>148316000</v>
      </c>
      <c r="O8">
        <v>15894349.039999999</v>
      </c>
      <c r="P8">
        <v>210.01050499999999</v>
      </c>
      <c r="Q8">
        <v>-0.3261133414879776</v>
      </c>
      <c r="R8">
        <v>43.634020200000002</v>
      </c>
      <c r="S8">
        <v>780.09010599999999</v>
      </c>
      <c r="T8">
        <v>5.1110428499999998E-14</v>
      </c>
      <c r="U8">
        <v>19.17141109380271</v>
      </c>
      <c r="V8">
        <v>91.850000000000009</v>
      </c>
      <c r="W8">
        <v>-238.69583031732131</v>
      </c>
      <c r="X8">
        <v>62.857388700000001</v>
      </c>
      <c r="Y8">
        <v>92.509062299999997</v>
      </c>
      <c r="Z8">
        <v>180.98100000000002</v>
      </c>
      <c r="AA8">
        <v>232.27784199999999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27">
        <f>SUM(AB8:AN8)+Q8</f>
        <v>-0.3261133414879776</v>
      </c>
    </row>
    <row r="9" spans="1:41">
      <c r="A9">
        <v>918.93668015876028</v>
      </c>
      <c r="B9">
        <v>35</v>
      </c>
      <c r="C9">
        <v>13</v>
      </c>
      <c r="D9">
        <v>13.721937406895645</v>
      </c>
      <c r="E9">
        <v>10</v>
      </c>
      <c r="F9">
        <v>5</v>
      </c>
      <c r="G9">
        <v>0.79617413286665306</v>
      </c>
      <c r="H9">
        <v>25</v>
      </c>
      <c r="I9">
        <v>11</v>
      </c>
      <c r="J9">
        <v>0.98364837614191214</v>
      </c>
      <c r="K9">
        <v>510769916.89753735</v>
      </c>
      <c r="L9">
        <v>54467900</v>
      </c>
      <c r="M9">
        <v>79684531.844115391</v>
      </c>
      <c r="N9">
        <v>148334000</v>
      </c>
      <c r="O9">
        <v>15898276.48</v>
      </c>
      <c r="P9">
        <v>210.67209</v>
      </c>
      <c r="Q9">
        <v>-0.32096401719958406</v>
      </c>
      <c r="R9">
        <v>43.584116799999997</v>
      </c>
      <c r="S9">
        <v>779.85605099999998</v>
      </c>
      <c r="T9">
        <v>1.16935059E-9</v>
      </c>
      <c r="U9">
        <v>19.362916744267039</v>
      </c>
      <c r="V9">
        <v>100.934</v>
      </c>
      <c r="W9">
        <v>-239.97590093097847</v>
      </c>
      <c r="X9">
        <v>62.8508718</v>
      </c>
      <c r="Y9">
        <v>92.202844999999996</v>
      </c>
      <c r="Z9">
        <v>144.29</v>
      </c>
      <c r="AA9">
        <v>230.59808200000001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27">
        <f>SUM(AB9:AN9)+Q9</f>
        <v>-0.32096401719958406</v>
      </c>
    </row>
    <row r="10" spans="1:41">
      <c r="A10">
        <v>919.83854477353498</v>
      </c>
      <c r="B10">
        <v>31</v>
      </c>
      <c r="C10">
        <v>10</v>
      </c>
      <c r="D10">
        <v>7.4307962925358009</v>
      </c>
      <c r="E10">
        <v>25</v>
      </c>
      <c r="F10">
        <v>5</v>
      </c>
      <c r="G10">
        <v>0.62297792669336483</v>
      </c>
      <c r="H10">
        <v>18</v>
      </c>
      <c r="I10">
        <v>13</v>
      </c>
      <c r="J10">
        <v>1.044579897993084</v>
      </c>
      <c r="K10">
        <v>509567730.49889886</v>
      </c>
      <c r="L10">
        <v>54450900</v>
      </c>
      <c r="M10">
        <v>79685930.569146246</v>
      </c>
      <c r="N10">
        <v>148607000</v>
      </c>
      <c r="O10">
        <v>15895315.280000001</v>
      </c>
      <c r="P10">
        <v>210.28933900000001</v>
      </c>
      <c r="Q10">
        <v>-0.33151670828261243</v>
      </c>
      <c r="R10">
        <v>43.649642499999999</v>
      </c>
      <c r="S10">
        <v>780.019184</v>
      </c>
      <c r="T10">
        <v>1.2212444E-9</v>
      </c>
      <c r="U10">
        <v>19.470892624207618</v>
      </c>
      <c r="V10">
        <v>100.934</v>
      </c>
      <c r="W10">
        <v>-236.83448411470303</v>
      </c>
      <c r="X10">
        <v>62.854824200000003</v>
      </c>
      <c r="Y10">
        <v>92.438537199999999</v>
      </c>
      <c r="Z10">
        <v>203.285</v>
      </c>
      <c r="AA10">
        <v>232.40666300000001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27">
        <f>SUM(AB10:AN10)+Q10</f>
        <v>-0.33151670828261243</v>
      </c>
    </row>
    <row r="11" spans="1:41">
      <c r="A11">
        <v>924.82816261171899</v>
      </c>
      <c r="B11">
        <v>33</v>
      </c>
      <c r="C11">
        <v>15</v>
      </c>
      <c r="D11">
        <v>7.1606767385795109</v>
      </c>
      <c r="E11">
        <v>14</v>
      </c>
      <c r="F11">
        <v>8</v>
      </c>
      <c r="G11">
        <v>0.95768226200547057</v>
      </c>
      <c r="H11">
        <v>18</v>
      </c>
      <c r="I11">
        <v>7</v>
      </c>
      <c r="J11">
        <v>0.94874751612198005</v>
      </c>
      <c r="K11">
        <v>509143834.11135328</v>
      </c>
      <c r="L11">
        <v>54434900</v>
      </c>
      <c r="M11">
        <v>79688427.134988278</v>
      </c>
      <c r="N11">
        <v>148588000</v>
      </c>
      <c r="O11">
        <v>15885326.880000001</v>
      </c>
      <c r="P11">
        <v>210.67765900000001</v>
      </c>
      <c r="Q11">
        <v>-0.3322086973755155</v>
      </c>
      <c r="R11">
        <v>43.6106008</v>
      </c>
      <c r="S11">
        <v>779.88761699999998</v>
      </c>
      <c r="T11">
        <v>1.3714981299999999E-12</v>
      </c>
      <c r="U11">
        <v>19.207633818374379</v>
      </c>
      <c r="V11">
        <v>100.934</v>
      </c>
      <c r="W11">
        <v>-239.00080446505694</v>
      </c>
      <c r="X11">
        <v>62.846647599999997</v>
      </c>
      <c r="Y11">
        <v>92.383420099999995</v>
      </c>
      <c r="Z11">
        <v>165.7</v>
      </c>
      <c r="AA11">
        <v>231.502656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27">
        <f>SUM(AB11:AN11)+Q11</f>
        <v>-0.3322086973755155</v>
      </c>
    </row>
    <row r="12" spans="1:41">
      <c r="A12">
        <v>925.3067169940125</v>
      </c>
      <c r="B12">
        <v>30</v>
      </c>
      <c r="C12">
        <v>17</v>
      </c>
      <c r="D12">
        <v>14.887077024775753</v>
      </c>
      <c r="E12">
        <v>15</v>
      </c>
      <c r="F12">
        <v>5</v>
      </c>
      <c r="G12">
        <v>1.0326830068795672</v>
      </c>
      <c r="H12">
        <v>25</v>
      </c>
      <c r="I12">
        <v>8</v>
      </c>
      <c r="J12">
        <v>1.1672921343647342</v>
      </c>
      <c r="K12">
        <v>510567106.22699553</v>
      </c>
      <c r="L12">
        <v>54472300</v>
      </c>
      <c r="M12">
        <v>79689026.386359915</v>
      </c>
      <c r="N12">
        <v>148659000</v>
      </c>
      <c r="O12">
        <v>15889522.08</v>
      </c>
      <c r="P12">
        <v>210.54167100000001</v>
      </c>
      <c r="Q12">
        <v>-0.32853865281504951</v>
      </c>
      <c r="R12">
        <v>43.637476800000002</v>
      </c>
      <c r="S12">
        <v>779.92298400000004</v>
      </c>
      <c r="T12">
        <v>6.7855628299999999E-10</v>
      </c>
      <c r="U12">
        <v>19.367596867374196</v>
      </c>
      <c r="V12">
        <v>100.934</v>
      </c>
      <c r="W12">
        <v>-238.12184469315594</v>
      </c>
      <c r="X12">
        <v>62.845516000000003</v>
      </c>
      <c r="Y12">
        <v>92.338058099999998</v>
      </c>
      <c r="Z12">
        <v>177.97</v>
      </c>
      <c r="AA12">
        <v>231.19434100000001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27">
        <f>SUM(AB12:AN12)+Q12</f>
        <v>-0.32853865281504951</v>
      </c>
    </row>
    <row r="13" spans="1:41">
      <c r="A13">
        <v>912.02451862941496</v>
      </c>
      <c r="B13">
        <v>33</v>
      </c>
      <c r="C13">
        <v>17</v>
      </c>
      <c r="D13">
        <v>6.7692280579139323</v>
      </c>
      <c r="E13">
        <v>21</v>
      </c>
      <c r="F13">
        <v>12</v>
      </c>
      <c r="G13">
        <v>0.51240674163864497</v>
      </c>
      <c r="H13">
        <v>20</v>
      </c>
      <c r="I13">
        <v>11</v>
      </c>
      <c r="J13">
        <v>1.0754203602472692</v>
      </c>
      <c r="K13">
        <v>509424495.04341716</v>
      </c>
      <c r="L13">
        <v>54440800</v>
      </c>
      <c r="M13">
        <v>79676542.68340759</v>
      </c>
      <c r="N13">
        <v>148192000</v>
      </c>
      <c r="O13">
        <v>15892905.119999999</v>
      </c>
      <c r="P13">
        <v>210.05731599999999</v>
      </c>
      <c r="Q13">
        <v>-0.32383684790022921</v>
      </c>
      <c r="R13">
        <v>43.615601699999999</v>
      </c>
      <c r="S13">
        <v>779.46952700000008</v>
      </c>
      <c r="T13">
        <v>1.36495863E-15</v>
      </c>
      <c r="U13">
        <v>19.23664038256204</v>
      </c>
      <c r="V13">
        <v>100.934</v>
      </c>
      <c r="W13">
        <v>-238.59965661429834</v>
      </c>
      <c r="X13">
        <v>62.862076600000002</v>
      </c>
      <c r="Y13">
        <v>92.412347699999998</v>
      </c>
      <c r="Z13">
        <v>177.97</v>
      </c>
      <c r="AA13">
        <v>231.51781199999999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27">
        <f>SUM(AB13:AN13)+Q13</f>
        <v>-0.32383684790022921</v>
      </c>
    </row>
    <row r="14" spans="1:41">
      <c r="A14">
        <v>959.2040887791934</v>
      </c>
      <c r="B14">
        <v>34</v>
      </c>
      <c r="C14">
        <v>16</v>
      </c>
      <c r="D14">
        <v>9.3359375093751105</v>
      </c>
      <c r="E14">
        <v>21</v>
      </c>
      <c r="F14">
        <v>8</v>
      </c>
      <c r="G14">
        <v>1.059885407417466</v>
      </c>
      <c r="H14">
        <v>18</v>
      </c>
      <c r="I14">
        <v>13</v>
      </c>
      <c r="J14">
        <v>1.0996431647847424</v>
      </c>
      <c r="K14">
        <v>505573823.67536366</v>
      </c>
      <c r="L14">
        <v>54440800</v>
      </c>
      <c r="M14">
        <v>79676602.441166505</v>
      </c>
      <c r="N14">
        <v>148192000</v>
      </c>
      <c r="O14">
        <v>16380802.48</v>
      </c>
      <c r="P14">
        <v>204.728737</v>
      </c>
      <c r="Q14">
        <v>-0.34503386305005085</v>
      </c>
      <c r="R14">
        <v>43.637984199999998</v>
      </c>
      <c r="S14">
        <v>780.37439900000004</v>
      </c>
      <c r="T14">
        <v>7.9495942399999998E-13</v>
      </c>
      <c r="U14">
        <v>19.204602595567028</v>
      </c>
      <c r="V14">
        <v>100.934</v>
      </c>
      <c r="W14">
        <v>-236.92274156374614</v>
      </c>
      <c r="X14">
        <v>62.909217099999999</v>
      </c>
      <c r="Y14">
        <v>92.317150699999999</v>
      </c>
      <c r="Z14">
        <v>180.98100000000002</v>
      </c>
      <c r="AA14">
        <v>232.03895800000001</v>
      </c>
      <c r="AB14">
        <v>100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27">
        <f>SUM(AB14:AN14)+Q14</f>
        <v>99.654966136949952</v>
      </c>
    </row>
    <row r="15" spans="1:41">
      <c r="A15">
        <v>925.13302213024588</v>
      </c>
      <c r="B15">
        <v>31</v>
      </c>
      <c r="C15">
        <v>12</v>
      </c>
      <c r="D15">
        <v>1.2809105985899245</v>
      </c>
      <c r="E15">
        <v>25</v>
      </c>
      <c r="F15">
        <v>6</v>
      </c>
      <c r="G15">
        <v>0.68160339798243641</v>
      </c>
      <c r="H15">
        <v>22</v>
      </c>
      <c r="I15">
        <v>10</v>
      </c>
      <c r="J15">
        <v>1.1460647502107828</v>
      </c>
      <c r="K15">
        <v>508307003.59826267</v>
      </c>
      <c r="L15">
        <v>54438100</v>
      </c>
      <c r="M15">
        <v>79688826.672334313</v>
      </c>
      <c r="N15">
        <v>147972000</v>
      </c>
      <c r="O15">
        <v>15882330.24</v>
      </c>
      <c r="P15">
        <v>209.172045</v>
      </c>
      <c r="Q15">
        <v>-0.32424828886842899</v>
      </c>
      <c r="R15">
        <v>43.607095600000001</v>
      </c>
      <c r="S15">
        <v>780.49850800000002</v>
      </c>
      <c r="T15">
        <v>1.1299512100000001E-10</v>
      </c>
      <c r="U15">
        <v>19.445184284540069</v>
      </c>
      <c r="V15">
        <v>80.72</v>
      </c>
      <c r="W15">
        <v>-181.56891754802677</v>
      </c>
      <c r="X15">
        <v>62.980068199999998</v>
      </c>
      <c r="Y15">
        <v>93.880968600000003</v>
      </c>
      <c r="Z15">
        <v>203.285</v>
      </c>
      <c r="AA15">
        <v>231.37669500000001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27">
        <f>SUM(AB15:AN15)+Q15</f>
        <v>-0.32424828886842899</v>
      </c>
    </row>
    <row r="16" spans="1:41">
      <c r="A16">
        <v>948.72061630386577</v>
      </c>
      <c r="B16">
        <v>32</v>
      </c>
      <c r="C16">
        <v>19</v>
      </c>
      <c r="D16">
        <v>13.434518161939847</v>
      </c>
      <c r="E16">
        <v>16</v>
      </c>
      <c r="F16">
        <v>14</v>
      </c>
      <c r="G16">
        <v>1.1499986552690074</v>
      </c>
      <c r="H16">
        <v>29</v>
      </c>
      <c r="I16">
        <v>11</v>
      </c>
      <c r="J16">
        <v>1.1870367170607665</v>
      </c>
      <c r="K16">
        <v>511374741.19176567</v>
      </c>
      <c r="L16">
        <v>54526600</v>
      </c>
      <c r="M16">
        <v>79718186.972843692</v>
      </c>
      <c r="N16">
        <v>149463000</v>
      </c>
      <c r="O16">
        <v>15900164.800000001</v>
      </c>
      <c r="P16">
        <v>213.35780600000001</v>
      </c>
      <c r="Q16">
        <v>-0.33714370374600133</v>
      </c>
      <c r="R16">
        <v>43.488981699999997</v>
      </c>
      <c r="S16">
        <v>780.271073</v>
      </c>
      <c r="T16">
        <v>1.3563637600000001E-17</v>
      </c>
      <c r="U16">
        <v>18.73265264734011</v>
      </c>
      <c r="V16">
        <v>100.934</v>
      </c>
      <c r="W16">
        <v>-240.62390219367225</v>
      </c>
      <c r="X16">
        <v>62.808616999999998</v>
      </c>
      <c r="Y16">
        <v>92.287366899999995</v>
      </c>
      <c r="Z16">
        <v>121.52199999999999</v>
      </c>
      <c r="AA16">
        <v>229.526151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27">
        <f>SUM(AB16:AN16)+Q16</f>
        <v>-0.33714370374600133</v>
      </c>
    </row>
    <row r="17" spans="1:41">
      <c r="A17">
        <v>912.26329313068663</v>
      </c>
      <c r="B17">
        <v>30</v>
      </c>
      <c r="C17">
        <v>19</v>
      </c>
      <c r="D17">
        <v>12.2715252138388</v>
      </c>
      <c r="E17">
        <v>21</v>
      </c>
      <c r="F17">
        <v>10</v>
      </c>
      <c r="G17">
        <v>0.64205844739296536</v>
      </c>
      <c r="H17">
        <v>16</v>
      </c>
      <c r="I17">
        <v>9</v>
      </c>
      <c r="J17">
        <v>0.78739096743730741</v>
      </c>
      <c r="K17">
        <v>509911979.01257014</v>
      </c>
      <c r="L17">
        <v>54442800</v>
      </c>
      <c r="M17">
        <v>79676942.357372135</v>
      </c>
      <c r="N17">
        <v>148221000</v>
      </c>
      <c r="O17">
        <v>15895842.959999999</v>
      </c>
      <c r="P17">
        <v>209.911236</v>
      </c>
      <c r="Q17">
        <v>-0.32305348009455681</v>
      </c>
      <c r="R17">
        <v>43.631391299999997</v>
      </c>
      <c r="S17">
        <v>779.73814500000003</v>
      </c>
      <c r="T17">
        <v>3.5512024300000003E-14</v>
      </c>
      <c r="U17">
        <v>19.228716568229807</v>
      </c>
      <c r="V17">
        <v>100.934</v>
      </c>
      <c r="W17">
        <v>-238.32676302792234</v>
      </c>
      <c r="X17">
        <v>62.862757600000002</v>
      </c>
      <c r="Y17">
        <v>92.382815399999998</v>
      </c>
      <c r="Z17">
        <v>177.97</v>
      </c>
      <c r="AA17">
        <v>232.409672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27">
        <f>SUM(AB17:AN17)+Q17</f>
        <v>-0.32305348009455681</v>
      </c>
    </row>
    <row r="18" spans="1:41">
      <c r="A18">
        <v>955.08236123392396</v>
      </c>
      <c r="B18">
        <v>31</v>
      </c>
      <c r="C18">
        <v>14</v>
      </c>
      <c r="D18">
        <v>1.1803233615852724</v>
      </c>
      <c r="E18">
        <v>20</v>
      </c>
      <c r="F18">
        <v>6</v>
      </c>
      <c r="G18">
        <v>0.45310870362046218</v>
      </c>
      <c r="H18">
        <v>19</v>
      </c>
      <c r="I18">
        <v>14</v>
      </c>
      <c r="J18">
        <v>1.2975342863746904</v>
      </c>
      <c r="K18">
        <v>509037839.42601162</v>
      </c>
      <c r="L18">
        <v>54475400</v>
      </c>
      <c r="M18">
        <v>79728377.027632341</v>
      </c>
      <c r="N18">
        <v>149365000</v>
      </c>
      <c r="O18">
        <v>15880971.84</v>
      </c>
      <c r="P18">
        <v>210.85958400000001</v>
      </c>
      <c r="Q18">
        <v>-0.34768193177093171</v>
      </c>
      <c r="R18">
        <v>43.607598199999998</v>
      </c>
      <c r="S18">
        <v>780.40039400000001</v>
      </c>
      <c r="T18">
        <v>2.4578892799999999E-10</v>
      </c>
      <c r="U18">
        <v>19.646209237265879</v>
      </c>
      <c r="V18">
        <v>80.72</v>
      </c>
      <c r="W18">
        <v>-171.8845496236726</v>
      </c>
      <c r="X18">
        <v>62.964876099999998</v>
      </c>
      <c r="Y18">
        <v>94.324031000000005</v>
      </c>
      <c r="Z18">
        <v>180.98100000000002</v>
      </c>
      <c r="AA18">
        <v>231.91004699999999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27">
        <f>SUM(AB18:AN18)+Q18</f>
        <v>-0.34768193177093171</v>
      </c>
    </row>
    <row r="19" spans="1:41">
      <c r="A19">
        <v>951.38585461597586</v>
      </c>
      <c r="B19">
        <v>27</v>
      </c>
      <c r="C19">
        <v>16</v>
      </c>
      <c r="D19">
        <v>6.3383494543465932</v>
      </c>
      <c r="E19">
        <v>20</v>
      </c>
      <c r="F19">
        <v>8</v>
      </c>
      <c r="G19">
        <v>0.89770674465249489</v>
      </c>
      <c r="H19">
        <v>23</v>
      </c>
      <c r="I19">
        <v>9</v>
      </c>
      <c r="J19">
        <v>0.73083633018022598</v>
      </c>
      <c r="K19">
        <v>509885829.76602161</v>
      </c>
      <c r="L19">
        <v>54500600</v>
      </c>
      <c r="M19">
        <v>79722382.591806442</v>
      </c>
      <c r="N19">
        <v>150010000</v>
      </c>
      <c r="O19">
        <v>15897538.959999999</v>
      </c>
      <c r="P19">
        <v>212.387224</v>
      </c>
      <c r="Q19">
        <v>-0.35535288690147254</v>
      </c>
      <c r="R19">
        <v>43.636112799999999</v>
      </c>
      <c r="S19">
        <v>780.16029700000001</v>
      </c>
      <c r="T19">
        <v>1.16712782E-12</v>
      </c>
      <c r="U19">
        <v>19.243830716473877</v>
      </c>
      <c r="V19">
        <v>91.850000000000009</v>
      </c>
      <c r="W19">
        <v>-238.90552146281564</v>
      </c>
      <c r="X19">
        <v>62.804169399999999</v>
      </c>
      <c r="Y19">
        <v>92.557678899999999</v>
      </c>
      <c r="Z19">
        <v>180.98100000000002</v>
      </c>
      <c r="AA19">
        <v>231.810374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27">
        <f>SUM(AB19:AN19)+Q19</f>
        <v>-0.35535288690147254</v>
      </c>
    </row>
    <row r="20" spans="1:41">
      <c r="A20">
        <v>911.43234961532221</v>
      </c>
      <c r="B20">
        <v>27</v>
      </c>
      <c r="C20">
        <v>12</v>
      </c>
      <c r="D20">
        <v>5.0463866050305972</v>
      </c>
      <c r="E20">
        <v>11</v>
      </c>
      <c r="F20">
        <v>8</v>
      </c>
      <c r="G20">
        <v>0.82395831047932155</v>
      </c>
      <c r="H20">
        <v>26</v>
      </c>
      <c r="I20">
        <v>10</v>
      </c>
      <c r="J20">
        <v>0.45771012428292512</v>
      </c>
      <c r="K20">
        <v>508958133.60832298</v>
      </c>
      <c r="L20">
        <v>54422300</v>
      </c>
      <c r="M20">
        <v>79675543.417449608</v>
      </c>
      <c r="N20">
        <v>147834000</v>
      </c>
      <c r="O20">
        <v>15891856.879999999</v>
      </c>
      <c r="P20">
        <v>210.58674400000001</v>
      </c>
      <c r="Q20">
        <v>-0.31740944876050531</v>
      </c>
      <c r="R20">
        <v>43.520733399999997</v>
      </c>
      <c r="S20">
        <v>779.93693500000006</v>
      </c>
      <c r="T20">
        <v>2.78523394E-12</v>
      </c>
      <c r="U20">
        <v>19.022294218526532</v>
      </c>
      <c r="V20">
        <v>100.934</v>
      </c>
      <c r="W20">
        <v>-240.10390278870511</v>
      </c>
      <c r="X20">
        <v>62.864587999999998</v>
      </c>
      <c r="Y20">
        <v>92.624231800000004</v>
      </c>
      <c r="Z20">
        <v>121.52199999999999</v>
      </c>
      <c r="AA20">
        <v>231.24364399999999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27">
        <f>SUM(AB20:AN20)+Q20</f>
        <v>-0.31740944876050531</v>
      </c>
    </row>
    <row r="21" spans="1:41">
      <c r="A21">
        <v>931.55130120363287</v>
      </c>
      <c r="B21">
        <v>37</v>
      </c>
      <c r="C21">
        <v>15</v>
      </c>
      <c r="D21">
        <v>11.39964762332143</v>
      </c>
      <c r="E21">
        <v>15</v>
      </c>
      <c r="F21">
        <v>9</v>
      </c>
      <c r="G21">
        <v>0.63542391409859567</v>
      </c>
      <c r="H21">
        <v>18</v>
      </c>
      <c r="I21">
        <v>9</v>
      </c>
      <c r="J21">
        <v>0.98635844373384662</v>
      </c>
      <c r="K21">
        <v>510049439.93133521</v>
      </c>
      <c r="L21">
        <v>54466300</v>
      </c>
      <c r="M21">
        <v>79696616.260360166</v>
      </c>
      <c r="N21">
        <v>148924000</v>
      </c>
      <c r="O21">
        <v>15890130.880000001</v>
      </c>
      <c r="P21">
        <v>211.35896099999999</v>
      </c>
      <c r="Q21">
        <v>-0.33459089369320427</v>
      </c>
      <c r="R21">
        <v>43.592665099999998</v>
      </c>
      <c r="S21">
        <v>779.64281599999993</v>
      </c>
      <c r="T21">
        <v>3.8988801099999998E-13</v>
      </c>
      <c r="U21">
        <v>19.207275182647066</v>
      </c>
      <c r="V21">
        <v>100.934</v>
      </c>
      <c r="W21">
        <v>-239.56730174905573</v>
      </c>
      <c r="X21">
        <v>62.836238700000003</v>
      </c>
      <c r="Y21">
        <v>92.175614800000005</v>
      </c>
      <c r="Z21">
        <v>144.29</v>
      </c>
      <c r="AA21">
        <v>231.308089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27">
        <f>SUM(AB21:AN21)+Q21</f>
        <v>-0.33459089369320427</v>
      </c>
    </row>
    <row r="22" spans="1:41">
      <c r="A22">
        <v>958.68919980523947</v>
      </c>
      <c r="B22">
        <v>34</v>
      </c>
      <c r="C22">
        <v>17</v>
      </c>
      <c r="D22">
        <v>11.259648139928945</v>
      </c>
      <c r="E22">
        <v>22</v>
      </c>
      <c r="F22">
        <v>12</v>
      </c>
      <c r="G22">
        <v>1.1681460388701621</v>
      </c>
      <c r="H22">
        <v>17</v>
      </c>
      <c r="I22">
        <v>12</v>
      </c>
      <c r="J22">
        <v>1.112064263930906</v>
      </c>
      <c r="K22">
        <v>505568823.1984421</v>
      </c>
      <c r="L22">
        <v>54466300</v>
      </c>
      <c r="M22">
        <v>79696702.431305319</v>
      </c>
      <c r="N22">
        <v>148924000</v>
      </c>
      <c r="O22">
        <v>16381794.640000001</v>
      </c>
      <c r="P22">
        <v>204.65749</v>
      </c>
      <c r="Q22">
        <v>-0.36040935118422274</v>
      </c>
      <c r="R22">
        <v>43.635886300000003</v>
      </c>
      <c r="S22">
        <v>780.69929999999999</v>
      </c>
      <c r="T22">
        <v>1.55004684E-16</v>
      </c>
      <c r="U22">
        <v>19.147018816044405</v>
      </c>
      <c r="V22">
        <v>100.934</v>
      </c>
      <c r="W22">
        <v>-237.46590800987428</v>
      </c>
      <c r="X22">
        <v>62.909294299999999</v>
      </c>
      <c r="Y22">
        <v>92.283784499999996</v>
      </c>
      <c r="Z22">
        <v>180.98100000000002</v>
      </c>
      <c r="AA22">
        <v>231.94199699999999</v>
      </c>
      <c r="AB22">
        <v>100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27">
        <f>SUM(AB22:AN22)+Q22</f>
        <v>99.639590648815783</v>
      </c>
    </row>
    <row r="23" spans="1:41">
      <c r="A23">
        <v>944.78645798314915</v>
      </c>
      <c r="B23">
        <v>32</v>
      </c>
      <c r="C23">
        <v>13</v>
      </c>
      <c r="D23">
        <v>6.2806820147139693</v>
      </c>
      <c r="E23">
        <v>12</v>
      </c>
      <c r="F23">
        <v>9</v>
      </c>
      <c r="G23">
        <v>1.1401672728896686</v>
      </c>
      <c r="H23">
        <v>20</v>
      </c>
      <c r="I23">
        <v>9</v>
      </c>
      <c r="J23">
        <v>0.37212798011492376</v>
      </c>
      <c r="K23">
        <v>509671929.76525712</v>
      </c>
      <c r="L23">
        <v>54474200</v>
      </c>
      <c r="M23">
        <v>79714094.866312072</v>
      </c>
      <c r="N23">
        <v>149523000</v>
      </c>
      <c r="O23">
        <v>15894271.68</v>
      </c>
      <c r="P23">
        <v>212.50025600000001</v>
      </c>
      <c r="Q23">
        <v>-0.34627899484007252</v>
      </c>
      <c r="R23">
        <v>43.551219600000003</v>
      </c>
      <c r="S23">
        <v>780.09286799999995</v>
      </c>
      <c r="T23">
        <v>2.0164201900000001E-13</v>
      </c>
      <c r="U23">
        <v>19.044218636979394</v>
      </c>
      <c r="V23">
        <v>100.934</v>
      </c>
      <c r="W23">
        <v>-239.9612688834176</v>
      </c>
      <c r="X23">
        <v>62.811364900000001</v>
      </c>
      <c r="Y23">
        <v>92.426048100000003</v>
      </c>
      <c r="Z23">
        <v>121.52199999999999</v>
      </c>
      <c r="AA23">
        <v>232.88543100000001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27">
        <f>SUM(AB23:AN23)+Q23</f>
        <v>-0.34627899484007252</v>
      </c>
    </row>
    <row r="24" spans="1:41">
      <c r="A24">
        <v>947.63489220588758</v>
      </c>
      <c r="B24">
        <v>36</v>
      </c>
      <c r="C24">
        <v>13</v>
      </c>
      <c r="D24">
        <v>1.7259558635763934</v>
      </c>
      <c r="E24">
        <v>15</v>
      </c>
      <c r="F24">
        <v>12</v>
      </c>
      <c r="G24">
        <v>0.4905678245385251</v>
      </c>
      <c r="H24">
        <v>23</v>
      </c>
      <c r="I24">
        <v>10</v>
      </c>
      <c r="J24">
        <v>0.36488707951243526</v>
      </c>
      <c r="K24">
        <v>509111758.99146342</v>
      </c>
      <c r="L24">
        <v>54480500</v>
      </c>
      <c r="M24">
        <v>79716989.201266244</v>
      </c>
      <c r="N24">
        <v>149321000</v>
      </c>
      <c r="O24">
        <v>15893363.119999999</v>
      </c>
      <c r="P24">
        <v>213.296786</v>
      </c>
      <c r="Q24">
        <v>-0.34245777485185852</v>
      </c>
      <c r="R24">
        <v>43.448969699999999</v>
      </c>
      <c r="S24">
        <v>780.07615699999997</v>
      </c>
      <c r="T24">
        <v>4.4509452400000003E-15</v>
      </c>
      <c r="U24">
        <v>18.919461515098167</v>
      </c>
      <c r="V24">
        <v>100.934</v>
      </c>
      <c r="W24">
        <v>-228.45905007182662</v>
      </c>
      <c r="X24">
        <v>62.8395212</v>
      </c>
      <c r="Y24">
        <v>93.325123700000006</v>
      </c>
      <c r="Z24">
        <v>121.52199999999999</v>
      </c>
      <c r="AA24">
        <v>231.18791999999999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27">
        <f>SUM(AB24:AN24)+Q24</f>
        <v>-0.34245777485185852</v>
      </c>
    </row>
    <row r="25" spans="1:41">
      <c r="A25">
        <v>958.7683882758181</v>
      </c>
      <c r="B25">
        <v>37</v>
      </c>
      <c r="C25">
        <v>19</v>
      </c>
      <c r="D25">
        <v>4.9691200603033323</v>
      </c>
      <c r="E25">
        <v>13</v>
      </c>
      <c r="F25">
        <v>7</v>
      </c>
      <c r="G25">
        <v>0.58798637400594911</v>
      </c>
      <c r="H25">
        <v>19</v>
      </c>
      <c r="I25">
        <v>10</v>
      </c>
      <c r="J25">
        <v>0.57816105253117311</v>
      </c>
      <c r="K25">
        <v>503927834.32303572</v>
      </c>
      <c r="L25">
        <v>54480500</v>
      </c>
      <c r="M25">
        <v>79717102.384875566</v>
      </c>
      <c r="N25">
        <v>149321000</v>
      </c>
      <c r="O25">
        <v>16378489.52</v>
      </c>
      <c r="P25">
        <v>205.158084</v>
      </c>
      <c r="Q25">
        <v>-0.37319648798035054</v>
      </c>
      <c r="R25">
        <v>43.589120600000001</v>
      </c>
      <c r="S25">
        <v>779.77179899999999</v>
      </c>
      <c r="T25">
        <v>2.6877056099999999E-11</v>
      </c>
      <c r="U25">
        <v>19.293369235203706</v>
      </c>
      <c r="V25">
        <v>100.934</v>
      </c>
      <c r="W25">
        <v>-238.45917083976431</v>
      </c>
      <c r="X25">
        <v>62.907289400000003</v>
      </c>
      <c r="Y25">
        <v>92.454975300000001</v>
      </c>
      <c r="Z25">
        <v>144.29</v>
      </c>
      <c r="AA25">
        <v>231.91501700000001</v>
      </c>
      <c r="AB25">
        <v>100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27">
        <f>SUM(AB25:AN25)+Q25</f>
        <v>99.626803512019649</v>
      </c>
    </row>
    <row r="26" spans="1:41">
      <c r="A26">
        <v>924.14555492994407</v>
      </c>
      <c r="B26">
        <v>37</v>
      </c>
      <c r="C26">
        <v>16</v>
      </c>
      <c r="D26">
        <v>3.3611930245675916</v>
      </c>
      <c r="E26">
        <v>20</v>
      </c>
      <c r="F26">
        <v>5</v>
      </c>
      <c r="G26">
        <v>1.104641783241449</v>
      </c>
      <c r="H26">
        <v>23</v>
      </c>
      <c r="I26">
        <v>13</v>
      </c>
      <c r="J26">
        <v>0.39854780252065403</v>
      </c>
      <c r="K26">
        <v>508926468.10770881</v>
      </c>
      <c r="L26">
        <v>54457100</v>
      </c>
      <c r="M26">
        <v>79691323.772734791</v>
      </c>
      <c r="N26">
        <v>148841000</v>
      </c>
      <c r="O26">
        <v>15894308.559999999</v>
      </c>
      <c r="P26">
        <v>210.56473099999999</v>
      </c>
      <c r="Q26">
        <v>-0.3379262051196521</v>
      </c>
      <c r="R26">
        <v>43.642187900000003</v>
      </c>
      <c r="S26">
        <v>780.16790300000002</v>
      </c>
      <c r="T26">
        <v>5.6953597799999997E-10</v>
      </c>
      <c r="U26">
        <v>19.342915817486606</v>
      </c>
      <c r="V26">
        <v>100.934</v>
      </c>
      <c r="W26">
        <v>-237.68189901513369</v>
      </c>
      <c r="X26">
        <v>62.844423900000002</v>
      </c>
      <c r="Y26">
        <v>92.609111299999995</v>
      </c>
      <c r="Z26">
        <v>180.98100000000002</v>
      </c>
      <c r="AA26">
        <v>233.859306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27">
        <f>SUM(AB26:AN26)+Q26</f>
        <v>-0.3379262051196521</v>
      </c>
    </row>
    <row r="27" spans="1:41">
      <c r="A27">
        <v>934.91047284486137</v>
      </c>
      <c r="B27">
        <v>37</v>
      </c>
      <c r="C27">
        <v>11</v>
      </c>
      <c r="D27">
        <v>6.7158575082003793</v>
      </c>
      <c r="E27">
        <v>11</v>
      </c>
      <c r="F27">
        <v>8</v>
      </c>
      <c r="G27">
        <v>0.57887690731304819</v>
      </c>
      <c r="H27">
        <v>14</v>
      </c>
      <c r="I27">
        <v>11</v>
      </c>
      <c r="J27">
        <v>1.2947762865349977</v>
      </c>
      <c r="K27">
        <v>509365918.82218957</v>
      </c>
      <c r="L27">
        <v>54448300</v>
      </c>
      <c r="M27">
        <v>79700310.510877937</v>
      </c>
      <c r="N27">
        <v>148839000</v>
      </c>
      <c r="O27">
        <v>15889357.52</v>
      </c>
      <c r="P27">
        <v>212.58343300000001</v>
      </c>
      <c r="Q27">
        <v>-0.33345512226095514</v>
      </c>
      <c r="R27">
        <v>43.485733799999998</v>
      </c>
      <c r="S27">
        <v>780.00788</v>
      </c>
      <c r="T27">
        <v>6.1138929000000004E-12</v>
      </c>
      <c r="U27">
        <v>18.992322195100844</v>
      </c>
      <c r="V27">
        <v>100.934</v>
      </c>
      <c r="W27">
        <v>-240.95824177094863</v>
      </c>
      <c r="X27">
        <v>62.855148499999999</v>
      </c>
      <c r="Y27">
        <v>92.3384164</v>
      </c>
      <c r="Z27">
        <v>121.52199999999999</v>
      </c>
      <c r="AA27">
        <v>230.26706200000001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27">
        <f>SUM(AB27:AN27)+Q27</f>
        <v>-0.33345512226095514</v>
      </c>
    </row>
    <row r="28" spans="1:41">
      <c r="A28">
        <v>919.36166475952859</v>
      </c>
      <c r="B28">
        <v>39</v>
      </c>
      <c r="C28">
        <v>17</v>
      </c>
      <c r="D28">
        <v>11.409981714340125</v>
      </c>
      <c r="E28">
        <v>26</v>
      </c>
      <c r="F28">
        <v>5</v>
      </c>
      <c r="G28">
        <v>0.32826144550177777</v>
      </c>
      <c r="H28">
        <v>24</v>
      </c>
      <c r="I28">
        <v>12</v>
      </c>
      <c r="J28">
        <v>0.86158811975234006</v>
      </c>
      <c r="K28">
        <v>510510768.08601975</v>
      </c>
      <c r="L28">
        <v>54489800</v>
      </c>
      <c r="M28">
        <v>79685431.347769037</v>
      </c>
      <c r="N28">
        <v>148586000</v>
      </c>
      <c r="O28">
        <v>15897222.560000001</v>
      </c>
      <c r="P28">
        <v>210.11568500000001</v>
      </c>
      <c r="Q28">
        <v>-0.32748542578594919</v>
      </c>
      <c r="R28">
        <v>43.667047500000002</v>
      </c>
      <c r="S28">
        <v>780.198396</v>
      </c>
      <c r="T28">
        <v>3.9043546799999998E-9</v>
      </c>
      <c r="U28">
        <v>19.769902306438496</v>
      </c>
      <c r="V28">
        <v>100.934</v>
      </c>
      <c r="W28">
        <v>-237.45824781431139</v>
      </c>
      <c r="X28">
        <v>62.849709500000003</v>
      </c>
      <c r="Y28">
        <v>92.130499799999996</v>
      </c>
      <c r="Z28">
        <v>180.98100000000002</v>
      </c>
      <c r="AA28">
        <v>231.839327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27">
        <f>SUM(AB28:AN28)+Q28</f>
        <v>-0.32748542578594919</v>
      </c>
    </row>
    <row r="29" spans="1:41">
      <c r="A29">
        <v>942.22603194859732</v>
      </c>
      <c r="B29">
        <v>33</v>
      </c>
      <c r="C29">
        <v>18</v>
      </c>
      <c r="D29">
        <v>13.573553584839628</v>
      </c>
      <c r="E29">
        <v>24</v>
      </c>
      <c r="F29">
        <v>10</v>
      </c>
      <c r="G29">
        <v>0.64633055305654818</v>
      </c>
      <c r="H29">
        <v>13</v>
      </c>
      <c r="I29">
        <v>8</v>
      </c>
      <c r="J29">
        <v>0.34593261267269348</v>
      </c>
      <c r="K29">
        <v>510817663.39882159</v>
      </c>
      <c r="L29">
        <v>54512100</v>
      </c>
      <c r="M29">
        <v>79714903.591407105</v>
      </c>
      <c r="N29">
        <v>149660000</v>
      </c>
      <c r="O29">
        <v>15897888.960000001</v>
      </c>
      <c r="P29">
        <v>211.61985799999999</v>
      </c>
      <c r="Q29">
        <v>-0.34611141766245146</v>
      </c>
      <c r="R29">
        <v>43.635188800000002</v>
      </c>
      <c r="S29">
        <v>779.94741099999999</v>
      </c>
      <c r="T29">
        <v>3.1677291700000002E-14</v>
      </c>
      <c r="U29">
        <v>19.253410777240333</v>
      </c>
      <c r="V29">
        <v>100.934</v>
      </c>
      <c r="W29">
        <v>-237.72379737661822</v>
      </c>
      <c r="X29">
        <v>62.800491700000002</v>
      </c>
      <c r="Y29">
        <v>92.246209100000002</v>
      </c>
      <c r="Z29">
        <v>180.98100000000002</v>
      </c>
      <c r="AA29">
        <v>236.14089000000001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27">
        <f>SUM(AB29:AN29)+Q29</f>
        <v>-0.34611141766245146</v>
      </c>
    </row>
    <row r="30" spans="1:41">
      <c r="A30">
        <v>932.00642725391663</v>
      </c>
      <c r="B30">
        <v>35</v>
      </c>
      <c r="C30">
        <v>10</v>
      </c>
      <c r="D30">
        <v>2.7064778051512715</v>
      </c>
      <c r="E30">
        <v>18</v>
      </c>
      <c r="F30">
        <v>10</v>
      </c>
      <c r="G30">
        <v>0.99400120201831488</v>
      </c>
      <c r="H30">
        <v>20</v>
      </c>
      <c r="I30">
        <v>14</v>
      </c>
      <c r="J30">
        <v>0.41513296974252673</v>
      </c>
      <c r="K30">
        <v>508592663.41114044</v>
      </c>
      <c r="L30">
        <v>54447100</v>
      </c>
      <c r="M30">
        <v>79697315.667867243</v>
      </c>
      <c r="N30">
        <v>149040000</v>
      </c>
      <c r="O30">
        <v>15885845.520000001</v>
      </c>
      <c r="P30">
        <v>210.989664</v>
      </c>
      <c r="Q30">
        <v>-0.34269234476201044</v>
      </c>
      <c r="R30">
        <v>43.6203377</v>
      </c>
      <c r="S30">
        <v>780.22368099999994</v>
      </c>
      <c r="T30">
        <v>1.6363630299999999E-14</v>
      </c>
      <c r="U30">
        <v>19.180682627974836</v>
      </c>
      <c r="V30">
        <v>100.934</v>
      </c>
      <c r="W30">
        <v>-232.66636096185309</v>
      </c>
      <c r="X30">
        <v>62.857368299999997</v>
      </c>
      <c r="Y30">
        <v>92.861985099999998</v>
      </c>
      <c r="Z30">
        <v>177.97</v>
      </c>
      <c r="AA30">
        <v>234.12597099999999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 s="27">
        <f>SUM(AB30:AN30)+Q30</f>
        <v>-0.34269234476201044</v>
      </c>
    </row>
    <row r="31" spans="1:41">
      <c r="A31">
        <v>922.5889625623272</v>
      </c>
      <c r="B31">
        <v>33</v>
      </c>
      <c r="C31">
        <v>15</v>
      </c>
      <c r="D31">
        <v>10.999614978487523</v>
      </c>
      <c r="E31">
        <v>24</v>
      </c>
      <c r="F31">
        <v>13</v>
      </c>
      <c r="G31">
        <v>0.66481540492320135</v>
      </c>
      <c r="H31">
        <v>21</v>
      </c>
      <c r="I31">
        <v>9</v>
      </c>
      <c r="J31">
        <v>1.0373396621595958</v>
      </c>
      <c r="K31">
        <v>510161100.23877513</v>
      </c>
      <c r="L31">
        <v>54475200</v>
      </c>
      <c r="M31">
        <v>79689226.147431612</v>
      </c>
      <c r="N31">
        <v>148692000</v>
      </c>
      <c r="O31">
        <v>15897918</v>
      </c>
      <c r="P31">
        <v>210.63435200000001</v>
      </c>
      <c r="Q31">
        <v>-0.33033342938720117</v>
      </c>
      <c r="R31">
        <v>43.629085199999999</v>
      </c>
      <c r="S31">
        <v>779.79311399999995</v>
      </c>
      <c r="T31">
        <v>7.1743912400000004E-17</v>
      </c>
      <c r="U31">
        <v>19.178933207729397</v>
      </c>
      <c r="V31">
        <v>100.934</v>
      </c>
      <c r="W31">
        <v>-238.1173486912906</v>
      </c>
      <c r="X31">
        <v>62.845344900000001</v>
      </c>
      <c r="Y31">
        <v>92.291510599999995</v>
      </c>
      <c r="Z31">
        <v>177.97</v>
      </c>
      <c r="AA31">
        <v>231.530394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s="27">
        <f>SUM(AB31:AN31)+Q31</f>
        <v>-0.33033342938720117</v>
      </c>
    </row>
    <row r="32" spans="1:41">
      <c r="A32">
        <v>932.91939423784481</v>
      </c>
      <c r="B32">
        <v>33</v>
      </c>
      <c r="C32">
        <v>15</v>
      </c>
      <c r="D32">
        <v>10.185388567108159</v>
      </c>
      <c r="E32">
        <v>16</v>
      </c>
      <c r="F32">
        <v>12</v>
      </c>
      <c r="G32">
        <v>0.56710941367422296</v>
      </c>
      <c r="H32">
        <v>25</v>
      </c>
      <c r="I32">
        <v>8</v>
      </c>
      <c r="J32">
        <v>0.89503346855925292</v>
      </c>
      <c r="K32">
        <v>510042308.36782861</v>
      </c>
      <c r="L32">
        <v>54479300</v>
      </c>
      <c r="M32">
        <v>79698013.899838805</v>
      </c>
      <c r="N32">
        <v>148823000</v>
      </c>
      <c r="O32">
        <v>15890070.4</v>
      </c>
      <c r="P32">
        <v>211.955747</v>
      </c>
      <c r="Q32">
        <v>-0.33129741055013484</v>
      </c>
      <c r="R32">
        <v>43.526929199999998</v>
      </c>
      <c r="S32">
        <v>779.55848300000002</v>
      </c>
      <c r="T32">
        <v>1.9453376199999998E-15</v>
      </c>
      <c r="U32">
        <v>19.011111850744065</v>
      </c>
      <c r="V32">
        <v>100.934</v>
      </c>
      <c r="W32">
        <v>-240.79233647870601</v>
      </c>
      <c r="X32">
        <v>62.833990999999997</v>
      </c>
      <c r="Y32">
        <v>92.300756500000006</v>
      </c>
      <c r="Z32">
        <v>144.29</v>
      </c>
      <c r="AA32">
        <v>230.52547300000001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s="27">
        <f>SUM(AB32:AN32)+Q32</f>
        <v>-0.33129741055013484</v>
      </c>
    </row>
    <row r="33" spans="1:41">
      <c r="A33">
        <v>954.54342300905682</v>
      </c>
      <c r="B33">
        <v>30</v>
      </c>
      <c r="C33">
        <v>13</v>
      </c>
      <c r="D33">
        <v>4.0942542887610793</v>
      </c>
      <c r="E33">
        <v>19</v>
      </c>
      <c r="F33">
        <v>13</v>
      </c>
      <c r="G33">
        <v>0.77394163116399661</v>
      </c>
      <c r="H33">
        <v>11</v>
      </c>
      <c r="I33">
        <v>9</v>
      </c>
      <c r="J33">
        <v>0.76081219715058079</v>
      </c>
      <c r="K33">
        <v>509351639.65493178</v>
      </c>
      <c r="L33">
        <v>54485300</v>
      </c>
      <c r="M33">
        <v>79722981.994588375</v>
      </c>
      <c r="N33">
        <v>150358000</v>
      </c>
      <c r="O33">
        <v>15916846.4</v>
      </c>
      <c r="P33">
        <v>213.20548400000001</v>
      </c>
      <c r="Q33">
        <v>-0.36321195563976</v>
      </c>
      <c r="R33">
        <v>43.599245400000001</v>
      </c>
      <c r="S33">
        <v>779.71768299999997</v>
      </c>
      <c r="T33">
        <v>7.3657971499999998E-17</v>
      </c>
      <c r="U33">
        <v>19.086321154193101</v>
      </c>
      <c r="V33">
        <v>100.934</v>
      </c>
      <c r="W33">
        <v>-239.90336388909134</v>
      </c>
      <c r="X33">
        <v>62.849574400000002</v>
      </c>
      <c r="Y33">
        <v>92.630561799999995</v>
      </c>
      <c r="Z33">
        <v>165.7</v>
      </c>
      <c r="AA33">
        <v>235.06431000000001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 s="27">
        <f>SUM(AB33:AN33)+Q33</f>
        <v>-0.36321195563976</v>
      </c>
    </row>
    <row r="34" spans="1:41">
      <c r="A34">
        <v>951.21821100617217</v>
      </c>
      <c r="B34">
        <v>36</v>
      </c>
      <c r="C34">
        <v>16</v>
      </c>
      <c r="D34">
        <v>11.729656336945929</v>
      </c>
      <c r="E34">
        <v>12</v>
      </c>
      <c r="F34">
        <v>6</v>
      </c>
      <c r="G34">
        <v>0.94584637349458012</v>
      </c>
      <c r="H34">
        <v>22</v>
      </c>
      <c r="I34">
        <v>11</v>
      </c>
      <c r="J34">
        <v>1.3630010815063014</v>
      </c>
      <c r="K34">
        <v>510941968.84085536</v>
      </c>
      <c r="L34">
        <v>54533100</v>
      </c>
      <c r="M34">
        <v>79721982.828474909</v>
      </c>
      <c r="N34">
        <v>149971000</v>
      </c>
      <c r="O34">
        <v>15900291.68</v>
      </c>
      <c r="P34">
        <v>212.680171</v>
      </c>
      <c r="Q34">
        <v>-0.35000828748126156</v>
      </c>
      <c r="R34">
        <v>43.6097435</v>
      </c>
      <c r="S34">
        <v>779.85260900000003</v>
      </c>
      <c r="T34">
        <v>9.7911110799999996E-11</v>
      </c>
      <c r="U34">
        <v>19.306223491597216</v>
      </c>
      <c r="V34">
        <v>100.934</v>
      </c>
      <c r="W34">
        <v>-239.24656959211956</v>
      </c>
      <c r="X34">
        <v>62.803986000000002</v>
      </c>
      <c r="Y34">
        <v>92.184944900000005</v>
      </c>
      <c r="Z34">
        <v>165.7</v>
      </c>
      <c r="AA34">
        <v>230.764488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27">
        <f>SUM(AB34:AN34)+Q34</f>
        <v>-0.35000828748126156</v>
      </c>
    </row>
    <row r="35" spans="1:41">
      <c r="A35">
        <v>942.32368179708203</v>
      </c>
      <c r="B35">
        <v>31</v>
      </c>
      <c r="C35">
        <v>13</v>
      </c>
      <c r="D35">
        <v>5.0714600842029949</v>
      </c>
      <c r="E35">
        <v>16</v>
      </c>
      <c r="F35">
        <v>8</v>
      </c>
      <c r="G35">
        <v>1.0253314916687606</v>
      </c>
      <c r="H35">
        <v>22</v>
      </c>
      <c r="I35">
        <v>13</v>
      </c>
      <c r="J35">
        <v>0.88844340782951825</v>
      </c>
      <c r="K35">
        <v>510644290.81759989</v>
      </c>
      <c r="L35">
        <v>54533100</v>
      </c>
      <c r="M35">
        <v>79721996.468549326</v>
      </c>
      <c r="N35">
        <v>149971000</v>
      </c>
      <c r="O35">
        <v>15893662.48</v>
      </c>
      <c r="P35">
        <v>211.93510900000001</v>
      </c>
      <c r="Q35">
        <v>-0.35219224897980123</v>
      </c>
      <c r="R35">
        <v>43.626097899999998</v>
      </c>
      <c r="S35">
        <v>780.08202199999994</v>
      </c>
      <c r="T35">
        <v>1.0602210500000001E-12</v>
      </c>
      <c r="U35">
        <v>19.226785530290126</v>
      </c>
      <c r="V35">
        <v>100.934</v>
      </c>
      <c r="W35">
        <v>-238.31958547183314</v>
      </c>
      <c r="X35">
        <v>62.817705199999999</v>
      </c>
      <c r="Y35">
        <v>92.517044799999994</v>
      </c>
      <c r="Z35">
        <v>177.97</v>
      </c>
      <c r="AA35">
        <v>231.576256</v>
      </c>
      <c r="AB35">
        <v>100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s="27">
        <f>SUM(AB35:AN35)+Q35</f>
        <v>99.647807751020196</v>
      </c>
    </row>
    <row r="36" spans="1:41">
      <c r="A36">
        <v>932.99899498384002</v>
      </c>
      <c r="B36">
        <v>32</v>
      </c>
      <c r="C36">
        <v>16</v>
      </c>
      <c r="D36">
        <v>9.0612603366492941</v>
      </c>
      <c r="E36">
        <v>21</v>
      </c>
      <c r="F36">
        <v>6</v>
      </c>
      <c r="G36">
        <v>0.84083534549205496</v>
      </c>
      <c r="H36">
        <v>24</v>
      </c>
      <c r="I36">
        <v>13</v>
      </c>
      <c r="J36">
        <v>0.79422021339737858</v>
      </c>
      <c r="K36">
        <v>509986774.00697595</v>
      </c>
      <c r="L36">
        <v>54479000</v>
      </c>
      <c r="M36">
        <v>79698513.974414021</v>
      </c>
      <c r="N36">
        <v>149064000</v>
      </c>
      <c r="O36">
        <v>15889542.560000001</v>
      </c>
      <c r="P36">
        <v>211.03729899999999</v>
      </c>
      <c r="Q36">
        <v>-0.3379652346753515</v>
      </c>
      <c r="R36">
        <v>43.641923800000001</v>
      </c>
      <c r="S36">
        <v>780.05855999999994</v>
      </c>
      <c r="T36">
        <v>8.8259489899999994E-11</v>
      </c>
      <c r="U36">
        <v>19.322953404684711</v>
      </c>
      <c r="V36">
        <v>100.934</v>
      </c>
      <c r="W36">
        <v>-237.94006174562111</v>
      </c>
      <c r="X36">
        <v>62.833880399999998</v>
      </c>
      <c r="Y36">
        <v>92.351855799999996</v>
      </c>
      <c r="Z36">
        <v>180.98100000000002</v>
      </c>
      <c r="AA36">
        <v>231.69464600000001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s="27">
        <f>SUM(AB36:AN36)+Q36</f>
        <v>-0.3379652346753515</v>
      </c>
    </row>
    <row r="37" spans="1:41">
      <c r="A37">
        <v>936.24365283334453</v>
      </c>
      <c r="B37">
        <v>34</v>
      </c>
      <c r="C37">
        <v>10</v>
      </c>
      <c r="D37">
        <v>11.849339456248186</v>
      </c>
      <c r="E37">
        <v>20</v>
      </c>
      <c r="F37">
        <v>12</v>
      </c>
      <c r="G37">
        <v>0.4162457223863274</v>
      </c>
      <c r="H37">
        <v>20</v>
      </c>
      <c r="I37">
        <v>12</v>
      </c>
      <c r="J37">
        <v>1.2562227140150461</v>
      </c>
      <c r="K37">
        <v>510195111.71927381</v>
      </c>
      <c r="L37">
        <v>54469900</v>
      </c>
      <c r="M37">
        <v>79702508.556925058</v>
      </c>
      <c r="N37">
        <v>149218000</v>
      </c>
      <c r="O37">
        <v>15892508.560000001</v>
      </c>
      <c r="P37">
        <v>211.68194600000001</v>
      </c>
      <c r="Q37">
        <v>-0.33966910954589258</v>
      </c>
      <c r="R37">
        <v>43.599772399999999</v>
      </c>
      <c r="S37">
        <v>779.517064</v>
      </c>
      <c r="T37">
        <v>3.3127575599999999E-15</v>
      </c>
      <c r="U37">
        <v>19.312703843441099</v>
      </c>
      <c r="V37">
        <v>100.934</v>
      </c>
      <c r="W37">
        <v>-239.13086620454453</v>
      </c>
      <c r="X37">
        <v>62.829824799999997</v>
      </c>
      <c r="Y37">
        <v>92.257939300000004</v>
      </c>
      <c r="Z37">
        <v>165.7</v>
      </c>
      <c r="AA37">
        <v>231.13243700000001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 s="27">
        <f>SUM(AB37:AN37)+Q37</f>
        <v>-0.33966910954589258</v>
      </c>
    </row>
    <row r="38" spans="1:41">
      <c r="A38">
        <v>935.53419333893532</v>
      </c>
      <c r="B38">
        <v>34</v>
      </c>
      <c r="C38">
        <v>16</v>
      </c>
      <c r="D38">
        <v>3.275103774327087</v>
      </c>
      <c r="E38">
        <v>29</v>
      </c>
      <c r="F38">
        <v>7</v>
      </c>
      <c r="G38">
        <v>0.98587966821974016</v>
      </c>
      <c r="H38">
        <v>20</v>
      </c>
      <c r="I38">
        <v>7</v>
      </c>
      <c r="J38">
        <v>0.82805705095289772</v>
      </c>
      <c r="K38">
        <v>509149670.56582427</v>
      </c>
      <c r="L38">
        <v>54469200</v>
      </c>
      <c r="M38">
        <v>79701709.83107245</v>
      </c>
      <c r="N38">
        <v>149115000</v>
      </c>
      <c r="O38">
        <v>15887652.879999999</v>
      </c>
      <c r="P38">
        <v>211.09351599999999</v>
      </c>
      <c r="Q38">
        <v>-0.34183870496906865</v>
      </c>
      <c r="R38">
        <v>43.6401076</v>
      </c>
      <c r="S38">
        <v>780.48013100000003</v>
      </c>
      <c r="T38">
        <v>6.7145475000000001E-12</v>
      </c>
      <c r="U38">
        <v>19.243458526931555</v>
      </c>
      <c r="V38">
        <v>100.934</v>
      </c>
      <c r="W38">
        <v>-238.20799397038118</v>
      </c>
      <c r="X38">
        <v>62.830725399999999</v>
      </c>
      <c r="Y38">
        <v>92.652676999999997</v>
      </c>
      <c r="Z38">
        <v>203.285</v>
      </c>
      <c r="AA38">
        <v>231.82290699999999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s="27">
        <f>SUM(AB38:AN38)+Q38</f>
        <v>-0.34183870496906865</v>
      </c>
    </row>
    <row r="39" spans="1:41">
      <c r="A39">
        <v>914.53385675332288</v>
      </c>
      <c r="B39">
        <v>33</v>
      </c>
      <c r="C39">
        <v>16</v>
      </c>
      <c r="D39">
        <v>9.5830054917931466</v>
      </c>
      <c r="E39">
        <v>18</v>
      </c>
      <c r="F39">
        <v>9</v>
      </c>
      <c r="G39">
        <v>0.63398495612817896</v>
      </c>
      <c r="H39">
        <v>18</v>
      </c>
      <c r="I39">
        <v>11</v>
      </c>
      <c r="J39">
        <v>0.38621930188060477</v>
      </c>
      <c r="K39">
        <v>509828774.6552487</v>
      </c>
      <c r="L39">
        <v>54430900</v>
      </c>
      <c r="M39">
        <v>79679939.322181314</v>
      </c>
      <c r="N39">
        <v>148436000</v>
      </c>
      <c r="O39">
        <v>15895125.84</v>
      </c>
      <c r="P39">
        <v>210.147783</v>
      </c>
      <c r="Q39">
        <v>-0.32772486051614014</v>
      </c>
      <c r="R39">
        <v>43.623696700000004</v>
      </c>
      <c r="S39">
        <v>779.68770799999993</v>
      </c>
      <c r="T39">
        <v>3.1283788799999998E-13</v>
      </c>
      <c r="U39">
        <v>19.249931866933736</v>
      </c>
      <c r="V39">
        <v>100.934</v>
      </c>
      <c r="W39">
        <v>-238.40822753772787</v>
      </c>
      <c r="X39">
        <v>62.859634200000002</v>
      </c>
      <c r="Y39">
        <v>92.325182999999996</v>
      </c>
      <c r="Z39">
        <v>177.97</v>
      </c>
      <c r="AA39">
        <v>234.44349399999999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 s="27">
        <f>SUM(AB39:AN39)+Q39</f>
        <v>-0.32772486051614014</v>
      </c>
    </row>
    <row r="40" spans="1:41">
      <c r="A40">
        <v>944.50305759220737</v>
      </c>
      <c r="B40">
        <v>32</v>
      </c>
      <c r="C40">
        <v>18</v>
      </c>
      <c r="D40">
        <v>14.603944255926693</v>
      </c>
      <c r="E40">
        <v>18</v>
      </c>
      <c r="F40">
        <v>8</v>
      </c>
      <c r="G40">
        <v>0.70986709194667053</v>
      </c>
      <c r="H40">
        <v>20</v>
      </c>
      <c r="I40">
        <v>7</v>
      </c>
      <c r="J40">
        <v>1.063277752454888</v>
      </c>
      <c r="K40">
        <v>511151646.9718765</v>
      </c>
      <c r="L40">
        <v>54510200</v>
      </c>
      <c r="M40">
        <v>79713194.644435391</v>
      </c>
      <c r="N40">
        <v>149680000</v>
      </c>
      <c r="O40">
        <v>15898307.92</v>
      </c>
      <c r="P40">
        <v>212.01112800000001</v>
      </c>
      <c r="Q40">
        <v>-0.34485924088747788</v>
      </c>
      <c r="R40">
        <v>43.6306327</v>
      </c>
      <c r="S40">
        <v>779.86521800000003</v>
      </c>
      <c r="T40">
        <v>1.8350415399999998E-12</v>
      </c>
      <c r="U40">
        <v>19.2743353689334</v>
      </c>
      <c r="V40">
        <v>100.934</v>
      </c>
      <c r="W40">
        <v>-238.37730225675875</v>
      </c>
      <c r="X40">
        <v>62.814927699999998</v>
      </c>
      <c r="Y40">
        <v>92.273319900000004</v>
      </c>
      <c r="Z40">
        <v>177.97</v>
      </c>
      <c r="AA40">
        <v>231.581659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s="27">
        <f>SUM(AB40:AN40)+Q40</f>
        <v>-0.34485924088747788</v>
      </c>
    </row>
    <row r="41" spans="1:41">
      <c r="A41">
        <v>922.35393964918615</v>
      </c>
      <c r="B41">
        <v>36</v>
      </c>
      <c r="C41">
        <v>15</v>
      </c>
      <c r="D41">
        <v>14.224078002293123</v>
      </c>
      <c r="E41">
        <v>28</v>
      </c>
      <c r="F41">
        <v>12</v>
      </c>
      <c r="G41">
        <v>1.0447405203877178</v>
      </c>
      <c r="H41">
        <v>15</v>
      </c>
      <c r="I41">
        <v>9</v>
      </c>
      <c r="J41">
        <v>0.96824122521140477</v>
      </c>
      <c r="K41">
        <v>510780316.84682268</v>
      </c>
      <c r="L41">
        <v>54490300</v>
      </c>
      <c r="M41">
        <v>79688826.514555335</v>
      </c>
      <c r="N41">
        <v>148551000</v>
      </c>
      <c r="O41">
        <v>15899569.359999999</v>
      </c>
      <c r="P41">
        <v>210.313525</v>
      </c>
      <c r="Q41">
        <v>-0.32556218590587294</v>
      </c>
      <c r="R41">
        <v>43.641276300000001</v>
      </c>
      <c r="S41">
        <v>780.79843800000003</v>
      </c>
      <c r="T41">
        <v>1.3300096600000001E-16</v>
      </c>
      <c r="U41">
        <v>19.153144515174372</v>
      </c>
      <c r="V41">
        <v>100.934</v>
      </c>
      <c r="W41">
        <v>-238.75749279114538</v>
      </c>
      <c r="X41">
        <v>62.847880699999997</v>
      </c>
      <c r="Y41">
        <v>92.167432399999996</v>
      </c>
      <c r="Z41">
        <v>203.285</v>
      </c>
      <c r="AA41">
        <v>232.09430699999999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 s="27">
        <f>SUM(AB41:AN41)+Q41</f>
        <v>-0.32556218590587294</v>
      </c>
    </row>
    <row r="42" spans="1:41">
      <c r="A42">
        <v>910.14722961174334</v>
      </c>
      <c r="B42">
        <v>35</v>
      </c>
      <c r="C42">
        <v>16</v>
      </c>
      <c r="D42">
        <v>14.33655295282964</v>
      </c>
      <c r="E42">
        <v>14</v>
      </c>
      <c r="F42">
        <v>8</v>
      </c>
      <c r="G42">
        <v>1.0625875166580887</v>
      </c>
      <c r="H42">
        <v>16</v>
      </c>
      <c r="I42">
        <v>14</v>
      </c>
      <c r="J42">
        <v>1.1084585775223879</v>
      </c>
      <c r="K42">
        <v>510653202.47999448</v>
      </c>
      <c r="L42">
        <v>54456700</v>
      </c>
      <c r="M42">
        <v>79674345.577665627</v>
      </c>
      <c r="N42">
        <v>148218000</v>
      </c>
      <c r="O42">
        <v>15895504.880000001</v>
      </c>
      <c r="P42">
        <v>210.12645499999999</v>
      </c>
      <c r="Q42">
        <v>-0.31997289254623873</v>
      </c>
      <c r="R42">
        <v>43.616948800000003</v>
      </c>
      <c r="S42">
        <v>779.83077000000003</v>
      </c>
      <c r="T42">
        <v>1.1729281500000001E-12</v>
      </c>
      <c r="U42">
        <v>19.171667284564638</v>
      </c>
      <c r="V42">
        <v>100.934</v>
      </c>
      <c r="W42">
        <v>-239.41876270617553</v>
      </c>
      <c r="X42">
        <v>62.894517999999998</v>
      </c>
      <c r="Y42">
        <v>92.219169300000004</v>
      </c>
      <c r="Z42">
        <v>165.7</v>
      </c>
      <c r="AA42">
        <v>233.54608400000001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s="27">
        <f>SUM(AB42:AN42)+Q42</f>
        <v>-0.31997289254623873</v>
      </c>
    </row>
    <row r="43" spans="1:41">
      <c r="A43">
        <v>957.58005263062932</v>
      </c>
      <c r="B43">
        <v>34</v>
      </c>
      <c r="C43">
        <v>10</v>
      </c>
      <c r="D43">
        <v>10.858778869237646</v>
      </c>
      <c r="E43">
        <v>12</v>
      </c>
      <c r="F43">
        <v>8</v>
      </c>
      <c r="G43">
        <v>0.65583998921558606</v>
      </c>
      <c r="H43">
        <v>13</v>
      </c>
      <c r="I43">
        <v>9</v>
      </c>
      <c r="J43">
        <v>0.64822649042893654</v>
      </c>
      <c r="K43">
        <v>506921071.79303157</v>
      </c>
      <c r="L43">
        <v>54456700</v>
      </c>
      <c r="M43">
        <v>79674402.315025508</v>
      </c>
      <c r="N43">
        <v>148218000</v>
      </c>
      <c r="O43">
        <v>16381720.4</v>
      </c>
      <c r="P43">
        <v>205.665029</v>
      </c>
      <c r="Q43">
        <v>-0.33923290661928562</v>
      </c>
      <c r="R43">
        <v>43.544963600000003</v>
      </c>
      <c r="S43">
        <v>779.75827300000003</v>
      </c>
      <c r="T43">
        <v>3.56634435E-12</v>
      </c>
      <c r="U43">
        <v>19.103486207505824</v>
      </c>
      <c r="V43">
        <v>100.934</v>
      </c>
      <c r="W43">
        <v>-239.05918322184485</v>
      </c>
      <c r="X43">
        <v>62.927389300000002</v>
      </c>
      <c r="Y43">
        <v>92.308463500000002</v>
      </c>
      <c r="Z43">
        <v>144.29</v>
      </c>
      <c r="AA43">
        <v>232.164051</v>
      </c>
      <c r="AB43">
        <v>100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s="27">
        <f>SUM(AB43:AN43)+Q43</f>
        <v>99.660767093380713</v>
      </c>
    </row>
    <row r="44" spans="1:41">
      <c r="A44">
        <v>951.78838299865208</v>
      </c>
      <c r="B44">
        <v>36</v>
      </c>
      <c r="C44">
        <v>17</v>
      </c>
      <c r="D44">
        <v>5.868867788918446</v>
      </c>
      <c r="E44">
        <v>16</v>
      </c>
      <c r="F44">
        <v>11</v>
      </c>
      <c r="G44">
        <v>1.099876680956541</v>
      </c>
      <c r="H44">
        <v>21</v>
      </c>
      <c r="I44">
        <v>8</v>
      </c>
      <c r="J44">
        <v>0.66752010989428145</v>
      </c>
      <c r="K44">
        <v>509970434.8414104</v>
      </c>
      <c r="L44">
        <v>54501100</v>
      </c>
      <c r="M44">
        <v>79722781.837014854</v>
      </c>
      <c r="N44">
        <v>149963000</v>
      </c>
      <c r="O44">
        <v>15897544.959999999</v>
      </c>
      <c r="P44">
        <v>212.670208</v>
      </c>
      <c r="Q44">
        <v>-0.35362403664889697</v>
      </c>
      <c r="R44">
        <v>43.602451700000003</v>
      </c>
      <c r="S44">
        <v>780.18115499999999</v>
      </c>
      <c r="T44">
        <v>2.4065922999999999E-15</v>
      </c>
      <c r="U44">
        <v>19.128604042034283</v>
      </c>
      <c r="V44">
        <v>100.934</v>
      </c>
      <c r="W44">
        <v>-239.6575738514025</v>
      </c>
      <c r="X44">
        <v>62.803461499999997</v>
      </c>
      <c r="Y44">
        <v>92.366104800000002</v>
      </c>
      <c r="Z44">
        <v>144.29</v>
      </c>
      <c r="AA44">
        <v>231.69588899999999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 s="27">
        <f>SUM(AB44:AN44)+Q44</f>
        <v>-0.35362403664889697</v>
      </c>
    </row>
    <row r="45" spans="1:41">
      <c r="A45">
        <v>955.47544227013213</v>
      </c>
      <c r="B45">
        <v>32</v>
      </c>
      <c r="C45">
        <v>17</v>
      </c>
      <c r="D45">
        <v>4.7825866941958601</v>
      </c>
      <c r="E45">
        <v>21</v>
      </c>
      <c r="F45">
        <v>12</v>
      </c>
      <c r="G45">
        <v>0.75454485713382036</v>
      </c>
      <c r="H45">
        <v>23</v>
      </c>
      <c r="I45">
        <v>12</v>
      </c>
      <c r="J45">
        <v>0.67163729280704754</v>
      </c>
      <c r="K45">
        <v>504691267.39991415</v>
      </c>
      <c r="L45">
        <v>54501100</v>
      </c>
      <c r="M45">
        <v>79722902.428840026</v>
      </c>
      <c r="N45">
        <v>149963000</v>
      </c>
      <c r="O45">
        <v>16378400.960000001</v>
      </c>
      <c r="P45">
        <v>204.860603</v>
      </c>
      <c r="Q45">
        <v>-0.38459853202978234</v>
      </c>
      <c r="R45">
        <v>43.623048199999999</v>
      </c>
      <c r="S45">
        <v>779.96682900000008</v>
      </c>
      <c r="T45">
        <v>4.3210827100000002E-16</v>
      </c>
      <c r="U45">
        <v>19.168551631623711</v>
      </c>
      <c r="V45">
        <v>100.934</v>
      </c>
      <c r="W45">
        <v>-237.27129481342044</v>
      </c>
      <c r="X45">
        <v>62.906483999999999</v>
      </c>
      <c r="Y45">
        <v>92.558855899999998</v>
      </c>
      <c r="Z45">
        <v>177.97</v>
      </c>
      <c r="AA45">
        <v>231.93050700000001</v>
      </c>
      <c r="AB45">
        <v>100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 s="27">
        <f>SUM(AB45:AN45)+Q45</f>
        <v>99.615401467970216</v>
      </c>
    </row>
    <row r="46" spans="1:41">
      <c r="A46">
        <v>924.79849261628874</v>
      </c>
      <c r="B46">
        <v>37</v>
      </c>
      <c r="C46">
        <v>14</v>
      </c>
      <c r="D46">
        <v>14.088203750084999</v>
      </c>
      <c r="E46">
        <v>13</v>
      </c>
      <c r="F46">
        <v>8</v>
      </c>
      <c r="G46">
        <v>1.1792852003587733</v>
      </c>
      <c r="H46">
        <v>29</v>
      </c>
      <c r="I46">
        <v>7</v>
      </c>
      <c r="J46">
        <v>0.97317027934241951</v>
      </c>
      <c r="K46">
        <v>510760462.67483854</v>
      </c>
      <c r="L46">
        <v>54489700</v>
      </c>
      <c r="M46">
        <v>79688327.156970501</v>
      </c>
      <c r="N46">
        <v>148550000</v>
      </c>
      <c r="O46">
        <v>15888926.48</v>
      </c>
      <c r="P46">
        <v>210.69433900000001</v>
      </c>
      <c r="Q46">
        <v>-0.32502934640586612</v>
      </c>
      <c r="R46">
        <v>43.606953500000003</v>
      </c>
      <c r="S46">
        <v>779.96419900000001</v>
      </c>
      <c r="T46">
        <v>1.11607178E-12</v>
      </c>
      <c r="U46">
        <v>19.184609080232729</v>
      </c>
      <c r="V46">
        <v>100.934</v>
      </c>
      <c r="W46">
        <v>-239.17015443125982</v>
      </c>
      <c r="X46">
        <v>62.845782300000003</v>
      </c>
      <c r="Y46">
        <v>92.140256899999997</v>
      </c>
      <c r="Z46">
        <v>144.29</v>
      </c>
      <c r="AA46">
        <v>231.215013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 s="27">
        <f>SUM(AB46:AN46)+Q46</f>
        <v>-0.32502934640586612</v>
      </c>
    </row>
    <row r="47" spans="1:41">
      <c r="A47">
        <v>922.88537470024949</v>
      </c>
      <c r="B47">
        <v>36</v>
      </c>
      <c r="C47">
        <v>12</v>
      </c>
      <c r="D47">
        <v>1.9682602024681843</v>
      </c>
      <c r="E47">
        <v>24</v>
      </c>
      <c r="F47">
        <v>11</v>
      </c>
      <c r="G47">
        <v>0.6587978811046632</v>
      </c>
      <c r="H47">
        <v>21</v>
      </c>
      <c r="I47">
        <v>13</v>
      </c>
      <c r="J47">
        <v>0.53353437046657604</v>
      </c>
      <c r="K47">
        <v>508645718.76760781</v>
      </c>
      <c r="L47">
        <v>54438700</v>
      </c>
      <c r="M47">
        <v>79689625.689913675</v>
      </c>
      <c r="N47">
        <v>148666000</v>
      </c>
      <c r="O47">
        <v>15893258.08</v>
      </c>
      <c r="P47">
        <v>210.46424300000001</v>
      </c>
      <c r="Q47">
        <v>-0.33570853589688066</v>
      </c>
      <c r="R47">
        <v>43.6244905</v>
      </c>
      <c r="S47">
        <v>779.959204</v>
      </c>
      <c r="T47">
        <v>3.9359601400000001E-15</v>
      </c>
      <c r="U47">
        <v>19.22019379465635</v>
      </c>
      <c r="V47">
        <v>100.934</v>
      </c>
      <c r="W47">
        <v>-229.00717826702729</v>
      </c>
      <c r="X47">
        <v>62.8677201</v>
      </c>
      <c r="Y47">
        <v>93.087502499999999</v>
      </c>
      <c r="Z47">
        <v>180.98100000000002</v>
      </c>
      <c r="AA47">
        <v>232.862337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 s="27">
        <f>SUM(AB47:AN47)+Q47</f>
        <v>-0.33570853589688066</v>
      </c>
    </row>
    <row r="48" spans="1:41">
      <c r="A48">
        <v>946.32730332167318</v>
      </c>
      <c r="B48">
        <v>31</v>
      </c>
      <c r="C48">
        <v>16</v>
      </c>
      <c r="D48">
        <v>12.502818064956447</v>
      </c>
      <c r="E48">
        <v>24</v>
      </c>
      <c r="F48">
        <v>7</v>
      </c>
      <c r="G48">
        <v>0.92951629518357892</v>
      </c>
      <c r="H48">
        <v>29</v>
      </c>
      <c r="I48">
        <v>13</v>
      </c>
      <c r="J48">
        <v>1.3085551751870024</v>
      </c>
      <c r="K48">
        <v>511304899.02175021</v>
      </c>
      <c r="L48">
        <v>54541500</v>
      </c>
      <c r="M48">
        <v>79715591.461737663</v>
      </c>
      <c r="N48">
        <v>149701000</v>
      </c>
      <c r="O48">
        <v>15897656.639999999</v>
      </c>
      <c r="P48">
        <v>211.981582</v>
      </c>
      <c r="Q48">
        <v>-0.34420204023491202</v>
      </c>
      <c r="R48">
        <v>43.640551000000002</v>
      </c>
      <c r="S48">
        <v>780.29352500000005</v>
      </c>
      <c r="T48">
        <v>8.0185468599999995E-12</v>
      </c>
      <c r="U48">
        <v>19.259370914155522</v>
      </c>
      <c r="V48">
        <v>100.934</v>
      </c>
      <c r="W48">
        <v>-238.28285987494718</v>
      </c>
      <c r="X48">
        <v>62.812230399999997</v>
      </c>
      <c r="Y48">
        <v>92.315188500000005</v>
      </c>
      <c r="Z48">
        <v>203.285</v>
      </c>
      <c r="AA48">
        <v>230.64575500000001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 s="27">
        <f>SUM(AB48:AN48)+Q48</f>
        <v>-0.34420204023491202</v>
      </c>
    </row>
    <row r="49" spans="1:41">
      <c r="A49">
        <v>916.72427325626848</v>
      </c>
      <c r="B49">
        <v>27</v>
      </c>
      <c r="C49">
        <v>18</v>
      </c>
      <c r="D49">
        <v>13.029837089177093</v>
      </c>
      <c r="E49">
        <v>16</v>
      </c>
      <c r="F49">
        <v>13</v>
      </c>
      <c r="G49">
        <v>0.61012649130508101</v>
      </c>
      <c r="H49">
        <v>21</v>
      </c>
      <c r="I49">
        <v>13</v>
      </c>
      <c r="J49">
        <v>1.1295833227577705</v>
      </c>
      <c r="K49">
        <v>510389408.13569504</v>
      </c>
      <c r="L49">
        <v>54430100</v>
      </c>
      <c r="M49">
        <v>79681535.12131615</v>
      </c>
      <c r="N49">
        <v>147999000</v>
      </c>
      <c r="O49">
        <v>15897291.359999999</v>
      </c>
      <c r="P49">
        <v>211.32479699999999</v>
      </c>
      <c r="Q49">
        <v>-0.31498683344077277</v>
      </c>
      <c r="R49">
        <v>43.483880900000003</v>
      </c>
      <c r="S49">
        <v>779.66484400000002</v>
      </c>
      <c r="T49">
        <v>4.5577687400000005E-13</v>
      </c>
      <c r="U49">
        <v>18.838149587155403</v>
      </c>
      <c r="V49">
        <v>91.850000000000009</v>
      </c>
      <c r="W49">
        <v>-241.40078707411161</v>
      </c>
      <c r="X49">
        <v>62.856459299999997</v>
      </c>
      <c r="Y49">
        <v>92.460993700000003</v>
      </c>
      <c r="Z49">
        <v>121.52199999999999</v>
      </c>
      <c r="AA49">
        <v>229.60847799999999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 s="27">
        <f>SUM(AB49:AN49)+Q49</f>
        <v>-0.31498683344077277</v>
      </c>
    </row>
    <row r="50" spans="1:41">
      <c r="A50">
        <v>953.29890318905711</v>
      </c>
      <c r="B50">
        <v>39</v>
      </c>
      <c r="C50">
        <v>11</v>
      </c>
      <c r="D50">
        <v>14.612110310621789</v>
      </c>
      <c r="E50">
        <v>24</v>
      </c>
      <c r="F50">
        <v>7</v>
      </c>
      <c r="G50">
        <v>0.40351707889096755</v>
      </c>
      <c r="H50">
        <v>20</v>
      </c>
      <c r="I50">
        <v>10</v>
      </c>
      <c r="J50">
        <v>0.66573655922210295</v>
      </c>
      <c r="K50">
        <v>511703472.26306766</v>
      </c>
      <c r="L50">
        <v>54553200</v>
      </c>
      <c r="M50">
        <v>79725079.227498546</v>
      </c>
      <c r="N50">
        <v>150274000</v>
      </c>
      <c r="O50">
        <v>15903759.200000001</v>
      </c>
      <c r="P50">
        <v>212.60515899999999</v>
      </c>
      <c r="Q50">
        <v>-0.35357415234335754</v>
      </c>
      <c r="R50">
        <v>43.6508343</v>
      </c>
      <c r="S50">
        <v>779.87393599999996</v>
      </c>
      <c r="T50">
        <v>4.8607260600000003E-11</v>
      </c>
      <c r="U50">
        <v>19.520226030623196</v>
      </c>
      <c r="V50">
        <v>100.934</v>
      </c>
      <c r="W50">
        <v>-237.5606522794495</v>
      </c>
      <c r="X50">
        <v>62.800667300000001</v>
      </c>
      <c r="Y50">
        <v>92.072695600000003</v>
      </c>
      <c r="Z50">
        <v>180.98100000000002</v>
      </c>
      <c r="AA50">
        <v>232.439187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s="27">
        <f>SUM(AB50:AN50)+Q50</f>
        <v>-0.35357415234335754</v>
      </c>
    </row>
    <row r="51" spans="1:41">
      <c r="A51">
        <v>945.14450206491688</v>
      </c>
      <c r="B51">
        <v>27</v>
      </c>
      <c r="C51">
        <v>15</v>
      </c>
      <c r="D51">
        <v>12.973228614712433</v>
      </c>
      <c r="E51">
        <v>21</v>
      </c>
      <c r="F51">
        <v>10</v>
      </c>
      <c r="G51">
        <v>0.71241745358321262</v>
      </c>
      <c r="H51">
        <v>21</v>
      </c>
      <c r="I51">
        <v>11</v>
      </c>
      <c r="J51">
        <v>1.3374004071077368</v>
      </c>
      <c r="K51">
        <v>510779271.10850835</v>
      </c>
      <c r="L51">
        <v>54504400</v>
      </c>
      <c r="M51">
        <v>79714093.505879313</v>
      </c>
      <c r="N51">
        <v>149693000</v>
      </c>
      <c r="O51">
        <v>15897815.439999999</v>
      </c>
      <c r="P51">
        <v>212.02574100000001</v>
      </c>
      <c r="Q51">
        <v>-0.3464191431471832</v>
      </c>
      <c r="R51">
        <v>43.631019299999998</v>
      </c>
      <c r="S51">
        <v>779.93162800000005</v>
      </c>
      <c r="T51">
        <v>2.7200313500000001E-14</v>
      </c>
      <c r="U51">
        <v>19.222745549014778</v>
      </c>
      <c r="V51">
        <v>100.934</v>
      </c>
      <c r="W51">
        <v>-238.46048533245315</v>
      </c>
      <c r="X51">
        <v>62.814514299999999</v>
      </c>
      <c r="Y51">
        <v>92.427430999999999</v>
      </c>
      <c r="Z51">
        <v>177.97</v>
      </c>
      <c r="AA51">
        <v>231.28583499999999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s="27">
        <f>SUM(AB51:AN51)+Q51</f>
        <v>-0.3464191431471832</v>
      </c>
    </row>
    <row r="52" spans="1:41">
      <c r="A52">
        <v>917.33596372784802</v>
      </c>
      <c r="B52">
        <v>35</v>
      </c>
      <c r="C52">
        <v>14</v>
      </c>
      <c r="D52">
        <v>1.7281282706603678</v>
      </c>
      <c r="E52">
        <v>20</v>
      </c>
      <c r="F52">
        <v>8</v>
      </c>
      <c r="G52">
        <v>1.120529044112597</v>
      </c>
      <c r="H52">
        <v>16</v>
      </c>
      <c r="I52">
        <v>9</v>
      </c>
      <c r="J52">
        <v>1.143990877362836</v>
      </c>
      <c r="K52">
        <v>508752869.12183285</v>
      </c>
      <c r="L52">
        <v>54430700</v>
      </c>
      <c r="M52">
        <v>79682834.471094206</v>
      </c>
      <c r="N52">
        <v>148244000</v>
      </c>
      <c r="O52">
        <v>15891578.32</v>
      </c>
      <c r="P52">
        <v>209.87348800000001</v>
      </c>
      <c r="Q52">
        <v>-0.32759910259851754</v>
      </c>
      <c r="R52">
        <v>43.627780700000002</v>
      </c>
      <c r="S52">
        <v>780.41425700000002</v>
      </c>
      <c r="T52">
        <v>7.6132920399999996E-13</v>
      </c>
      <c r="U52">
        <v>19.223869457529819</v>
      </c>
      <c r="V52">
        <v>91.850000000000009</v>
      </c>
      <c r="W52">
        <v>-228.24206582880674</v>
      </c>
      <c r="X52">
        <v>62.878375900000002</v>
      </c>
      <c r="Y52">
        <v>93.338806000000005</v>
      </c>
      <c r="Z52">
        <v>180.98100000000002</v>
      </c>
      <c r="AA52">
        <v>231.86417499999999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 s="27">
        <f>SUM(AB52:AN52)+Q52</f>
        <v>-0.32759910259851754</v>
      </c>
    </row>
    <row r="53" spans="1:41">
      <c r="A53">
        <v>952.87618345394992</v>
      </c>
      <c r="B53">
        <v>31</v>
      </c>
      <c r="C53">
        <v>13</v>
      </c>
      <c r="D53">
        <v>2.4930384383678668</v>
      </c>
      <c r="E53">
        <v>29</v>
      </c>
      <c r="F53">
        <v>8</v>
      </c>
      <c r="G53">
        <v>1.1678770821761635</v>
      </c>
      <c r="H53">
        <v>23</v>
      </c>
      <c r="I53">
        <v>7</v>
      </c>
      <c r="J53">
        <v>0.99832355017374663</v>
      </c>
      <c r="K53">
        <v>509570820.61265266</v>
      </c>
      <c r="L53">
        <v>54505200</v>
      </c>
      <c r="M53">
        <v>79724379.934422314</v>
      </c>
      <c r="N53">
        <v>149955000</v>
      </c>
      <c r="O53">
        <v>15897005.76</v>
      </c>
      <c r="P53">
        <v>212.280293</v>
      </c>
      <c r="Q53">
        <v>-0.35529988677449265</v>
      </c>
      <c r="R53">
        <v>43.637471699999999</v>
      </c>
      <c r="S53">
        <v>780.84307699999999</v>
      </c>
      <c r="T53">
        <v>5.3259463499999999E-13</v>
      </c>
      <c r="U53">
        <v>19.211018128580211</v>
      </c>
      <c r="V53">
        <v>100.934</v>
      </c>
      <c r="W53">
        <v>-236.60092728145227</v>
      </c>
      <c r="X53">
        <v>62.807755399999998</v>
      </c>
      <c r="Y53">
        <v>92.838385599999995</v>
      </c>
      <c r="Z53">
        <v>203.285</v>
      </c>
      <c r="AA53">
        <v>231.41581199999999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 s="27">
        <f>SUM(AB53:AN53)+Q53</f>
        <v>-0.35529988677449265</v>
      </c>
    </row>
    <row r="54" spans="1:41">
      <c r="A54">
        <v>930.45650039005</v>
      </c>
      <c r="B54">
        <v>39</v>
      </c>
      <c r="C54">
        <v>14</v>
      </c>
      <c r="D54">
        <v>14.583756073436584</v>
      </c>
      <c r="E54">
        <v>29</v>
      </c>
      <c r="F54">
        <v>14</v>
      </c>
      <c r="G54">
        <v>0.67526640767583723</v>
      </c>
      <c r="H54">
        <v>19</v>
      </c>
      <c r="I54">
        <v>8</v>
      </c>
      <c r="J54">
        <v>0.61610546743786454</v>
      </c>
      <c r="K54">
        <v>508753898.28719068</v>
      </c>
      <c r="L54">
        <v>54505200</v>
      </c>
      <c r="M54">
        <v>79724416.137300789</v>
      </c>
      <c r="N54">
        <v>149955000</v>
      </c>
      <c r="O54">
        <v>15893132.640000001</v>
      </c>
      <c r="P54">
        <v>211.06837200000001</v>
      </c>
      <c r="Q54">
        <v>-0.35996741357864753</v>
      </c>
      <c r="R54">
        <v>43.635570600000001</v>
      </c>
      <c r="S54">
        <v>779.95090600000003</v>
      </c>
      <c r="T54">
        <v>7.61994037E-18</v>
      </c>
      <c r="U54">
        <v>19.169733001600353</v>
      </c>
      <c r="V54">
        <v>100.934</v>
      </c>
      <c r="W54">
        <v>-237.98187057616403</v>
      </c>
      <c r="X54">
        <v>62.833817699999997</v>
      </c>
      <c r="Y54">
        <v>92.077055700000003</v>
      </c>
      <c r="Z54">
        <v>180.98100000000002</v>
      </c>
      <c r="AA54">
        <v>232.40746200000001</v>
      </c>
      <c r="AB54">
        <v>100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s="27">
        <f>SUM(AB54:AN54)+Q54</f>
        <v>99.640032586421356</v>
      </c>
    </row>
    <row r="55" spans="1:41">
      <c r="A55">
        <v>941.47043832232157</v>
      </c>
      <c r="B55">
        <v>37</v>
      </c>
      <c r="C55">
        <v>19</v>
      </c>
      <c r="D55">
        <v>14.286999534770567</v>
      </c>
      <c r="E55">
        <v>28</v>
      </c>
      <c r="F55">
        <v>5</v>
      </c>
      <c r="G55">
        <v>0.79118684316715404</v>
      </c>
      <c r="H55">
        <v>14</v>
      </c>
      <c r="I55">
        <v>10</v>
      </c>
      <c r="J55">
        <v>0.70071091155956888</v>
      </c>
      <c r="K55">
        <v>509164186.21807909</v>
      </c>
      <c r="L55">
        <v>54505200</v>
      </c>
      <c r="M55">
        <v>79724397.990664437</v>
      </c>
      <c r="N55">
        <v>149955000</v>
      </c>
      <c r="O55">
        <v>15898212.799999999</v>
      </c>
      <c r="P55">
        <v>211.85781499999999</v>
      </c>
      <c r="Q55">
        <v>-0.35731138784019228</v>
      </c>
      <c r="R55">
        <v>43.649054399999997</v>
      </c>
      <c r="S55">
        <v>780.13960900000006</v>
      </c>
      <c r="T55">
        <v>8.3467954800000003E-10</v>
      </c>
      <c r="U55">
        <v>19.39776815495501</v>
      </c>
      <c r="V55">
        <v>100.934</v>
      </c>
      <c r="W55">
        <v>-238.10002915494007</v>
      </c>
      <c r="X55">
        <v>62.827805599999998</v>
      </c>
      <c r="Y55">
        <v>92.140251199999994</v>
      </c>
      <c r="Z55">
        <v>203.285</v>
      </c>
      <c r="AA55">
        <v>233.53452899999999</v>
      </c>
      <c r="AB55">
        <v>100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s="27">
        <f>SUM(AB55:AN55)+Q55</f>
        <v>99.642688612159802</v>
      </c>
    </row>
    <row r="56" spans="1:41">
      <c r="A56">
        <v>955.83158312884757</v>
      </c>
      <c r="B56">
        <v>33</v>
      </c>
      <c r="C56">
        <v>19</v>
      </c>
      <c r="D56">
        <v>7.9021875614560679</v>
      </c>
      <c r="E56">
        <v>29</v>
      </c>
      <c r="F56">
        <v>13</v>
      </c>
      <c r="G56">
        <v>1.0894842806491478</v>
      </c>
      <c r="H56">
        <v>13</v>
      </c>
      <c r="I56">
        <v>10</v>
      </c>
      <c r="J56">
        <v>1.0814351053329283</v>
      </c>
      <c r="K56">
        <v>504261600.73254538</v>
      </c>
      <c r="L56">
        <v>54505200</v>
      </c>
      <c r="M56">
        <v>79724502.445069894</v>
      </c>
      <c r="N56">
        <v>149955000</v>
      </c>
      <c r="O56">
        <v>16380165.199999999</v>
      </c>
      <c r="P56">
        <v>204.64585</v>
      </c>
      <c r="Q56">
        <v>-0.38616641909073945</v>
      </c>
      <c r="R56">
        <v>43.641052199999997</v>
      </c>
      <c r="S56">
        <v>780.98212100000001</v>
      </c>
      <c r="T56">
        <v>1.3876539E-17</v>
      </c>
      <c r="U56">
        <v>19.133709321842758</v>
      </c>
      <c r="V56">
        <v>100.934</v>
      </c>
      <c r="W56">
        <v>-237.93920212168561</v>
      </c>
      <c r="X56">
        <v>62.920673499999999</v>
      </c>
      <c r="Y56">
        <v>92.402309200000005</v>
      </c>
      <c r="Z56">
        <v>203.285</v>
      </c>
      <c r="AA56">
        <v>232.96091799999999</v>
      </c>
      <c r="AB56">
        <v>100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 s="27">
        <f>SUM(AB56:AN56)+Q56</f>
        <v>99.613833580909258</v>
      </c>
    </row>
    <row r="57" spans="1:41">
      <c r="A57">
        <v>910.53337425240431</v>
      </c>
      <c r="B57">
        <v>32</v>
      </c>
      <c r="C57">
        <v>18</v>
      </c>
      <c r="D57">
        <v>9.8064647389563948</v>
      </c>
      <c r="E57">
        <v>27</v>
      </c>
      <c r="F57">
        <v>8</v>
      </c>
      <c r="G57">
        <v>0.5594049550230773</v>
      </c>
      <c r="H57">
        <v>24</v>
      </c>
      <c r="I57">
        <v>7</v>
      </c>
      <c r="J57">
        <v>0.58520771496231661</v>
      </c>
      <c r="K57">
        <v>510101497.26136458</v>
      </c>
      <c r="L57">
        <v>54460900</v>
      </c>
      <c r="M57">
        <v>79675145.220197648</v>
      </c>
      <c r="N57">
        <v>148157000</v>
      </c>
      <c r="O57">
        <v>15894223.200000001</v>
      </c>
      <c r="P57">
        <v>209.697013</v>
      </c>
      <c r="Q57">
        <v>-0.32104168555849111</v>
      </c>
      <c r="R57">
        <v>43.642747900000003</v>
      </c>
      <c r="S57">
        <v>779.81504999999993</v>
      </c>
      <c r="T57">
        <v>2.7002767799999999E-12</v>
      </c>
      <c r="U57">
        <v>19.318127624405516</v>
      </c>
      <c r="V57">
        <v>100.934</v>
      </c>
      <c r="W57">
        <v>-237.66298772099341</v>
      </c>
      <c r="X57">
        <v>62.8621585</v>
      </c>
      <c r="Y57">
        <v>92.356553399999996</v>
      </c>
      <c r="Z57">
        <v>180.98100000000002</v>
      </c>
      <c r="AA57">
        <v>232.46970099999999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s="27">
        <f>SUM(AB57:AN57)+Q57</f>
        <v>-0.32104168555849111</v>
      </c>
    </row>
    <row r="58" spans="1:41">
      <c r="A58">
        <v>937.12690187608018</v>
      </c>
      <c r="B58">
        <v>36</v>
      </c>
      <c r="C58">
        <v>16</v>
      </c>
      <c r="D58">
        <v>11.166118505217039</v>
      </c>
      <c r="E58">
        <v>24</v>
      </c>
      <c r="F58">
        <v>8</v>
      </c>
      <c r="G58">
        <v>0.72864752022659307</v>
      </c>
      <c r="H58">
        <v>20</v>
      </c>
      <c r="I58">
        <v>14</v>
      </c>
      <c r="J58">
        <v>0.53521241993957358</v>
      </c>
      <c r="K58">
        <v>510427712.34022176</v>
      </c>
      <c r="L58">
        <v>54502600</v>
      </c>
      <c r="M58">
        <v>79703807.163210794</v>
      </c>
      <c r="N58">
        <v>149354000</v>
      </c>
      <c r="O58">
        <v>15892636.24</v>
      </c>
      <c r="P58">
        <v>211.40995599999999</v>
      </c>
      <c r="Q58">
        <v>-0.34151616473205776</v>
      </c>
      <c r="R58">
        <v>43.640133300000002</v>
      </c>
      <c r="S58">
        <v>780.032963</v>
      </c>
      <c r="T58">
        <v>1.49988531E-12</v>
      </c>
      <c r="U58">
        <v>19.25659163584681</v>
      </c>
      <c r="V58">
        <v>100.934</v>
      </c>
      <c r="W58">
        <v>-238.05340398288635</v>
      </c>
      <c r="X58">
        <v>62.831613599999997</v>
      </c>
      <c r="Y58">
        <v>92.206491299999996</v>
      </c>
      <c r="Z58">
        <v>180.98100000000002</v>
      </c>
      <c r="AA58">
        <v>233.204466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 s="27">
        <f>SUM(AB58:AN58)+Q58</f>
        <v>-0.34151616473205776</v>
      </c>
    </row>
    <row r="59" spans="1:41">
      <c r="A59">
        <v>949.79456178348232</v>
      </c>
      <c r="B59">
        <v>36</v>
      </c>
      <c r="C59">
        <v>16</v>
      </c>
      <c r="D59">
        <v>6.5143627635662398</v>
      </c>
      <c r="E59">
        <v>11</v>
      </c>
      <c r="F59">
        <v>6</v>
      </c>
      <c r="G59">
        <v>1.1268602682195423</v>
      </c>
      <c r="H59">
        <v>19</v>
      </c>
      <c r="I59">
        <v>14</v>
      </c>
      <c r="J59">
        <v>0.82136883873545918</v>
      </c>
      <c r="K59">
        <v>509846428.59640372</v>
      </c>
      <c r="L59">
        <v>54498300</v>
      </c>
      <c r="M59">
        <v>79720085.349240541</v>
      </c>
      <c r="N59">
        <v>149932000</v>
      </c>
      <c r="O59">
        <v>15897256.799999999</v>
      </c>
      <c r="P59">
        <v>212.67742200000001</v>
      </c>
      <c r="Q59">
        <v>-0.35342254288937069</v>
      </c>
      <c r="R59">
        <v>43.6007988</v>
      </c>
      <c r="S59">
        <v>779.86997300000007</v>
      </c>
      <c r="T59">
        <v>8.4058550799999996E-11</v>
      </c>
      <c r="U59">
        <v>19.273450934396291</v>
      </c>
      <c r="V59">
        <v>100.934</v>
      </c>
      <c r="W59">
        <v>-239.60614604730088</v>
      </c>
      <c r="X59">
        <v>62.813203999999999</v>
      </c>
      <c r="Y59">
        <v>92.333804499999999</v>
      </c>
      <c r="Z59">
        <v>144.29</v>
      </c>
      <c r="AA59">
        <v>231.98212000000001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s="27">
        <f>SUM(AB59:AN59)+Q59</f>
        <v>-0.35342254288937069</v>
      </c>
    </row>
    <row r="60" spans="1:41">
      <c r="A60">
        <v>944.27830829773461</v>
      </c>
      <c r="B60">
        <v>31</v>
      </c>
      <c r="C60">
        <v>12</v>
      </c>
      <c r="D60">
        <v>13.738208133881146</v>
      </c>
      <c r="E60">
        <v>26</v>
      </c>
      <c r="F60">
        <v>8</v>
      </c>
      <c r="G60">
        <v>0.79384108328709502</v>
      </c>
      <c r="H60">
        <v>22</v>
      </c>
      <c r="I60">
        <v>9</v>
      </c>
      <c r="J60">
        <v>1.253012730572133</v>
      </c>
      <c r="K60">
        <v>511201454.0452795</v>
      </c>
      <c r="L60">
        <v>54509500</v>
      </c>
      <c r="M60">
        <v>79712895.008888379</v>
      </c>
      <c r="N60">
        <v>149617000</v>
      </c>
      <c r="O60">
        <v>15897716.560000001</v>
      </c>
      <c r="P60">
        <v>211.85218399999999</v>
      </c>
      <c r="Q60">
        <v>-0.3436602355699368</v>
      </c>
      <c r="R60">
        <v>43.639677800000001</v>
      </c>
      <c r="S60">
        <v>780.21595300000001</v>
      </c>
      <c r="T60">
        <v>1.2091585100000001E-12</v>
      </c>
      <c r="U60">
        <v>19.246704858854425</v>
      </c>
      <c r="V60">
        <v>100.934</v>
      </c>
      <c r="W60">
        <v>-238.05267075672623</v>
      </c>
      <c r="X60">
        <v>62.815801999999998</v>
      </c>
      <c r="Y60">
        <v>92.300016600000006</v>
      </c>
      <c r="Z60">
        <v>203.285</v>
      </c>
      <c r="AA60">
        <v>231.25797499999999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s="27">
        <f>SUM(AB60:AN60)+Q60</f>
        <v>-0.3436602355699368</v>
      </c>
    </row>
    <row r="61" spans="1:41">
      <c r="A61">
        <v>936.63843405415003</v>
      </c>
      <c r="B61">
        <v>38</v>
      </c>
      <c r="C61">
        <v>15</v>
      </c>
      <c r="D61">
        <v>13.740135653183865</v>
      </c>
      <c r="E61">
        <v>27</v>
      </c>
      <c r="F61">
        <v>9</v>
      </c>
      <c r="G61">
        <v>0.34940357389247212</v>
      </c>
      <c r="H61">
        <v>26</v>
      </c>
      <c r="I61">
        <v>12</v>
      </c>
      <c r="J61">
        <v>0.50781105569845908</v>
      </c>
      <c r="K61">
        <v>511026069.43296039</v>
      </c>
      <c r="L61">
        <v>54506800</v>
      </c>
      <c r="M61">
        <v>79703208.02298294</v>
      </c>
      <c r="N61">
        <v>149401000</v>
      </c>
      <c r="O61">
        <v>15893041.92</v>
      </c>
      <c r="P61">
        <v>211.34163899999999</v>
      </c>
      <c r="Q61">
        <v>-0.34059853847453953</v>
      </c>
      <c r="R61">
        <v>43.652612900000001</v>
      </c>
      <c r="S61">
        <v>779.77390000000003</v>
      </c>
      <c r="T61">
        <v>1.6072067200000001E-12</v>
      </c>
      <c r="U61">
        <v>19.531331634170783</v>
      </c>
      <c r="V61">
        <v>100.934</v>
      </c>
      <c r="W61">
        <v>-237.54737008428054</v>
      </c>
      <c r="X61">
        <v>62.827261900000003</v>
      </c>
      <c r="Y61">
        <v>92.110143399999998</v>
      </c>
      <c r="Z61">
        <v>180.98100000000002</v>
      </c>
      <c r="AA61">
        <v>232.699714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s="27">
        <f>SUM(AB61:AN61)+Q61</f>
        <v>-0.34059853847453953</v>
      </c>
    </row>
    <row r="62" spans="1:41">
      <c r="A62">
        <v>940.39582709486797</v>
      </c>
      <c r="B62">
        <v>31</v>
      </c>
      <c r="C62">
        <v>18</v>
      </c>
      <c r="D62">
        <v>2.5993400224429175</v>
      </c>
      <c r="E62">
        <v>13</v>
      </c>
      <c r="F62">
        <v>8</v>
      </c>
      <c r="G62">
        <v>1.1901620529891406</v>
      </c>
      <c r="H62">
        <v>11</v>
      </c>
      <c r="I62">
        <v>7</v>
      </c>
      <c r="J62">
        <v>0.93407972077010659</v>
      </c>
      <c r="K62">
        <v>508406075.29335904</v>
      </c>
      <c r="L62">
        <v>54452000</v>
      </c>
      <c r="M62">
        <v>79707901.664572492</v>
      </c>
      <c r="N62">
        <v>149419000</v>
      </c>
      <c r="O62">
        <v>15889827.520000001</v>
      </c>
      <c r="P62">
        <v>211.815089</v>
      </c>
      <c r="Q62">
        <v>-0.34975135209225999</v>
      </c>
      <c r="R62">
        <v>43.6064486</v>
      </c>
      <c r="S62">
        <v>779.96320200000002</v>
      </c>
      <c r="T62">
        <v>1.1337186400000001E-12</v>
      </c>
      <c r="U62">
        <v>19.188756818291498</v>
      </c>
      <c r="V62">
        <v>91.850000000000009</v>
      </c>
      <c r="W62">
        <v>-240.58879943219384</v>
      </c>
      <c r="X62">
        <v>62.833250100000001</v>
      </c>
      <c r="Y62">
        <v>92.823132900000004</v>
      </c>
      <c r="Z62">
        <v>144.29</v>
      </c>
      <c r="AA62">
        <v>232.747793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 s="27">
        <f>SUM(AB62:AN62)+Q62</f>
        <v>-0.34975135209225999</v>
      </c>
    </row>
    <row r="63" spans="1:41">
      <c r="A63">
        <v>957.72405235930876</v>
      </c>
      <c r="B63">
        <v>32</v>
      </c>
      <c r="C63">
        <v>19</v>
      </c>
      <c r="D63">
        <v>8.2453462275065217</v>
      </c>
      <c r="E63">
        <v>13</v>
      </c>
      <c r="F63">
        <v>9</v>
      </c>
      <c r="G63">
        <v>1.1520630015742805</v>
      </c>
      <c r="H63">
        <v>17</v>
      </c>
      <c r="I63">
        <v>14</v>
      </c>
      <c r="J63">
        <v>1.2094300547468826</v>
      </c>
      <c r="K63">
        <v>503621242.98217916</v>
      </c>
      <c r="L63">
        <v>54452000</v>
      </c>
      <c r="M63">
        <v>79708002.362277016</v>
      </c>
      <c r="N63">
        <v>149419000</v>
      </c>
      <c r="O63">
        <v>16380176.960000001</v>
      </c>
      <c r="P63">
        <v>205.09731600000001</v>
      </c>
      <c r="Q63">
        <v>-0.37704453238636082</v>
      </c>
      <c r="R63">
        <v>43.585531500000002</v>
      </c>
      <c r="S63">
        <v>780.05878199999995</v>
      </c>
      <c r="T63">
        <v>1.6014172199999999E-13</v>
      </c>
      <c r="U63">
        <v>19.114446383218151</v>
      </c>
      <c r="V63">
        <v>100.934</v>
      </c>
      <c r="W63">
        <v>-238.54689798608402</v>
      </c>
      <c r="X63">
        <v>62.9060372</v>
      </c>
      <c r="Y63">
        <v>92.410756500000005</v>
      </c>
      <c r="Z63">
        <v>144.29</v>
      </c>
      <c r="AA63">
        <v>231.092862</v>
      </c>
      <c r="AB63">
        <v>100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s="27">
        <f>SUM(AB63:AN63)+Q63</f>
        <v>99.622955467613636</v>
      </c>
    </row>
    <row r="64" spans="1:41">
      <c r="A64">
        <v>940.09993512700316</v>
      </c>
      <c r="B64">
        <v>27</v>
      </c>
      <c r="C64">
        <v>19</v>
      </c>
      <c r="D64">
        <v>1.8318997448355105</v>
      </c>
      <c r="E64">
        <v>24</v>
      </c>
      <c r="F64">
        <v>14</v>
      </c>
      <c r="G64">
        <v>0.86088697738083497</v>
      </c>
      <c r="H64">
        <v>19</v>
      </c>
      <c r="I64">
        <v>13</v>
      </c>
      <c r="J64">
        <v>1.3680692694103076</v>
      </c>
      <c r="K64">
        <v>508588243.6568017</v>
      </c>
      <c r="L64">
        <v>54450900</v>
      </c>
      <c r="M64">
        <v>79707402.112229243</v>
      </c>
      <c r="N64">
        <v>149048000</v>
      </c>
      <c r="O64">
        <v>15889151.359999999</v>
      </c>
      <c r="P64">
        <v>210.71001799999999</v>
      </c>
      <c r="Q64">
        <v>-0.34324938113836645</v>
      </c>
      <c r="R64">
        <v>43.649508599999997</v>
      </c>
      <c r="S64">
        <v>779.97770000000003</v>
      </c>
      <c r="T64">
        <v>1.7388085399999999E-10</v>
      </c>
      <c r="U64">
        <v>19.222081431851969</v>
      </c>
      <c r="V64">
        <v>80.72</v>
      </c>
      <c r="W64">
        <v>-246.21197163419612</v>
      </c>
      <c r="X64">
        <v>62.822887399999999</v>
      </c>
      <c r="Y64">
        <v>93.144379400000005</v>
      </c>
      <c r="Z64">
        <v>177.97</v>
      </c>
      <c r="AA64">
        <v>231.34760800000001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s="27">
        <f>SUM(AB64:AN64)+Q64</f>
        <v>-0.34324938113836645</v>
      </c>
    </row>
    <row r="65" spans="1:41">
      <c r="A65">
        <v>913.28014060911073</v>
      </c>
      <c r="B65">
        <v>32</v>
      </c>
      <c r="C65">
        <v>12</v>
      </c>
      <c r="D65">
        <v>14.119885627650122</v>
      </c>
      <c r="E65">
        <v>18</v>
      </c>
      <c r="F65">
        <v>11</v>
      </c>
      <c r="G65">
        <v>0.90940081932233041</v>
      </c>
      <c r="H65">
        <v>24</v>
      </c>
      <c r="I65">
        <v>7</v>
      </c>
      <c r="J65">
        <v>0.74090260032382105</v>
      </c>
      <c r="K65">
        <v>510649570.61874413</v>
      </c>
      <c r="L65">
        <v>54460900</v>
      </c>
      <c r="M65">
        <v>79678140.814096555</v>
      </c>
      <c r="N65">
        <v>148162000</v>
      </c>
      <c r="O65">
        <v>15897024.560000001</v>
      </c>
      <c r="P65">
        <v>209.98627099999999</v>
      </c>
      <c r="Q65">
        <v>-0.31893271638601661</v>
      </c>
      <c r="R65">
        <v>43.618356400000003</v>
      </c>
      <c r="S65">
        <v>780.00832400000002</v>
      </c>
      <c r="T65">
        <v>2.69164934E-15</v>
      </c>
      <c r="U65">
        <v>19.155265480038487</v>
      </c>
      <c r="V65">
        <v>100.934</v>
      </c>
      <c r="W65">
        <v>-238.70753776938045</v>
      </c>
      <c r="X65">
        <v>62.859143699999997</v>
      </c>
      <c r="Y65">
        <v>92.2862279</v>
      </c>
      <c r="Z65">
        <v>165.7</v>
      </c>
      <c r="AA65">
        <v>231.74265600000001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 s="27">
        <f>SUM(AB65:AN65)+Q65</f>
        <v>-0.31893271638601661</v>
      </c>
    </row>
    <row r="66" spans="1:41">
      <c r="A66">
        <v>911.68629271900909</v>
      </c>
      <c r="B66">
        <v>37</v>
      </c>
      <c r="C66">
        <v>16</v>
      </c>
      <c r="D66">
        <v>9.7612538888884846</v>
      </c>
      <c r="E66">
        <v>20</v>
      </c>
      <c r="F66">
        <v>13</v>
      </c>
      <c r="G66">
        <v>0.46432258721066866</v>
      </c>
      <c r="H66">
        <v>19</v>
      </c>
      <c r="I66">
        <v>7</v>
      </c>
      <c r="J66">
        <v>1.1881896175163322</v>
      </c>
      <c r="K66">
        <v>509872528.51530933</v>
      </c>
      <c r="L66">
        <v>54443700</v>
      </c>
      <c r="M66">
        <v>79676143.163934961</v>
      </c>
      <c r="N66">
        <v>148110000</v>
      </c>
      <c r="O66">
        <v>15894382.4</v>
      </c>
      <c r="P66">
        <v>210.235365</v>
      </c>
      <c r="Q66">
        <v>-0.320333221620556</v>
      </c>
      <c r="R66">
        <v>43.589464999999997</v>
      </c>
      <c r="S66">
        <v>779.38705900000002</v>
      </c>
      <c r="T66">
        <v>3.3421368100000001E-16</v>
      </c>
      <c r="U66">
        <v>19.213721131069008</v>
      </c>
      <c r="V66">
        <v>100.934</v>
      </c>
      <c r="W66">
        <v>-239.55586288723001</v>
      </c>
      <c r="X66">
        <v>62.861811000000003</v>
      </c>
      <c r="Y66">
        <v>92.221078399999996</v>
      </c>
      <c r="Z66">
        <v>165.7</v>
      </c>
      <c r="AA66">
        <v>231.19528800000001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 s="27">
        <f>SUM(AB66:AN66)+Q66</f>
        <v>-0.320333221620556</v>
      </c>
    </row>
    <row r="67" spans="1:41">
      <c r="A67">
        <v>953.84575121201897</v>
      </c>
      <c r="B67">
        <v>38</v>
      </c>
      <c r="C67">
        <v>13</v>
      </c>
      <c r="D67">
        <v>12.810495270627865</v>
      </c>
      <c r="E67">
        <v>24</v>
      </c>
      <c r="F67">
        <v>9</v>
      </c>
      <c r="G67">
        <v>0.45676963992764685</v>
      </c>
      <c r="H67">
        <v>16</v>
      </c>
      <c r="I67">
        <v>8</v>
      </c>
      <c r="J67">
        <v>0.49622529804220916</v>
      </c>
      <c r="K67">
        <v>511117266.78494722</v>
      </c>
      <c r="L67">
        <v>54532600</v>
      </c>
      <c r="M67">
        <v>79722283.399807364</v>
      </c>
      <c r="N67">
        <v>150200000</v>
      </c>
      <c r="O67">
        <v>15920677.76</v>
      </c>
      <c r="P67">
        <v>212.52113900000001</v>
      </c>
      <c r="Q67">
        <v>-0.35447726298013199</v>
      </c>
      <c r="R67">
        <v>43.641637600000003</v>
      </c>
      <c r="S67">
        <v>779.70336599999996</v>
      </c>
      <c r="T67">
        <v>6.4376472000000003E-13</v>
      </c>
      <c r="U67">
        <v>19.378297301395587</v>
      </c>
      <c r="V67">
        <v>100.934</v>
      </c>
      <c r="W67">
        <v>-237.72099614391914</v>
      </c>
      <c r="X67">
        <v>62.8041275</v>
      </c>
      <c r="Y67">
        <v>92.116135</v>
      </c>
      <c r="Z67">
        <v>180.98100000000002</v>
      </c>
      <c r="AA67">
        <v>233.488855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 s="27">
        <f>SUM(AB67:AN67)+Q67</f>
        <v>-0.35447726298013199</v>
      </c>
    </row>
    <row r="68" spans="1:41">
      <c r="A68">
        <v>913.84261928695264</v>
      </c>
      <c r="B68">
        <v>28</v>
      </c>
      <c r="C68">
        <v>16</v>
      </c>
      <c r="D68">
        <v>11.921207354608075</v>
      </c>
      <c r="E68">
        <v>24</v>
      </c>
      <c r="F68">
        <v>11</v>
      </c>
      <c r="G68">
        <v>0.43202460710804413</v>
      </c>
      <c r="H68">
        <v>11</v>
      </c>
      <c r="I68">
        <v>8</v>
      </c>
      <c r="J68">
        <v>0.93000379463998351</v>
      </c>
      <c r="K68">
        <v>509798815.07990485</v>
      </c>
      <c r="L68">
        <v>54429600</v>
      </c>
      <c r="M68">
        <v>79678840.02088742</v>
      </c>
      <c r="N68">
        <v>148494000</v>
      </c>
      <c r="O68">
        <v>15896193.84</v>
      </c>
      <c r="P68">
        <v>210.20321799999999</v>
      </c>
      <c r="Q68">
        <v>-0.32898050816722024</v>
      </c>
      <c r="R68">
        <v>43.636278799999999</v>
      </c>
      <c r="S68">
        <v>779.47445500000003</v>
      </c>
      <c r="T68">
        <v>1.54139136E-14</v>
      </c>
      <c r="U68">
        <v>19.329355664412965</v>
      </c>
      <c r="V68">
        <v>100.934</v>
      </c>
      <c r="W68">
        <v>-238.26072880940092</v>
      </c>
      <c r="X68">
        <v>62.874780100000002</v>
      </c>
      <c r="Y68">
        <v>92.437890499999995</v>
      </c>
      <c r="Z68">
        <v>177.97</v>
      </c>
      <c r="AA68">
        <v>233.97399100000001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s="27">
        <f>SUM(AB68:AN68)+Q68</f>
        <v>-0.32898050816722024</v>
      </c>
    </row>
    <row r="69" spans="1:41">
      <c r="A69">
        <v>942.69950698817945</v>
      </c>
      <c r="B69">
        <v>31</v>
      </c>
      <c r="C69">
        <v>10</v>
      </c>
      <c r="D69">
        <v>14.797465240117448</v>
      </c>
      <c r="E69">
        <v>23</v>
      </c>
      <c r="F69">
        <v>12</v>
      </c>
      <c r="G69">
        <v>0.53186621229516406</v>
      </c>
      <c r="H69">
        <v>22</v>
      </c>
      <c r="I69">
        <v>11</v>
      </c>
      <c r="J69">
        <v>1.317681426148442</v>
      </c>
      <c r="K69">
        <v>511341145.35275364</v>
      </c>
      <c r="L69">
        <v>54525900</v>
      </c>
      <c r="M69">
        <v>79710897.72071448</v>
      </c>
      <c r="N69">
        <v>149625000</v>
      </c>
      <c r="O69">
        <v>15897378.479999999</v>
      </c>
      <c r="P69">
        <v>211.96907100000001</v>
      </c>
      <c r="Q69">
        <v>-0.34284841886881845</v>
      </c>
      <c r="R69">
        <v>43.626702299999998</v>
      </c>
      <c r="S69">
        <v>779.59024899999997</v>
      </c>
      <c r="T69">
        <v>1.0670713E-15</v>
      </c>
      <c r="U69">
        <v>19.246591355446231</v>
      </c>
      <c r="V69">
        <v>100.934</v>
      </c>
      <c r="W69">
        <v>-237.87215517500701</v>
      </c>
      <c r="X69">
        <v>62.818791900000001</v>
      </c>
      <c r="Y69">
        <v>92.297612200000003</v>
      </c>
      <c r="Z69">
        <v>177.97</v>
      </c>
      <c r="AA69">
        <v>231.27958699999999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 s="27">
        <f>SUM(AB69:AN69)+Q69</f>
        <v>-0.34284841886881845</v>
      </c>
    </row>
    <row r="70" spans="1:41">
      <c r="A70">
        <v>919.81417865254616</v>
      </c>
      <c r="B70">
        <v>35</v>
      </c>
      <c r="C70">
        <v>10</v>
      </c>
      <c r="D70">
        <v>2.6525676066259241</v>
      </c>
      <c r="E70">
        <v>10</v>
      </c>
      <c r="F70">
        <v>8</v>
      </c>
      <c r="G70">
        <v>0.96536291256795015</v>
      </c>
      <c r="H70">
        <v>15</v>
      </c>
      <c r="I70">
        <v>10</v>
      </c>
      <c r="J70">
        <v>0.33436693422871361</v>
      </c>
      <c r="K70">
        <v>508608453.41920888</v>
      </c>
      <c r="L70">
        <v>54417800</v>
      </c>
      <c r="M70">
        <v>79686431.614637375</v>
      </c>
      <c r="N70">
        <v>148265000</v>
      </c>
      <c r="O70">
        <v>15893422.880000001</v>
      </c>
      <c r="P70">
        <v>211.76336499999999</v>
      </c>
      <c r="Q70">
        <v>-0.32584507627335263</v>
      </c>
      <c r="R70">
        <v>43.466534699999997</v>
      </c>
      <c r="S70">
        <v>780.33090600000003</v>
      </c>
      <c r="T70">
        <v>2.87400302E-12</v>
      </c>
      <c r="U70">
        <v>18.850589976108907</v>
      </c>
      <c r="V70">
        <v>100.934</v>
      </c>
      <c r="W70">
        <v>-234.42360529369043</v>
      </c>
      <c r="X70">
        <v>62.895136600000001</v>
      </c>
      <c r="Y70">
        <v>92.897556199999997</v>
      </c>
      <c r="Z70">
        <v>100.934</v>
      </c>
      <c r="AA70">
        <v>232.79276200000001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s="27">
        <f>SUM(AB70:AN70)+Q70</f>
        <v>-0.32584507627335263</v>
      </c>
    </row>
    <row r="71" spans="1:41">
      <c r="A71">
        <v>933.95022028749406</v>
      </c>
      <c r="B71">
        <v>29</v>
      </c>
      <c r="C71">
        <v>12</v>
      </c>
      <c r="D71">
        <v>4.7294896201706518</v>
      </c>
      <c r="E71">
        <v>11</v>
      </c>
      <c r="F71">
        <v>8</v>
      </c>
      <c r="G71">
        <v>0.73239368359025647</v>
      </c>
      <c r="H71">
        <v>17</v>
      </c>
      <c r="I71">
        <v>13</v>
      </c>
      <c r="J71">
        <v>0.98149111290742486</v>
      </c>
      <c r="K71">
        <v>508805374.39861268</v>
      </c>
      <c r="L71">
        <v>54430000</v>
      </c>
      <c r="M71">
        <v>79699212.153998032</v>
      </c>
      <c r="N71">
        <v>148831000</v>
      </c>
      <c r="O71">
        <v>15887800.639999999</v>
      </c>
      <c r="P71">
        <v>212.23696000000001</v>
      </c>
      <c r="Q71">
        <v>-0.33600665404755131</v>
      </c>
      <c r="R71">
        <v>43.5087957</v>
      </c>
      <c r="S71">
        <v>779.940427</v>
      </c>
      <c r="T71">
        <v>3.5167770800000001E-12</v>
      </c>
      <c r="U71">
        <v>19.003721264207293</v>
      </c>
      <c r="V71">
        <v>100.934</v>
      </c>
      <c r="W71">
        <v>-240.48479292619317</v>
      </c>
      <c r="X71">
        <v>62.850155600000001</v>
      </c>
      <c r="Y71">
        <v>92.599650800000006</v>
      </c>
      <c r="Z71">
        <v>121.52199999999999</v>
      </c>
      <c r="AA71">
        <v>230.559845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s="27">
        <f>SUM(AB71:AN71)+Q71</f>
        <v>-0.33600665404755131</v>
      </c>
    </row>
    <row r="72" spans="1:41">
      <c r="A72">
        <v>921.53673605103324</v>
      </c>
      <c r="B72">
        <v>27</v>
      </c>
      <c r="C72">
        <v>10</v>
      </c>
      <c r="D72">
        <v>12.364923129301314</v>
      </c>
      <c r="E72">
        <v>10</v>
      </c>
      <c r="F72">
        <v>6</v>
      </c>
      <c r="G72">
        <v>1.1486935797493933</v>
      </c>
      <c r="H72">
        <v>10</v>
      </c>
      <c r="I72">
        <v>7</v>
      </c>
      <c r="J72">
        <v>1.0290975857522253</v>
      </c>
      <c r="K72">
        <v>509994458.34897602</v>
      </c>
      <c r="L72">
        <v>54436100</v>
      </c>
      <c r="M72">
        <v>79687827.835543349</v>
      </c>
      <c r="N72">
        <v>148630000</v>
      </c>
      <c r="O72">
        <v>15898592.4</v>
      </c>
      <c r="P72">
        <v>211.05512899999999</v>
      </c>
      <c r="Q72">
        <v>-0.3297318832081666</v>
      </c>
      <c r="R72">
        <v>43.5815907</v>
      </c>
      <c r="S72">
        <v>779.81870700000002</v>
      </c>
      <c r="T72">
        <v>9.1283824800000005E-11</v>
      </c>
      <c r="U72">
        <v>19.221793674702027</v>
      </c>
      <c r="V72">
        <v>100.934</v>
      </c>
      <c r="W72">
        <v>-239.87035090819614</v>
      </c>
      <c r="X72">
        <v>62.868323400000001</v>
      </c>
      <c r="Y72">
        <v>92.456149499999995</v>
      </c>
      <c r="Z72">
        <v>144.29</v>
      </c>
      <c r="AA72">
        <v>232.727452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s="27">
        <f>SUM(AB72:AN72)+Q72</f>
        <v>-0.3297318832081666</v>
      </c>
    </row>
    <row r="73" spans="1:41">
      <c r="A73">
        <v>940.40250624826001</v>
      </c>
      <c r="B73">
        <v>34</v>
      </c>
      <c r="C73">
        <v>17</v>
      </c>
      <c r="D73">
        <v>3.6024057526512063</v>
      </c>
      <c r="E73">
        <v>21</v>
      </c>
      <c r="F73">
        <v>13</v>
      </c>
      <c r="G73">
        <v>0.90994989574722962</v>
      </c>
      <c r="H73">
        <v>26</v>
      </c>
      <c r="I73">
        <v>14</v>
      </c>
      <c r="J73">
        <v>1.0772532835385533</v>
      </c>
      <c r="K73">
        <v>509160837.83151722</v>
      </c>
      <c r="L73">
        <v>54485800</v>
      </c>
      <c r="M73">
        <v>79707901.652862325</v>
      </c>
      <c r="N73">
        <v>149422000</v>
      </c>
      <c r="O73">
        <v>15890251.280000001</v>
      </c>
      <c r="P73">
        <v>211.551861</v>
      </c>
      <c r="Q73">
        <v>-0.34712187038554093</v>
      </c>
      <c r="R73">
        <v>43.640251200000002</v>
      </c>
      <c r="S73">
        <v>780.13663899999995</v>
      </c>
      <c r="T73">
        <v>7.78761934E-11</v>
      </c>
      <c r="U73">
        <v>19.31260417704955</v>
      </c>
      <c r="V73">
        <v>100.934</v>
      </c>
      <c r="W73">
        <v>-238.07476036438129</v>
      </c>
      <c r="X73">
        <v>62.8226011</v>
      </c>
      <c r="Y73">
        <v>92.609939800000006</v>
      </c>
      <c r="Z73">
        <v>180.98100000000002</v>
      </c>
      <c r="AA73">
        <v>231.400419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s="27">
        <f>SUM(AB73:AN73)+Q73</f>
        <v>-0.34712187038554093</v>
      </c>
    </row>
    <row r="74" spans="1:41">
      <c r="A74">
        <v>914.60559972557053</v>
      </c>
      <c r="B74">
        <v>35</v>
      </c>
      <c r="C74">
        <v>13</v>
      </c>
      <c r="D74">
        <v>7.9643510356287397</v>
      </c>
      <c r="E74">
        <v>29</v>
      </c>
      <c r="F74">
        <v>10</v>
      </c>
      <c r="G74">
        <v>0.96668588770684405</v>
      </c>
      <c r="H74">
        <v>10</v>
      </c>
      <c r="I74">
        <v>7</v>
      </c>
      <c r="J74">
        <v>0.78386972809427435</v>
      </c>
      <c r="K74">
        <v>509791881.42236561</v>
      </c>
      <c r="L74">
        <v>54459000</v>
      </c>
      <c r="M74">
        <v>79679939.000254691</v>
      </c>
      <c r="N74">
        <v>148360000</v>
      </c>
      <c r="O74">
        <v>15894411.280000001</v>
      </c>
      <c r="P74">
        <v>209.98719700000001</v>
      </c>
      <c r="Q74">
        <v>-0.32590637028800351</v>
      </c>
      <c r="R74">
        <v>43.641286700000002</v>
      </c>
      <c r="S74">
        <v>780.55929300000003</v>
      </c>
      <c r="T74">
        <v>1.03712737E-14</v>
      </c>
      <c r="U74">
        <v>19.155470265214127</v>
      </c>
      <c r="V74">
        <v>100.934</v>
      </c>
      <c r="W74">
        <v>-238.66964217079615</v>
      </c>
      <c r="X74">
        <v>62.877723699999997</v>
      </c>
      <c r="Y74">
        <v>92.327068699999998</v>
      </c>
      <c r="Z74">
        <v>203.285</v>
      </c>
      <c r="AA74">
        <v>234.148402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s="27">
        <f>SUM(AB74:AN74)+Q74</f>
        <v>-0.32590637028800351</v>
      </c>
    </row>
    <row r="75" spans="1:41">
      <c r="A75">
        <v>950.35826025777749</v>
      </c>
      <c r="B75">
        <v>39</v>
      </c>
      <c r="C75">
        <v>13</v>
      </c>
      <c r="D75">
        <v>12.736774584200429</v>
      </c>
      <c r="E75">
        <v>22</v>
      </c>
      <c r="F75">
        <v>5</v>
      </c>
      <c r="G75">
        <v>0.52136295410953259</v>
      </c>
      <c r="H75">
        <v>20</v>
      </c>
      <c r="I75">
        <v>7</v>
      </c>
      <c r="J75">
        <v>1.0899352977894023</v>
      </c>
      <c r="K75">
        <v>511197335.74579167</v>
      </c>
      <c r="L75">
        <v>54548400</v>
      </c>
      <c r="M75">
        <v>79721084.466048077</v>
      </c>
      <c r="N75">
        <v>150050000</v>
      </c>
      <c r="O75">
        <v>15900871.359999999</v>
      </c>
      <c r="P75">
        <v>212.316711</v>
      </c>
      <c r="Q75">
        <v>-0.35111536177502622</v>
      </c>
      <c r="R75">
        <v>43.652985399999999</v>
      </c>
      <c r="S75">
        <v>780.02971700000001</v>
      </c>
      <c r="T75">
        <v>1.63668497E-9</v>
      </c>
      <c r="U75">
        <v>19.550647637459534</v>
      </c>
      <c r="V75">
        <v>100.934</v>
      </c>
      <c r="W75">
        <v>-237.64182246525363</v>
      </c>
      <c r="X75">
        <v>62.804957100000003</v>
      </c>
      <c r="Y75">
        <v>92.092270499999998</v>
      </c>
      <c r="Z75">
        <v>180.98100000000002</v>
      </c>
      <c r="AA75">
        <v>231.69062199999999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s="27">
        <f>SUM(AB75:AN75)+Q75</f>
        <v>-0.35111536177502622</v>
      </c>
    </row>
    <row r="76" spans="1:41">
      <c r="A76">
        <v>952.16530385855151</v>
      </c>
      <c r="B76">
        <v>31</v>
      </c>
      <c r="C76">
        <v>19</v>
      </c>
      <c r="D76">
        <v>2.393743039463653</v>
      </c>
      <c r="E76">
        <v>18</v>
      </c>
      <c r="F76">
        <v>14</v>
      </c>
      <c r="G76">
        <v>1.0707298397489375</v>
      </c>
      <c r="H76">
        <v>29</v>
      </c>
      <c r="I76">
        <v>7</v>
      </c>
      <c r="J76">
        <v>1.2418683516749915</v>
      </c>
      <c r="K76">
        <v>509466921.14143366</v>
      </c>
      <c r="L76">
        <v>54485600</v>
      </c>
      <c r="M76">
        <v>79723181.098864004</v>
      </c>
      <c r="N76">
        <v>149838000</v>
      </c>
      <c r="O76">
        <v>15895910.48</v>
      </c>
      <c r="P76">
        <v>212.69686799999999</v>
      </c>
      <c r="Q76">
        <v>-0.3529141763826098</v>
      </c>
      <c r="R76">
        <v>43.581453199999999</v>
      </c>
      <c r="S76">
        <v>780.13762299999996</v>
      </c>
      <c r="T76">
        <v>2.9257352600000002E-13</v>
      </c>
      <c r="U76">
        <v>19.05044206910976</v>
      </c>
      <c r="V76">
        <v>91.850000000000009</v>
      </c>
      <c r="W76">
        <v>-242.01185394889194</v>
      </c>
      <c r="X76">
        <v>62.802858999999998</v>
      </c>
      <c r="Y76">
        <v>92.864020300000007</v>
      </c>
      <c r="Z76">
        <v>144.29</v>
      </c>
      <c r="AA76">
        <v>230.683684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s="27">
        <f>SUM(AB76:AN76)+Q76</f>
        <v>-0.3529141763826098</v>
      </c>
    </row>
    <row r="77" spans="1:41">
      <c r="A77">
        <v>944.10969011261068</v>
      </c>
      <c r="B77">
        <v>28</v>
      </c>
      <c r="C77">
        <v>19</v>
      </c>
      <c r="D77">
        <v>11.757092696404197</v>
      </c>
      <c r="E77">
        <v>17</v>
      </c>
      <c r="F77">
        <v>9</v>
      </c>
      <c r="G77">
        <v>0.74863742341747441</v>
      </c>
      <c r="H77">
        <v>18</v>
      </c>
      <c r="I77">
        <v>13</v>
      </c>
      <c r="J77">
        <v>0.62526869290037679</v>
      </c>
      <c r="K77">
        <v>510335094.57866323</v>
      </c>
      <c r="L77">
        <v>54488000</v>
      </c>
      <c r="M77">
        <v>79712695.304313079</v>
      </c>
      <c r="N77">
        <v>149705000</v>
      </c>
      <c r="O77">
        <v>15896659.600000001</v>
      </c>
      <c r="P77">
        <v>212.08327700000001</v>
      </c>
      <c r="Q77">
        <v>-0.34833804601103163</v>
      </c>
      <c r="R77">
        <v>43.621146500000002</v>
      </c>
      <c r="S77">
        <v>779.81567100000007</v>
      </c>
      <c r="T77">
        <v>7.5654563800000003E-13</v>
      </c>
      <c r="U77">
        <v>19.224048992541217</v>
      </c>
      <c r="V77">
        <v>91.850000000000009</v>
      </c>
      <c r="W77">
        <v>-239.48694809909026</v>
      </c>
      <c r="X77">
        <v>62.823605100000002</v>
      </c>
      <c r="Y77">
        <v>92.439250000000001</v>
      </c>
      <c r="Z77">
        <v>177.97</v>
      </c>
      <c r="AA77">
        <v>232.98488900000001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s="27">
        <f>SUM(AB77:AN77)+Q77</f>
        <v>-0.34833804601103163</v>
      </c>
    </row>
    <row r="78" spans="1:41">
      <c r="A78">
        <v>958.14957649589724</v>
      </c>
      <c r="B78">
        <v>28</v>
      </c>
      <c r="C78">
        <v>11</v>
      </c>
      <c r="D78">
        <v>4.7521204119261586</v>
      </c>
      <c r="E78">
        <v>25</v>
      </c>
      <c r="F78">
        <v>6</v>
      </c>
      <c r="G78">
        <v>0.81663548738570824</v>
      </c>
      <c r="H78">
        <v>24</v>
      </c>
      <c r="I78">
        <v>9</v>
      </c>
      <c r="J78">
        <v>0.33515449241517953</v>
      </c>
      <c r="K78">
        <v>505377347.73641086</v>
      </c>
      <c r="L78">
        <v>54488000</v>
      </c>
      <c r="M78">
        <v>79712806.266895726</v>
      </c>
      <c r="N78">
        <v>149705000</v>
      </c>
      <c r="O78">
        <v>16379312.08</v>
      </c>
      <c r="P78">
        <v>204.44012900000001</v>
      </c>
      <c r="Q78">
        <v>-0.37782340688624527</v>
      </c>
      <c r="R78">
        <v>43.639551599999997</v>
      </c>
      <c r="S78">
        <v>780.281476</v>
      </c>
      <c r="T78">
        <v>8.7302942400000004E-11</v>
      </c>
      <c r="U78">
        <v>19.342277315964093</v>
      </c>
      <c r="V78">
        <v>100.934</v>
      </c>
      <c r="W78">
        <v>-235.02921641759639</v>
      </c>
      <c r="X78">
        <v>62.882317299999997</v>
      </c>
      <c r="Y78">
        <v>92.626139899999998</v>
      </c>
      <c r="Z78">
        <v>203.285</v>
      </c>
      <c r="AA78">
        <v>234.88048699999999</v>
      </c>
      <c r="AB78">
        <v>100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 s="27">
        <f>SUM(AB78:AN78)+Q78</f>
        <v>99.62217659311375</v>
      </c>
    </row>
    <row r="79" spans="1:41">
      <c r="A79">
        <v>956.23543377193448</v>
      </c>
      <c r="B79">
        <v>27</v>
      </c>
      <c r="C79">
        <v>19</v>
      </c>
      <c r="D79">
        <v>6.9926862431605619</v>
      </c>
      <c r="E79">
        <v>15</v>
      </c>
      <c r="F79">
        <v>11</v>
      </c>
      <c r="G79">
        <v>0.62609630807104866</v>
      </c>
      <c r="H79">
        <v>25</v>
      </c>
      <c r="I79">
        <v>13</v>
      </c>
      <c r="J79">
        <v>0.99442376384332776</v>
      </c>
      <c r="K79">
        <v>505447471.87914574</v>
      </c>
      <c r="L79">
        <v>54488000</v>
      </c>
      <c r="M79">
        <v>79712802.25174956</v>
      </c>
      <c r="N79">
        <v>149705000</v>
      </c>
      <c r="O79">
        <v>16379506.960000001</v>
      </c>
      <c r="P79">
        <v>205.44942800000001</v>
      </c>
      <c r="Q79">
        <v>-0.37573558937741541</v>
      </c>
      <c r="R79">
        <v>43.537601000000002</v>
      </c>
      <c r="S79">
        <v>779.62721999999997</v>
      </c>
      <c r="T79">
        <v>6.3879629399999998E-12</v>
      </c>
      <c r="U79">
        <v>19.028615385949703</v>
      </c>
      <c r="V79">
        <v>91.850000000000009</v>
      </c>
      <c r="W79">
        <v>-240.73416400984675</v>
      </c>
      <c r="X79">
        <v>62.9057259</v>
      </c>
      <c r="Y79">
        <v>92.605553700000002</v>
      </c>
      <c r="Z79">
        <v>144.29</v>
      </c>
      <c r="AA79">
        <v>230.168834</v>
      </c>
      <c r="AB79">
        <v>100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s="27">
        <f>SUM(AB79:AN79)+Q79</f>
        <v>99.624264410622587</v>
      </c>
    </row>
    <row r="80" spans="1:41">
      <c r="A80">
        <v>921.00361792776744</v>
      </c>
      <c r="B80">
        <v>30</v>
      </c>
      <c r="C80">
        <v>10</v>
      </c>
      <c r="D80">
        <v>14.912328209453825</v>
      </c>
      <c r="E80">
        <v>22</v>
      </c>
      <c r="F80">
        <v>14</v>
      </c>
      <c r="G80">
        <v>0.64866471326357478</v>
      </c>
      <c r="H80">
        <v>27</v>
      </c>
      <c r="I80">
        <v>12</v>
      </c>
      <c r="J80">
        <v>0.49699894832084013</v>
      </c>
      <c r="K80">
        <v>511079118.56010187</v>
      </c>
      <c r="L80">
        <v>54488700</v>
      </c>
      <c r="M80">
        <v>79687228.674771354</v>
      </c>
      <c r="N80">
        <v>148631000</v>
      </c>
      <c r="O80">
        <v>15899534.719999999</v>
      </c>
      <c r="P80">
        <v>210.65565699999999</v>
      </c>
      <c r="Q80">
        <v>-0.32578046571538677</v>
      </c>
      <c r="R80">
        <v>43.612647299999999</v>
      </c>
      <c r="S80">
        <v>779.63015199999995</v>
      </c>
      <c r="T80">
        <v>1.27955705E-17</v>
      </c>
      <c r="U80">
        <v>19.1531863581708</v>
      </c>
      <c r="V80">
        <v>100.934</v>
      </c>
      <c r="W80">
        <v>-238.41718465544201</v>
      </c>
      <c r="X80">
        <v>62.848468099999998</v>
      </c>
      <c r="Y80">
        <v>92.336062200000001</v>
      </c>
      <c r="Z80">
        <v>177.97</v>
      </c>
      <c r="AA80">
        <v>232.33728099999999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 s="27">
        <f>SUM(AB80:AN80)+Q80</f>
        <v>-0.32578046571538677</v>
      </c>
    </row>
    <row r="81" spans="1:41">
      <c r="A81">
        <v>945.13311261003832</v>
      </c>
      <c r="B81">
        <v>39</v>
      </c>
      <c r="C81">
        <v>12</v>
      </c>
      <c r="D81">
        <v>10.142657302648404</v>
      </c>
      <c r="E81">
        <v>20</v>
      </c>
      <c r="F81">
        <v>11</v>
      </c>
      <c r="G81">
        <v>0.83752581051333719</v>
      </c>
      <c r="H81">
        <v>23</v>
      </c>
      <c r="I81">
        <v>11</v>
      </c>
      <c r="J81">
        <v>1.3957615714018803</v>
      </c>
      <c r="K81">
        <v>510826388.54026234</v>
      </c>
      <c r="L81">
        <v>54524400</v>
      </c>
      <c r="M81">
        <v>79713993.517589465</v>
      </c>
      <c r="N81">
        <v>149651000</v>
      </c>
      <c r="O81">
        <v>15895695.52</v>
      </c>
      <c r="P81">
        <v>212.027658</v>
      </c>
      <c r="Q81">
        <v>-0.34497433584866299</v>
      </c>
      <c r="R81">
        <v>43.6275756</v>
      </c>
      <c r="S81">
        <v>780.070109</v>
      </c>
      <c r="T81">
        <v>2.6704231599999999E-15</v>
      </c>
      <c r="U81">
        <v>19.183343967042184</v>
      </c>
      <c r="V81">
        <v>100.934</v>
      </c>
      <c r="W81">
        <v>-238.43042529805797</v>
      </c>
      <c r="X81">
        <v>62.814211399999998</v>
      </c>
      <c r="Y81">
        <v>92.150423500000002</v>
      </c>
      <c r="Z81">
        <v>177.97</v>
      </c>
      <c r="AA81">
        <v>230.91134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s="27">
        <f>SUM(AB81:AN81)+Q81</f>
        <v>-0.34497433584866299</v>
      </c>
    </row>
    <row r="82" spans="1:41">
      <c r="A82">
        <v>954.97381932294547</v>
      </c>
      <c r="B82">
        <v>30</v>
      </c>
      <c r="C82">
        <v>17</v>
      </c>
      <c r="D82">
        <v>1.833325721143221</v>
      </c>
      <c r="E82">
        <v>19</v>
      </c>
      <c r="F82">
        <v>9</v>
      </c>
      <c r="G82">
        <v>1.1534874778801263</v>
      </c>
      <c r="H82">
        <v>26</v>
      </c>
      <c r="I82">
        <v>7</v>
      </c>
      <c r="J82">
        <v>1.0586649467386715</v>
      </c>
      <c r="K82">
        <v>509421797.37162638</v>
      </c>
      <c r="L82">
        <v>54491100</v>
      </c>
      <c r="M82">
        <v>79728177.157265857</v>
      </c>
      <c r="N82">
        <v>150063000</v>
      </c>
      <c r="O82">
        <v>15880555.120000001</v>
      </c>
      <c r="P82">
        <v>212.39966999999999</v>
      </c>
      <c r="Q82">
        <v>-0.35811411682422145</v>
      </c>
      <c r="R82">
        <v>43.635342399999999</v>
      </c>
      <c r="S82">
        <v>780.36928899999998</v>
      </c>
      <c r="T82">
        <v>3.0650076099999999E-13</v>
      </c>
      <c r="U82">
        <v>19.22184083894847</v>
      </c>
      <c r="V82">
        <v>91.850000000000009</v>
      </c>
      <c r="W82">
        <v>-238.35759346157761</v>
      </c>
      <c r="X82">
        <v>62.804912899999998</v>
      </c>
      <c r="Y82">
        <v>93.045328299999994</v>
      </c>
      <c r="Z82">
        <v>180.98100000000002</v>
      </c>
      <c r="AA82">
        <v>231.293623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 s="27">
        <f>SUM(AB82:AN82)+Q82</f>
        <v>-0.35811411682422145</v>
      </c>
    </row>
    <row r="83" spans="1:41">
      <c r="A83">
        <v>937.77731357284961</v>
      </c>
      <c r="B83">
        <v>29</v>
      </c>
      <c r="C83">
        <v>15</v>
      </c>
      <c r="D83">
        <v>12.897147104972365</v>
      </c>
      <c r="E83">
        <v>29</v>
      </c>
      <c r="F83">
        <v>13</v>
      </c>
      <c r="G83">
        <v>0.54675897406249552</v>
      </c>
      <c r="H83">
        <v>23</v>
      </c>
      <c r="I83">
        <v>9</v>
      </c>
      <c r="J83">
        <v>0.94990334894965622</v>
      </c>
      <c r="K83">
        <v>510652435.26042497</v>
      </c>
      <c r="L83">
        <v>54490400</v>
      </c>
      <c r="M83">
        <v>79704606.062661365</v>
      </c>
      <c r="N83">
        <v>149378000</v>
      </c>
      <c r="O83">
        <v>15893816.880000001</v>
      </c>
      <c r="P83">
        <v>211.52429699999999</v>
      </c>
      <c r="Q83">
        <v>-0.34136580623595675</v>
      </c>
      <c r="R83">
        <v>43.634869299999998</v>
      </c>
      <c r="S83">
        <v>779.67399499999999</v>
      </c>
      <c r="T83">
        <v>1.1255830000000001E-16</v>
      </c>
      <c r="U83">
        <v>19.222823745455603</v>
      </c>
      <c r="V83">
        <v>100.934</v>
      </c>
      <c r="W83">
        <v>-237.83918839490482</v>
      </c>
      <c r="X83">
        <v>62.826173400000002</v>
      </c>
      <c r="Y83">
        <v>92.371563699999996</v>
      </c>
      <c r="Z83">
        <v>180.98100000000002</v>
      </c>
      <c r="AA83">
        <v>231.634039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 s="27">
        <f>SUM(AB83:AN83)+Q83</f>
        <v>-0.34136580623595675</v>
      </c>
    </row>
    <row r="84" spans="1:41">
      <c r="A84">
        <v>922.39752124231882</v>
      </c>
      <c r="B84">
        <v>27</v>
      </c>
      <c r="C84">
        <v>10</v>
      </c>
      <c r="D84">
        <v>8.2092866394946</v>
      </c>
      <c r="E84">
        <v>18</v>
      </c>
      <c r="F84">
        <v>12</v>
      </c>
      <c r="G84">
        <v>0.54071422556157422</v>
      </c>
      <c r="H84">
        <v>27</v>
      </c>
      <c r="I84">
        <v>11</v>
      </c>
      <c r="J84">
        <v>0.40776434875967049</v>
      </c>
      <c r="K84">
        <v>510288197.52921879</v>
      </c>
      <c r="L84">
        <v>54490400</v>
      </c>
      <c r="M84">
        <v>79704624.357010052</v>
      </c>
      <c r="N84">
        <v>149378000</v>
      </c>
      <c r="O84">
        <v>15899665.039999999</v>
      </c>
      <c r="P84">
        <v>211.15062399999999</v>
      </c>
      <c r="Q84">
        <v>-0.3431409552816086</v>
      </c>
      <c r="R84">
        <v>43.578302200000003</v>
      </c>
      <c r="S84">
        <v>779.48085000000003</v>
      </c>
      <c r="T84">
        <v>1.5435000499999999E-15</v>
      </c>
      <c r="U84">
        <v>19.160487546990048</v>
      </c>
      <c r="V84">
        <v>100.934</v>
      </c>
      <c r="W84">
        <v>-239.22291322563674</v>
      </c>
      <c r="X84">
        <v>62.843682800000003</v>
      </c>
      <c r="Y84">
        <v>92.509335100000001</v>
      </c>
      <c r="Z84">
        <v>144.29</v>
      </c>
      <c r="AA84">
        <v>232.88441499999999</v>
      </c>
      <c r="AB84">
        <v>100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s="27">
        <f>SUM(AB84:AN84)+Q84</f>
        <v>99.656859044718388</v>
      </c>
    </row>
    <row r="85" spans="1:41">
      <c r="A85">
        <v>935.23669607907118</v>
      </c>
      <c r="B85">
        <v>32</v>
      </c>
      <c r="C85">
        <v>14</v>
      </c>
      <c r="D85">
        <v>4.0892818956001511</v>
      </c>
      <c r="E85">
        <v>20</v>
      </c>
      <c r="F85">
        <v>8</v>
      </c>
      <c r="G85">
        <v>0.75734460665304026</v>
      </c>
      <c r="H85">
        <v>15</v>
      </c>
      <c r="I85">
        <v>8</v>
      </c>
      <c r="J85">
        <v>0.56006516305568144</v>
      </c>
      <c r="K85">
        <v>508918972.00462735</v>
      </c>
      <c r="L85">
        <v>54450000</v>
      </c>
      <c r="M85">
        <v>79701410.410622552</v>
      </c>
      <c r="N85">
        <v>149240000</v>
      </c>
      <c r="O85">
        <v>15887992.959999999</v>
      </c>
      <c r="P85">
        <v>211.26329000000001</v>
      </c>
      <c r="Q85">
        <v>-0.34531836051503961</v>
      </c>
      <c r="R85">
        <v>43.634414900000003</v>
      </c>
      <c r="S85">
        <v>779.97660300000007</v>
      </c>
      <c r="T85">
        <v>1.5124098499999999E-12</v>
      </c>
      <c r="U85">
        <v>19.258046524783555</v>
      </c>
      <c r="V85">
        <v>100.934</v>
      </c>
      <c r="W85">
        <v>-237.83478814587502</v>
      </c>
      <c r="X85">
        <v>62.8336349</v>
      </c>
      <c r="Y85">
        <v>92.585398900000001</v>
      </c>
      <c r="Z85">
        <v>180.98100000000002</v>
      </c>
      <c r="AA85">
        <v>233.129603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 s="27">
        <f>SUM(AB85:AN85)+Q85</f>
        <v>-0.34531836051503961</v>
      </c>
    </row>
    <row r="86" spans="1:41">
      <c r="A86">
        <v>941.06213753069414</v>
      </c>
      <c r="B86">
        <v>31</v>
      </c>
      <c r="C86">
        <v>12</v>
      </c>
      <c r="D86">
        <v>7.9374157897196458</v>
      </c>
      <c r="E86">
        <v>19</v>
      </c>
      <c r="F86">
        <v>5</v>
      </c>
      <c r="G86">
        <v>0.60650656715330786</v>
      </c>
      <c r="H86">
        <v>26</v>
      </c>
      <c r="I86">
        <v>7</v>
      </c>
      <c r="J86">
        <v>1.3455536657856351</v>
      </c>
      <c r="K86">
        <v>510157069.80215371</v>
      </c>
      <c r="L86">
        <v>54502000</v>
      </c>
      <c r="M86">
        <v>79708800.541835397</v>
      </c>
      <c r="N86">
        <v>149510000</v>
      </c>
      <c r="O86">
        <v>15892906.08</v>
      </c>
      <c r="P86">
        <v>211.63166899999999</v>
      </c>
      <c r="Q86">
        <v>-0.34529298239427691</v>
      </c>
      <c r="R86">
        <v>43.646473200000003</v>
      </c>
      <c r="S86">
        <v>779.98195099999998</v>
      </c>
      <c r="T86">
        <v>1.3100334899999999E-9</v>
      </c>
      <c r="U86">
        <v>19.495790365844105</v>
      </c>
      <c r="V86">
        <v>100.934</v>
      </c>
      <c r="W86">
        <v>-237.55280548347068</v>
      </c>
      <c r="X86">
        <v>62.8213808</v>
      </c>
      <c r="Y86">
        <v>92.396478700000003</v>
      </c>
      <c r="Z86">
        <v>180.98100000000002</v>
      </c>
      <c r="AA86">
        <v>231.21098900000001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 s="27">
        <f>SUM(AB86:AN86)+Q86</f>
        <v>-0.34529298239427691</v>
      </c>
    </row>
    <row r="87" spans="1:41">
      <c r="A87">
        <v>923.62281273754547</v>
      </c>
      <c r="B87">
        <v>31</v>
      </c>
      <c r="C87">
        <v>17</v>
      </c>
      <c r="D87">
        <v>2.4265116143892489</v>
      </c>
      <c r="E87">
        <v>26</v>
      </c>
      <c r="F87">
        <v>14</v>
      </c>
      <c r="G87">
        <v>1.1738138691784985</v>
      </c>
      <c r="H87">
        <v>16</v>
      </c>
      <c r="I87">
        <v>12</v>
      </c>
      <c r="J87">
        <v>1.2720845586468079</v>
      </c>
      <c r="K87">
        <v>509696438.13702285</v>
      </c>
      <c r="L87">
        <v>54502000</v>
      </c>
      <c r="M87">
        <v>79708822.315539151</v>
      </c>
      <c r="N87">
        <v>149510000</v>
      </c>
      <c r="O87">
        <v>15896920.16</v>
      </c>
      <c r="P87">
        <v>210.44994399999999</v>
      </c>
      <c r="Q87">
        <v>-0.34871775642743968</v>
      </c>
      <c r="R87">
        <v>43.639476600000002</v>
      </c>
      <c r="S87">
        <v>780.92296499999998</v>
      </c>
      <c r="T87">
        <v>1.9051656900000001E-18</v>
      </c>
      <c r="U87">
        <v>19.150267050755659</v>
      </c>
      <c r="V87">
        <v>91.850000000000009</v>
      </c>
      <c r="W87">
        <v>-239.63258289700275</v>
      </c>
      <c r="X87">
        <v>62.848313699999999</v>
      </c>
      <c r="Y87">
        <v>92.857490900000002</v>
      </c>
      <c r="Z87">
        <v>180.98100000000002</v>
      </c>
      <c r="AA87">
        <v>231.97933399999999</v>
      </c>
      <c r="AB87">
        <v>100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s="27">
        <f>SUM(AB87:AN87)+Q87</f>
        <v>99.651282243572567</v>
      </c>
    </row>
    <row r="88" spans="1:41">
      <c r="A88">
        <v>936.10319441534955</v>
      </c>
      <c r="B88">
        <v>39</v>
      </c>
      <c r="C88">
        <v>14</v>
      </c>
      <c r="D88">
        <v>4.4107817015419553</v>
      </c>
      <c r="E88">
        <v>23</v>
      </c>
      <c r="F88">
        <v>12</v>
      </c>
      <c r="G88">
        <v>1.05595423105283</v>
      </c>
      <c r="H88">
        <v>12</v>
      </c>
      <c r="I88">
        <v>7</v>
      </c>
      <c r="J88">
        <v>0.48042103433611671</v>
      </c>
      <c r="K88">
        <v>509071273.53990519</v>
      </c>
      <c r="L88">
        <v>54470000</v>
      </c>
      <c r="M88">
        <v>79703209.757729873</v>
      </c>
      <c r="N88">
        <v>149245000</v>
      </c>
      <c r="O88">
        <v>15888851.119999999</v>
      </c>
      <c r="P88">
        <v>211.20314200000001</v>
      </c>
      <c r="Q88">
        <v>-0.34461365710030328</v>
      </c>
      <c r="R88">
        <v>43.6354069</v>
      </c>
      <c r="S88">
        <v>780.57946199999992</v>
      </c>
      <c r="T88">
        <v>1.77409317E-16</v>
      </c>
      <c r="U88">
        <v>19.156477456044005</v>
      </c>
      <c r="V88">
        <v>100.934</v>
      </c>
      <c r="W88">
        <v>-238.48363197207854</v>
      </c>
      <c r="X88">
        <v>62.835008199999997</v>
      </c>
      <c r="Y88">
        <v>92.443648800000005</v>
      </c>
      <c r="Z88">
        <v>180.98100000000002</v>
      </c>
      <c r="AA88">
        <v>234.184134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s="27">
        <f>SUM(AB88:AN88)+Q88</f>
        <v>-0.34461365710030328</v>
      </c>
    </row>
    <row r="89" spans="1:41">
      <c r="A89">
        <v>944.43932507604654</v>
      </c>
      <c r="B89">
        <v>36</v>
      </c>
      <c r="C89">
        <v>19</v>
      </c>
      <c r="D89">
        <v>11.879638103112466</v>
      </c>
      <c r="E89">
        <v>20</v>
      </c>
      <c r="F89">
        <v>8</v>
      </c>
      <c r="G89">
        <v>0.88197691544099532</v>
      </c>
      <c r="H89">
        <v>26</v>
      </c>
      <c r="I89">
        <v>14</v>
      </c>
      <c r="J89">
        <v>0.33670176951915198</v>
      </c>
      <c r="K89">
        <v>510923823.82660723</v>
      </c>
      <c r="L89">
        <v>54544700</v>
      </c>
      <c r="M89">
        <v>79718200.286060885</v>
      </c>
      <c r="N89">
        <v>149582000</v>
      </c>
      <c r="O89">
        <v>15898176.32</v>
      </c>
      <c r="P89">
        <v>211.53400300000001</v>
      </c>
      <c r="Q89">
        <v>-0.34360317686464864</v>
      </c>
      <c r="R89">
        <v>43.635099199999999</v>
      </c>
      <c r="S89">
        <v>780.23929099999998</v>
      </c>
      <c r="T89">
        <v>1.13939779E-12</v>
      </c>
      <c r="U89">
        <v>19.2736896387106</v>
      </c>
      <c r="V89">
        <v>100.934</v>
      </c>
      <c r="W89">
        <v>-237.57897563995255</v>
      </c>
      <c r="X89">
        <v>62.777575400000003</v>
      </c>
      <c r="Y89">
        <v>92.174642399999996</v>
      </c>
      <c r="Z89">
        <v>180.98100000000002</v>
      </c>
      <c r="AA89">
        <v>234.79329899999999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s="27">
        <f>SUM(AB89:AN89)+Q89</f>
        <v>-0.34360317686464864</v>
      </c>
    </row>
    <row r="90" spans="1:41">
      <c r="A90">
        <v>956.57744089296023</v>
      </c>
      <c r="B90">
        <v>34</v>
      </c>
      <c r="C90">
        <v>17</v>
      </c>
      <c r="D90">
        <v>2.6520427557177646</v>
      </c>
      <c r="E90">
        <v>12</v>
      </c>
      <c r="F90">
        <v>5</v>
      </c>
      <c r="G90">
        <v>0.33655340423306884</v>
      </c>
      <c r="H90">
        <v>23</v>
      </c>
      <c r="I90">
        <v>10</v>
      </c>
      <c r="J90">
        <v>1.1532743815388824</v>
      </c>
      <c r="K90">
        <v>505998275.44568694</v>
      </c>
      <c r="L90">
        <v>54544700</v>
      </c>
      <c r="M90">
        <v>79718302.318723455</v>
      </c>
      <c r="N90">
        <v>149582000</v>
      </c>
      <c r="O90">
        <v>16377248.640000001</v>
      </c>
      <c r="P90">
        <v>205.02762300000001</v>
      </c>
      <c r="Q90">
        <v>-0.37081583443281652</v>
      </c>
      <c r="R90">
        <v>43.5799454</v>
      </c>
      <c r="S90">
        <v>780.40647200000001</v>
      </c>
      <c r="T90">
        <v>4.51063985E-9</v>
      </c>
      <c r="U90">
        <v>19.653104899800251</v>
      </c>
      <c r="V90">
        <v>100.934</v>
      </c>
      <c r="W90">
        <v>-239.86199726606944</v>
      </c>
      <c r="X90">
        <v>62.907748900000001</v>
      </c>
      <c r="Y90">
        <v>92.791451699999996</v>
      </c>
      <c r="Z90">
        <v>144.29</v>
      </c>
      <c r="AA90">
        <v>230.242985</v>
      </c>
      <c r="AB90">
        <v>100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 s="27">
        <f>SUM(AB90:AN90)+Q90</f>
        <v>99.629184165567182</v>
      </c>
    </row>
    <row r="91" spans="1:41">
      <c r="A91">
        <v>934.79671225269612</v>
      </c>
      <c r="B91">
        <v>28</v>
      </c>
      <c r="C91">
        <v>11</v>
      </c>
      <c r="D91">
        <v>7.6292188856483323</v>
      </c>
      <c r="E91">
        <v>13</v>
      </c>
      <c r="F91">
        <v>6</v>
      </c>
      <c r="G91">
        <v>0.78903896007134533</v>
      </c>
      <c r="H91">
        <v>20</v>
      </c>
      <c r="I91">
        <v>10</v>
      </c>
      <c r="J91">
        <v>0.51508688440493089</v>
      </c>
      <c r="K91">
        <v>509375933.67145693</v>
      </c>
      <c r="L91">
        <v>54446100</v>
      </c>
      <c r="M91">
        <v>79700711.010716796</v>
      </c>
      <c r="N91">
        <v>149160000</v>
      </c>
      <c r="O91">
        <v>15889615.6</v>
      </c>
      <c r="P91">
        <v>211.38799399999999</v>
      </c>
      <c r="Q91">
        <v>-0.34205798302143964</v>
      </c>
      <c r="R91">
        <v>43.614641399999996</v>
      </c>
      <c r="S91">
        <v>779.81122300000004</v>
      </c>
      <c r="T91">
        <v>1.2042763199999999E-10</v>
      </c>
      <c r="U91">
        <v>19.333979746473993</v>
      </c>
      <c r="V91">
        <v>100.934</v>
      </c>
      <c r="W91">
        <v>-238.5427834579958</v>
      </c>
      <c r="X91">
        <v>62.832789499999997</v>
      </c>
      <c r="Y91">
        <v>92.487970500000003</v>
      </c>
      <c r="Z91">
        <v>165.7</v>
      </c>
      <c r="AA91">
        <v>232.45704599999999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s="27">
        <f>SUM(AB91:AN91)+Q91</f>
        <v>-0.34205798302143964</v>
      </c>
    </row>
    <row r="92" spans="1:41">
      <c r="A92">
        <v>956.81467062258969</v>
      </c>
      <c r="B92">
        <v>37</v>
      </c>
      <c r="C92">
        <v>16</v>
      </c>
      <c r="D92">
        <v>14.077979863457514</v>
      </c>
      <c r="E92">
        <v>17</v>
      </c>
      <c r="F92">
        <v>8</v>
      </c>
      <c r="G92">
        <v>1.0795338757503237</v>
      </c>
      <c r="H92">
        <v>20</v>
      </c>
      <c r="I92">
        <v>13</v>
      </c>
      <c r="J92">
        <v>0.46339751238151417</v>
      </c>
      <c r="K92">
        <v>504780664.4481926</v>
      </c>
      <c r="L92">
        <v>54446100</v>
      </c>
      <c r="M92">
        <v>79700802.464792266</v>
      </c>
      <c r="N92">
        <v>149160000</v>
      </c>
      <c r="O92">
        <v>16383254.4</v>
      </c>
      <c r="P92">
        <v>204.81817000000001</v>
      </c>
      <c r="Q92">
        <v>-0.36826065200459324</v>
      </c>
      <c r="R92">
        <v>43.632546499999997</v>
      </c>
      <c r="S92">
        <v>780.17112399999996</v>
      </c>
      <c r="T92">
        <v>9.2100795900000008E-13</v>
      </c>
      <c r="U92">
        <v>19.20828445358546</v>
      </c>
      <c r="V92">
        <v>100.934</v>
      </c>
      <c r="W92">
        <v>-237.0089567275825</v>
      </c>
      <c r="X92">
        <v>62.908762199999998</v>
      </c>
      <c r="Y92">
        <v>92.156865499999995</v>
      </c>
      <c r="Z92">
        <v>177.97</v>
      </c>
      <c r="AA92">
        <v>233.23889800000001</v>
      </c>
      <c r="AB92">
        <v>100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s="27">
        <f>SUM(AB92:AN92)+Q92</f>
        <v>99.631739347995406</v>
      </c>
    </row>
    <row r="93" spans="1:41">
      <c r="A93">
        <v>928.95151527229223</v>
      </c>
      <c r="B93">
        <v>27</v>
      </c>
      <c r="C93">
        <v>10</v>
      </c>
      <c r="D93">
        <v>12.515713846557309</v>
      </c>
      <c r="E93">
        <v>28</v>
      </c>
      <c r="F93">
        <v>11</v>
      </c>
      <c r="G93">
        <v>0.43338342741666647</v>
      </c>
      <c r="H93">
        <v>23</v>
      </c>
      <c r="I93">
        <v>9</v>
      </c>
      <c r="J93">
        <v>1.1281083693273795</v>
      </c>
      <c r="K93">
        <v>510283903.21004939</v>
      </c>
      <c r="L93">
        <v>54478000</v>
      </c>
      <c r="M93">
        <v>79693520.592502356</v>
      </c>
      <c r="N93">
        <v>148955000</v>
      </c>
      <c r="O93">
        <v>15888950.800000001</v>
      </c>
      <c r="P93">
        <v>210.86958200000001</v>
      </c>
      <c r="Q93">
        <v>-0.33501661621897333</v>
      </c>
      <c r="R93">
        <v>43.640650800000003</v>
      </c>
      <c r="S93">
        <v>779.58524699999998</v>
      </c>
      <c r="T93">
        <v>1.4253000499999999E-14</v>
      </c>
      <c r="U93">
        <v>19.345516487645895</v>
      </c>
      <c r="V93">
        <v>100.934</v>
      </c>
      <c r="W93">
        <v>-237.18766534780647</v>
      </c>
      <c r="X93">
        <v>62.840973200000001</v>
      </c>
      <c r="Y93">
        <v>92.440730000000002</v>
      </c>
      <c r="Z93">
        <v>180.98100000000002</v>
      </c>
      <c r="AA93">
        <v>231.579195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 s="27">
        <f>SUM(AB93:AN93)+Q93</f>
        <v>-0.33501661621897333</v>
      </c>
    </row>
    <row r="94" spans="1:41">
      <c r="A94">
        <v>923.9074174151641</v>
      </c>
      <c r="B94">
        <v>38</v>
      </c>
      <c r="C94">
        <v>15</v>
      </c>
      <c r="D94">
        <v>13.311917118415636</v>
      </c>
      <c r="E94">
        <v>22</v>
      </c>
      <c r="F94">
        <v>6</v>
      </c>
      <c r="G94">
        <v>0.51154200215012202</v>
      </c>
      <c r="H94">
        <v>22</v>
      </c>
      <c r="I94">
        <v>14</v>
      </c>
      <c r="J94">
        <v>0.32038706328450517</v>
      </c>
      <c r="K94">
        <v>510592342.56684554</v>
      </c>
      <c r="L94">
        <v>54498300</v>
      </c>
      <c r="M94">
        <v>79695529.095720723</v>
      </c>
      <c r="N94">
        <v>148823000</v>
      </c>
      <c r="O94">
        <v>15900696.08</v>
      </c>
      <c r="P94">
        <v>210.31711799999999</v>
      </c>
      <c r="Q94">
        <v>-0.33170445082486655</v>
      </c>
      <c r="R94">
        <v>43.647362000000001</v>
      </c>
      <c r="S94">
        <v>779.95566699999995</v>
      </c>
      <c r="T94">
        <v>2.13299136E-10</v>
      </c>
      <c r="U94">
        <v>19.488778436043255</v>
      </c>
      <c r="V94">
        <v>100.934</v>
      </c>
      <c r="W94">
        <v>-237.01003187876586</v>
      </c>
      <c r="X94">
        <v>62.812412399999999</v>
      </c>
      <c r="Y94">
        <v>92.104325500000002</v>
      </c>
      <c r="Z94">
        <v>180.98100000000002</v>
      </c>
      <c r="AA94">
        <v>235.740804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 s="27">
        <f>SUM(AB94:AN94)+Q94</f>
        <v>-0.33170445082486655</v>
      </c>
    </row>
    <row r="95" spans="1:41">
      <c r="A95">
        <v>911.03401547665817</v>
      </c>
      <c r="B95">
        <v>37</v>
      </c>
      <c r="C95">
        <v>18</v>
      </c>
      <c r="D95">
        <v>13.330596500542532</v>
      </c>
      <c r="E95">
        <v>10</v>
      </c>
      <c r="F95">
        <v>6</v>
      </c>
      <c r="G95">
        <v>1.019957643449823</v>
      </c>
      <c r="H95">
        <v>15</v>
      </c>
      <c r="I95">
        <v>9</v>
      </c>
      <c r="J95">
        <v>1.3240868753893582</v>
      </c>
      <c r="K95">
        <v>510354441.97999948</v>
      </c>
      <c r="L95">
        <v>54439600</v>
      </c>
      <c r="M95">
        <v>79675244.09540613</v>
      </c>
      <c r="N95">
        <v>147957000</v>
      </c>
      <c r="O95">
        <v>15896105.52</v>
      </c>
      <c r="P95">
        <v>210.217037</v>
      </c>
      <c r="Q95">
        <v>-0.31567815811699035</v>
      </c>
      <c r="R95">
        <v>43.576270600000001</v>
      </c>
      <c r="S95">
        <v>779.82390599999997</v>
      </c>
      <c r="T95">
        <v>1.07100528E-10</v>
      </c>
      <c r="U95">
        <v>19.230004720879375</v>
      </c>
      <c r="V95">
        <v>100.934</v>
      </c>
      <c r="W95">
        <v>-239.97543462076661</v>
      </c>
      <c r="X95">
        <v>62.865165099999999</v>
      </c>
      <c r="Y95">
        <v>92.162260399999994</v>
      </c>
      <c r="Z95">
        <v>144.29</v>
      </c>
      <c r="AA95">
        <v>231.04805200000001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s="27">
        <f>SUM(AB95:AN95)+Q95</f>
        <v>-0.31567815811699035</v>
      </c>
    </row>
    <row r="96" spans="1:41">
      <c r="A96">
        <v>910.06304828999021</v>
      </c>
      <c r="B96">
        <v>37</v>
      </c>
      <c r="C96">
        <v>12</v>
      </c>
      <c r="D96">
        <v>2.6370733060875251</v>
      </c>
      <c r="E96">
        <v>13</v>
      </c>
      <c r="F96">
        <v>11</v>
      </c>
      <c r="G96">
        <v>0.95665891686378224</v>
      </c>
      <c r="H96">
        <v>17</v>
      </c>
      <c r="I96">
        <v>8</v>
      </c>
      <c r="J96">
        <v>1.0024521951024239</v>
      </c>
      <c r="K96">
        <v>508588555.21420836</v>
      </c>
      <c r="L96">
        <v>54403500</v>
      </c>
      <c r="M96">
        <v>79673645.344900563</v>
      </c>
      <c r="N96">
        <v>147557000</v>
      </c>
      <c r="O96">
        <v>15890300.560000001</v>
      </c>
      <c r="P96">
        <v>210.93399600000001</v>
      </c>
      <c r="Q96">
        <v>-0.31267283149862879</v>
      </c>
      <c r="R96">
        <v>43.462705100000001</v>
      </c>
      <c r="S96">
        <v>780.20565500000009</v>
      </c>
      <c r="T96">
        <v>7.2632002900000001E-15</v>
      </c>
      <c r="U96">
        <v>18.733714364897626</v>
      </c>
      <c r="V96">
        <v>100.934</v>
      </c>
      <c r="W96">
        <v>-237.23946184522725</v>
      </c>
      <c r="X96">
        <v>62.874208299999999</v>
      </c>
      <c r="Y96">
        <v>92.800963300000006</v>
      </c>
      <c r="Z96">
        <v>100.934</v>
      </c>
      <c r="AA96">
        <v>229.67150699999999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 s="27">
        <f>SUM(AB96:AN96)+Q96</f>
        <v>-0.31267283149862879</v>
      </c>
    </row>
    <row r="97" spans="1:41">
      <c r="A97">
        <v>922.93666366843672</v>
      </c>
      <c r="B97">
        <v>29</v>
      </c>
      <c r="C97">
        <v>16</v>
      </c>
      <c r="D97">
        <v>4.0709096097216015</v>
      </c>
      <c r="E97">
        <v>19</v>
      </c>
      <c r="F97">
        <v>11</v>
      </c>
      <c r="G97">
        <v>0.87321474453525649</v>
      </c>
      <c r="H97">
        <v>21</v>
      </c>
      <c r="I97">
        <v>13</v>
      </c>
      <c r="J97">
        <v>1.1264613054140769</v>
      </c>
      <c r="K97">
        <v>508756101.13241923</v>
      </c>
      <c r="L97">
        <v>54436800</v>
      </c>
      <c r="M97">
        <v>79689625.561512813</v>
      </c>
      <c r="N97">
        <v>148623000</v>
      </c>
      <c r="O97">
        <v>15894361.6</v>
      </c>
      <c r="P97">
        <v>210.58160599999999</v>
      </c>
      <c r="Q97">
        <v>-0.3343040315136826</v>
      </c>
      <c r="R97">
        <v>43.622995500000002</v>
      </c>
      <c r="S97">
        <v>780.03383900000006</v>
      </c>
      <c r="T97">
        <v>2.6297214400000002E-15</v>
      </c>
      <c r="U97">
        <v>19.172334520520479</v>
      </c>
      <c r="V97">
        <v>91.850000000000009</v>
      </c>
      <c r="W97">
        <v>-239.15322164585461</v>
      </c>
      <c r="X97">
        <v>62.846094000000001</v>
      </c>
      <c r="Y97">
        <v>92.653991099999999</v>
      </c>
      <c r="Z97">
        <v>177.97</v>
      </c>
      <c r="AA97">
        <v>231.38040000000001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s="27">
        <f>SUM(AB97:AN97)+Q97</f>
        <v>-0.3343040315136826</v>
      </c>
    </row>
    <row r="98" spans="1:41">
      <c r="A98">
        <v>930.99444045012967</v>
      </c>
      <c r="B98">
        <v>30</v>
      </c>
      <c r="C98">
        <v>14</v>
      </c>
      <c r="D98">
        <v>10.216019982443568</v>
      </c>
      <c r="E98">
        <v>16</v>
      </c>
      <c r="F98">
        <v>11</v>
      </c>
      <c r="G98">
        <v>0.82675115221726703</v>
      </c>
      <c r="H98">
        <v>13</v>
      </c>
      <c r="I98">
        <v>10</v>
      </c>
      <c r="J98">
        <v>0.48274504891725767</v>
      </c>
      <c r="K98">
        <v>509592185.0424149</v>
      </c>
      <c r="L98">
        <v>54459400</v>
      </c>
      <c r="M98">
        <v>79696217.569638029</v>
      </c>
      <c r="N98">
        <v>149196000</v>
      </c>
      <c r="O98">
        <v>15889052.4</v>
      </c>
      <c r="P98">
        <v>211.6515</v>
      </c>
      <c r="Q98">
        <v>-0.34141195807923769</v>
      </c>
      <c r="R98">
        <v>43.588592200000001</v>
      </c>
      <c r="S98">
        <v>779.70730800000001</v>
      </c>
      <c r="T98">
        <v>4.18872865E-15</v>
      </c>
      <c r="U98">
        <v>19.076520311038497</v>
      </c>
      <c r="V98">
        <v>100.934</v>
      </c>
      <c r="W98">
        <v>-240.37205686263934</v>
      </c>
      <c r="X98">
        <v>62.872977599999999</v>
      </c>
      <c r="Y98">
        <v>92.399151000000003</v>
      </c>
      <c r="Z98">
        <v>144.29</v>
      </c>
      <c r="AA98">
        <v>235.190977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 s="27">
        <f>SUM(AB98:AN98)+Q98</f>
        <v>-0.34141195807923769</v>
      </c>
    </row>
    <row r="99" spans="1:41">
      <c r="A99">
        <v>922.87923105719869</v>
      </c>
      <c r="B99">
        <v>28</v>
      </c>
      <c r="C99">
        <v>18</v>
      </c>
      <c r="D99">
        <v>5.534939632479869</v>
      </c>
      <c r="E99">
        <v>26</v>
      </c>
      <c r="F99">
        <v>14</v>
      </c>
      <c r="G99">
        <v>1.1180726495646593</v>
      </c>
      <c r="H99">
        <v>23</v>
      </c>
      <c r="I99">
        <v>7</v>
      </c>
      <c r="J99">
        <v>0.74955018925118932</v>
      </c>
      <c r="K99">
        <v>509237470.70630324</v>
      </c>
      <c r="L99">
        <v>54453900</v>
      </c>
      <c r="M99">
        <v>79689625.72319518</v>
      </c>
      <c r="N99">
        <v>148514000</v>
      </c>
      <c r="O99">
        <v>15895132.48</v>
      </c>
      <c r="P99">
        <v>210.23356899999999</v>
      </c>
      <c r="Q99">
        <v>-0.33065533558838467</v>
      </c>
      <c r="R99">
        <v>43.639891499999997</v>
      </c>
      <c r="S99">
        <v>780.83559000000002</v>
      </c>
      <c r="T99">
        <v>4.8177178199999997E-13</v>
      </c>
      <c r="U99">
        <v>19.152765784808171</v>
      </c>
      <c r="V99">
        <v>91.850000000000009</v>
      </c>
      <c r="W99">
        <v>-239.89861040454468</v>
      </c>
      <c r="X99">
        <v>62.8444261</v>
      </c>
      <c r="Y99">
        <v>92.603451500000006</v>
      </c>
      <c r="Z99">
        <v>180.98100000000002</v>
      </c>
      <c r="AA99">
        <v>231.74010799999999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 s="27">
        <f>SUM(AB99:AN99)+Q99</f>
        <v>-0.33065533558838467</v>
      </c>
    </row>
    <row r="100" spans="1:41">
      <c r="A100">
        <v>914.2184758326373</v>
      </c>
      <c r="B100">
        <v>38</v>
      </c>
      <c r="C100">
        <v>10</v>
      </c>
      <c r="D100">
        <v>9.6325041894373769</v>
      </c>
      <c r="E100">
        <v>18</v>
      </c>
      <c r="F100">
        <v>13</v>
      </c>
      <c r="G100">
        <v>0.92600250204326739</v>
      </c>
      <c r="H100">
        <v>23</v>
      </c>
      <c r="I100">
        <v>11</v>
      </c>
      <c r="J100">
        <v>0.49283202204029486</v>
      </c>
      <c r="K100">
        <v>510180550.46401727</v>
      </c>
      <c r="L100">
        <v>54446800</v>
      </c>
      <c r="M100">
        <v>79679039.272053614</v>
      </c>
      <c r="N100">
        <v>148178000</v>
      </c>
      <c r="O100">
        <v>15894906.24</v>
      </c>
      <c r="P100">
        <v>210.229905</v>
      </c>
      <c r="Q100">
        <v>-0.32070965448420369</v>
      </c>
      <c r="R100">
        <v>43.593939300000002</v>
      </c>
      <c r="S100">
        <v>779.94248600000003</v>
      </c>
      <c r="T100">
        <v>5.8916289499999996E-17</v>
      </c>
      <c r="U100">
        <v>19.080117770195599</v>
      </c>
      <c r="V100">
        <v>100.934</v>
      </c>
      <c r="W100">
        <v>-239.04526160307196</v>
      </c>
      <c r="X100">
        <v>62.859421599999997</v>
      </c>
      <c r="Y100">
        <v>92.220416400000005</v>
      </c>
      <c r="Z100">
        <v>144.29</v>
      </c>
      <c r="AA100">
        <v>232.14058299999999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 s="27">
        <f>SUM(AB100:AN100)+Q100</f>
        <v>-0.32070965448420369</v>
      </c>
    </row>
    <row r="101" spans="1:41">
      <c r="A101">
        <v>918.60298642474436</v>
      </c>
      <c r="B101">
        <v>36</v>
      </c>
      <c r="C101">
        <v>10</v>
      </c>
      <c r="D101">
        <v>10.564250429393368</v>
      </c>
      <c r="E101">
        <v>27</v>
      </c>
      <c r="F101">
        <v>10</v>
      </c>
      <c r="G101">
        <v>0.9253000182933333</v>
      </c>
      <c r="H101">
        <v>14</v>
      </c>
      <c r="I101">
        <v>7</v>
      </c>
      <c r="J101">
        <v>0.94429990640440642</v>
      </c>
      <c r="K101">
        <v>510233028.79414332</v>
      </c>
      <c r="L101">
        <v>54452300</v>
      </c>
      <c r="M101">
        <v>79684432.524948105</v>
      </c>
      <c r="N101">
        <v>148414000</v>
      </c>
      <c r="O101">
        <v>15896580.720000001</v>
      </c>
      <c r="P101">
        <v>210.12074200000001</v>
      </c>
      <c r="Q101">
        <v>-0.32554920495911471</v>
      </c>
      <c r="R101">
        <v>43.639617600000001</v>
      </c>
      <c r="S101">
        <v>780.48214699999994</v>
      </c>
      <c r="T101">
        <v>1.22177066E-14</v>
      </c>
      <c r="U101">
        <v>19.178217258594081</v>
      </c>
      <c r="V101">
        <v>100.934</v>
      </c>
      <c r="W101">
        <v>-237.90666323665945</v>
      </c>
      <c r="X101">
        <v>62.8534632</v>
      </c>
      <c r="Y101">
        <v>92.2422866</v>
      </c>
      <c r="Z101">
        <v>203.285</v>
      </c>
      <c r="AA101">
        <v>232.237291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 s="27">
        <f>SUM(AB101:AN101)+Q101</f>
        <v>-0.32554920495911471</v>
      </c>
    </row>
    <row r="102" spans="1:41">
      <c r="A102">
        <v>926.51906343139035</v>
      </c>
      <c r="B102">
        <v>37</v>
      </c>
      <c r="C102">
        <v>15</v>
      </c>
      <c r="D102">
        <v>5.9058626333118678</v>
      </c>
      <c r="E102">
        <v>19</v>
      </c>
      <c r="F102">
        <v>8</v>
      </c>
      <c r="G102">
        <v>0.43632401102999097</v>
      </c>
      <c r="H102">
        <v>17</v>
      </c>
      <c r="I102">
        <v>9</v>
      </c>
      <c r="J102">
        <v>0.61325330435355452</v>
      </c>
      <c r="K102">
        <v>509002896.59569454</v>
      </c>
      <c r="L102">
        <v>54455900</v>
      </c>
      <c r="M102">
        <v>79690624.50369519</v>
      </c>
      <c r="N102">
        <v>148827000</v>
      </c>
      <c r="O102">
        <v>15885283.92</v>
      </c>
      <c r="P102">
        <v>210.73989700000001</v>
      </c>
      <c r="Q102">
        <v>-0.3371310039659754</v>
      </c>
      <c r="R102">
        <v>43.631833200000003</v>
      </c>
      <c r="S102">
        <v>779.69670700000006</v>
      </c>
      <c r="T102">
        <v>5.9207384199999997E-12</v>
      </c>
      <c r="U102">
        <v>19.421602584409708</v>
      </c>
      <c r="V102">
        <v>100.934</v>
      </c>
      <c r="W102">
        <v>-238.19221825408437</v>
      </c>
      <c r="X102">
        <v>62.845162199999997</v>
      </c>
      <c r="Y102">
        <v>92.357248100000007</v>
      </c>
      <c r="Z102">
        <v>177.97</v>
      </c>
      <c r="AA102">
        <v>232.69342900000001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s="27">
        <f>SUM(AB102:AN102)+Q102</f>
        <v>-0.3371310039659754</v>
      </c>
    </row>
    <row r="103" spans="1:41">
      <c r="A103">
        <v>930.81064248004782</v>
      </c>
      <c r="B103">
        <v>30</v>
      </c>
      <c r="C103">
        <v>13</v>
      </c>
      <c r="D103">
        <v>6.1754294711274991</v>
      </c>
      <c r="E103">
        <v>21</v>
      </c>
      <c r="F103">
        <v>5</v>
      </c>
      <c r="G103">
        <v>0.71911550157006765</v>
      </c>
      <c r="H103">
        <v>23</v>
      </c>
      <c r="I103">
        <v>9</v>
      </c>
      <c r="J103">
        <v>1.39125677044314</v>
      </c>
      <c r="K103">
        <v>509306577.71292603</v>
      </c>
      <c r="L103">
        <v>54460100</v>
      </c>
      <c r="M103">
        <v>79695817.564091101</v>
      </c>
      <c r="N103">
        <v>148956000</v>
      </c>
      <c r="O103">
        <v>15886384.16</v>
      </c>
      <c r="P103">
        <v>210.85734099999999</v>
      </c>
      <c r="Q103">
        <v>-0.33857823935626613</v>
      </c>
      <c r="R103">
        <v>43.646313200000002</v>
      </c>
      <c r="S103">
        <v>780.01683300000002</v>
      </c>
      <c r="T103">
        <v>1.0014418200000001E-9</v>
      </c>
      <c r="U103">
        <v>19.437692253446066</v>
      </c>
      <c r="V103">
        <v>100.934</v>
      </c>
      <c r="W103">
        <v>-237.53007670748548</v>
      </c>
      <c r="X103">
        <v>62.838000800000003</v>
      </c>
      <c r="Y103">
        <v>92.487063699999993</v>
      </c>
      <c r="Z103">
        <v>180.98100000000002</v>
      </c>
      <c r="AA103">
        <v>231.19148200000001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 s="27">
        <f>SUM(AB103:AN103)+Q103</f>
        <v>-0.33857823935626613</v>
      </c>
    </row>
    <row r="104" spans="1:41">
      <c r="A104">
        <v>932.19660496683025</v>
      </c>
      <c r="B104">
        <v>32</v>
      </c>
      <c r="C104">
        <v>13</v>
      </c>
      <c r="D104">
        <v>5.0332071835769732</v>
      </c>
      <c r="E104">
        <v>23</v>
      </c>
      <c r="F104">
        <v>7</v>
      </c>
      <c r="G104">
        <v>0.58617655429647453</v>
      </c>
      <c r="H104">
        <v>26</v>
      </c>
      <c r="I104">
        <v>7</v>
      </c>
      <c r="J104">
        <v>1.2235809447828365</v>
      </c>
      <c r="K104">
        <v>509329076.18403929</v>
      </c>
      <c r="L104">
        <v>54464100</v>
      </c>
      <c r="M104">
        <v>79697615.309782937</v>
      </c>
      <c r="N104">
        <v>149049000</v>
      </c>
      <c r="O104">
        <v>15887066.880000001</v>
      </c>
      <c r="P104">
        <v>211.01712499999999</v>
      </c>
      <c r="Q104">
        <v>-0.34011130791886751</v>
      </c>
      <c r="R104">
        <v>43.641490300000001</v>
      </c>
      <c r="S104">
        <v>779.88058999999998</v>
      </c>
      <c r="T104">
        <v>1.9789099500000001E-11</v>
      </c>
      <c r="U104">
        <v>19.355276970588235</v>
      </c>
      <c r="V104">
        <v>100.934</v>
      </c>
      <c r="W104">
        <v>-237.38255255676694</v>
      </c>
      <c r="X104">
        <v>62.836036800000002</v>
      </c>
      <c r="Y104">
        <v>92.507215500000001</v>
      </c>
      <c r="Z104">
        <v>180.98100000000002</v>
      </c>
      <c r="AA104">
        <v>231.34448599999999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 s="27">
        <f>SUM(AB104:AN104)+Q104</f>
        <v>-0.34011130791886751</v>
      </c>
    </row>
    <row r="105" spans="1:41">
      <c r="A105">
        <v>920.55057583107282</v>
      </c>
      <c r="B105">
        <v>39</v>
      </c>
      <c r="C105">
        <v>14</v>
      </c>
      <c r="D105">
        <v>12.694951155155874</v>
      </c>
      <c r="E105">
        <v>29</v>
      </c>
      <c r="F105">
        <v>9</v>
      </c>
      <c r="G105">
        <v>0.86285868798830467</v>
      </c>
      <c r="H105">
        <v>25</v>
      </c>
      <c r="I105">
        <v>8</v>
      </c>
      <c r="J105">
        <v>0.95925734841289612</v>
      </c>
      <c r="K105">
        <v>511103589.68583894</v>
      </c>
      <c r="L105">
        <v>54505700</v>
      </c>
      <c r="M105">
        <v>79686729.397924989</v>
      </c>
      <c r="N105">
        <v>148498000</v>
      </c>
      <c r="O105">
        <v>15898236.960000001</v>
      </c>
      <c r="P105">
        <v>210.274191</v>
      </c>
      <c r="Q105">
        <v>-0.32314348370384482</v>
      </c>
      <c r="R105">
        <v>43.641151800000003</v>
      </c>
      <c r="S105">
        <v>780.38490200000001</v>
      </c>
      <c r="T105">
        <v>1.1408018099999999E-13</v>
      </c>
      <c r="U105">
        <v>19.200481508372491</v>
      </c>
      <c r="V105">
        <v>100.934</v>
      </c>
      <c r="W105">
        <v>-238.1935719714281</v>
      </c>
      <c r="X105">
        <v>62.8479174</v>
      </c>
      <c r="Y105">
        <v>92.107774199999994</v>
      </c>
      <c r="Z105">
        <v>203.285</v>
      </c>
      <c r="AA105">
        <v>231.405957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 s="27">
        <f>SUM(AB105:AN105)+Q105</f>
        <v>-0.32314348370384482</v>
      </c>
    </row>
    <row r="106" spans="1:41">
      <c r="A106">
        <v>927.181895569684</v>
      </c>
      <c r="B106">
        <v>29</v>
      </c>
      <c r="C106">
        <v>10</v>
      </c>
      <c r="D106">
        <v>5.4041367613435209</v>
      </c>
      <c r="E106">
        <v>21</v>
      </c>
      <c r="F106">
        <v>6</v>
      </c>
      <c r="G106">
        <v>0.3298287074635155</v>
      </c>
      <c r="H106">
        <v>26</v>
      </c>
      <c r="I106">
        <v>9</v>
      </c>
      <c r="J106">
        <v>1.0503993073965805</v>
      </c>
      <c r="K106">
        <v>508991791.2726146</v>
      </c>
      <c r="L106">
        <v>54457900</v>
      </c>
      <c r="M106">
        <v>79691423.437043592</v>
      </c>
      <c r="N106">
        <v>148794000</v>
      </c>
      <c r="O106">
        <v>15884530.559999999</v>
      </c>
      <c r="P106">
        <v>210.532444</v>
      </c>
      <c r="Q106">
        <v>-0.33676514977871652</v>
      </c>
      <c r="R106">
        <v>43.651809999999998</v>
      </c>
      <c r="S106">
        <v>780.09974599999998</v>
      </c>
      <c r="T106">
        <v>5.9301905399999997E-10</v>
      </c>
      <c r="U106">
        <v>19.691984596173569</v>
      </c>
      <c r="V106">
        <v>100.934</v>
      </c>
      <c r="W106">
        <v>-236.65837290611006</v>
      </c>
      <c r="X106">
        <v>62.846175899999999</v>
      </c>
      <c r="Y106">
        <v>92.571332200000001</v>
      </c>
      <c r="Z106">
        <v>177.97</v>
      </c>
      <c r="AA106">
        <v>231.35318599999999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 s="27">
        <f>SUM(AB106:AN106)+Q106</f>
        <v>-0.33676514977871652</v>
      </c>
    </row>
    <row r="107" spans="1:41">
      <c r="A107">
        <v>957.4573383495084</v>
      </c>
      <c r="B107">
        <v>27</v>
      </c>
      <c r="C107">
        <v>15</v>
      </c>
      <c r="D107">
        <v>3.0304276480834904</v>
      </c>
      <c r="E107">
        <v>17</v>
      </c>
      <c r="F107">
        <v>8</v>
      </c>
      <c r="G107">
        <v>0.84676580430167614</v>
      </c>
      <c r="H107">
        <v>18</v>
      </c>
      <c r="I107">
        <v>9</v>
      </c>
      <c r="J107">
        <v>1.2642332497447464</v>
      </c>
      <c r="K107">
        <v>504710886.62969136</v>
      </c>
      <c r="L107">
        <v>54457900</v>
      </c>
      <c r="M107">
        <v>79691502.434386939</v>
      </c>
      <c r="N107">
        <v>148794000</v>
      </c>
      <c r="O107">
        <v>16377486.48</v>
      </c>
      <c r="P107">
        <v>204.73790099999999</v>
      </c>
      <c r="Q107">
        <v>-0.36049067438492433</v>
      </c>
      <c r="R107">
        <v>43.628329700000002</v>
      </c>
      <c r="S107">
        <v>779.97058600000003</v>
      </c>
      <c r="T107">
        <v>1.4778067000000001E-12</v>
      </c>
      <c r="U107">
        <v>19.243144253780159</v>
      </c>
      <c r="V107">
        <v>91.850000000000009</v>
      </c>
      <c r="W107">
        <v>-237.71286874740633</v>
      </c>
      <c r="X107">
        <v>62.907477999999998</v>
      </c>
      <c r="Y107">
        <v>92.821423899999999</v>
      </c>
      <c r="Z107">
        <v>177.97</v>
      </c>
      <c r="AA107">
        <v>231.50321500000001</v>
      </c>
      <c r="AB107">
        <v>100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 s="27">
        <f>SUM(AB107:AN107)+Q107</f>
        <v>99.63950932561508</v>
      </c>
    </row>
    <row r="108" spans="1:41">
      <c r="A108">
        <v>943.43893003772303</v>
      </c>
      <c r="B108">
        <v>28</v>
      </c>
      <c r="C108">
        <v>12</v>
      </c>
      <c r="D108">
        <v>14.510994283946077</v>
      </c>
      <c r="E108">
        <v>27</v>
      </c>
      <c r="F108">
        <v>5</v>
      </c>
      <c r="G108">
        <v>0.86043876308479517</v>
      </c>
      <c r="H108">
        <v>26</v>
      </c>
      <c r="I108">
        <v>12</v>
      </c>
      <c r="J108">
        <v>1.3162828864958851</v>
      </c>
      <c r="K108">
        <v>511345881.70904607</v>
      </c>
      <c r="L108">
        <v>54526100</v>
      </c>
      <c r="M108">
        <v>79711796.459099025</v>
      </c>
      <c r="N108">
        <v>149581000</v>
      </c>
      <c r="O108">
        <v>15897645.039999999</v>
      </c>
      <c r="P108">
        <v>211.74856600000001</v>
      </c>
      <c r="Q108">
        <v>-0.34226881937457865</v>
      </c>
      <c r="R108">
        <v>43.646315199999997</v>
      </c>
      <c r="S108">
        <v>780.22228900000005</v>
      </c>
      <c r="T108">
        <v>7.4274287999999997E-10</v>
      </c>
      <c r="U108">
        <v>19.388678280511332</v>
      </c>
      <c r="V108">
        <v>100.934</v>
      </c>
      <c r="W108">
        <v>-237.89812823443097</v>
      </c>
      <c r="X108">
        <v>62.817315100000002</v>
      </c>
      <c r="Y108">
        <v>92.3800679</v>
      </c>
      <c r="Z108">
        <v>203.285</v>
      </c>
      <c r="AA108">
        <v>230.90020999999999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 s="27">
        <f>SUM(AB108:AN108)+Q108</f>
        <v>-0.34226881937457865</v>
      </c>
    </row>
    <row r="109" spans="1:41">
      <c r="A109">
        <v>937.97644973347258</v>
      </c>
      <c r="B109">
        <v>34</v>
      </c>
      <c r="C109">
        <v>19</v>
      </c>
      <c r="D109">
        <v>8.6853229162630115</v>
      </c>
      <c r="E109">
        <v>20</v>
      </c>
      <c r="F109">
        <v>9</v>
      </c>
      <c r="G109">
        <v>0.34331757542066799</v>
      </c>
      <c r="H109">
        <v>15</v>
      </c>
      <c r="I109">
        <v>12</v>
      </c>
      <c r="J109">
        <v>0.8908113671910185</v>
      </c>
      <c r="K109">
        <v>509561222.70697129</v>
      </c>
      <c r="L109">
        <v>54469000</v>
      </c>
      <c r="M109">
        <v>79704805.747308865</v>
      </c>
      <c r="N109">
        <v>149499000</v>
      </c>
      <c r="O109">
        <v>15891874.640000001</v>
      </c>
      <c r="P109">
        <v>211.71799100000001</v>
      </c>
      <c r="Q109">
        <v>-0.34752143239891903</v>
      </c>
      <c r="R109">
        <v>43.629935000000003</v>
      </c>
      <c r="S109">
        <v>779.77544399999999</v>
      </c>
      <c r="T109">
        <v>1.9482470599999999E-12</v>
      </c>
      <c r="U109">
        <v>19.519592928937538</v>
      </c>
      <c r="V109">
        <v>100.934</v>
      </c>
      <c r="W109">
        <v>-239.31839627264856</v>
      </c>
      <c r="X109">
        <v>62.842745899999997</v>
      </c>
      <c r="Y109">
        <v>92.330381200000005</v>
      </c>
      <c r="Z109">
        <v>177.97</v>
      </c>
      <c r="AA109">
        <v>233.43867900000001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 s="27">
        <f>SUM(AB109:AN109)+Q109</f>
        <v>-0.34752143239891903</v>
      </c>
    </row>
    <row r="110" spans="1:41">
      <c r="A110">
        <v>943.94316281933789</v>
      </c>
      <c r="B110">
        <v>29</v>
      </c>
      <c r="C110">
        <v>19</v>
      </c>
      <c r="D110">
        <v>7.7426765910650825</v>
      </c>
      <c r="E110">
        <v>27</v>
      </c>
      <c r="F110">
        <v>12</v>
      </c>
      <c r="G110">
        <v>1.1598253269966292</v>
      </c>
      <c r="H110">
        <v>17</v>
      </c>
      <c r="I110">
        <v>9</v>
      </c>
      <c r="J110">
        <v>0.54016564317877058</v>
      </c>
      <c r="K110">
        <v>509879403.52567452</v>
      </c>
      <c r="L110">
        <v>54469000</v>
      </c>
      <c r="M110">
        <v>79704793.778089121</v>
      </c>
      <c r="N110">
        <v>149499000</v>
      </c>
      <c r="O110">
        <v>15895961.68</v>
      </c>
      <c r="P110">
        <v>211.707742</v>
      </c>
      <c r="Q110">
        <v>-0.34651798809264711</v>
      </c>
      <c r="R110">
        <v>43.641292300000003</v>
      </c>
      <c r="S110">
        <v>780.97333000000003</v>
      </c>
      <c r="T110">
        <v>2.3670881099999998E-13</v>
      </c>
      <c r="U110">
        <v>19.164775830147043</v>
      </c>
      <c r="V110">
        <v>91.850000000000009</v>
      </c>
      <c r="W110">
        <v>-239.74093065044116</v>
      </c>
      <c r="X110">
        <v>62.8149017</v>
      </c>
      <c r="Y110">
        <v>92.4849593</v>
      </c>
      <c r="Z110">
        <v>203.285</v>
      </c>
      <c r="AA110">
        <v>232.68594400000001</v>
      </c>
      <c r="AB110">
        <v>100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 s="27">
        <f>SUM(AB110:AN110)+Q110</f>
        <v>99.653482011907357</v>
      </c>
    </row>
    <row r="111" spans="1:41">
      <c r="A111">
        <v>926.50839657995198</v>
      </c>
      <c r="B111">
        <v>30</v>
      </c>
      <c r="C111">
        <v>12</v>
      </c>
      <c r="D111">
        <v>8.518840589743899</v>
      </c>
      <c r="E111">
        <v>13</v>
      </c>
      <c r="F111">
        <v>6</v>
      </c>
      <c r="G111">
        <v>0.92294630955668544</v>
      </c>
      <c r="H111">
        <v>24</v>
      </c>
      <c r="I111">
        <v>9</v>
      </c>
      <c r="J111">
        <v>1.144941199526579</v>
      </c>
      <c r="K111">
        <v>509483071.5817914</v>
      </c>
      <c r="L111">
        <v>54452100</v>
      </c>
      <c r="M111">
        <v>79690524.442884549</v>
      </c>
      <c r="N111">
        <v>148686000</v>
      </c>
      <c r="O111">
        <v>15886625.279999999</v>
      </c>
      <c r="P111">
        <v>210.759727</v>
      </c>
      <c r="Q111">
        <v>-0.33267900506764098</v>
      </c>
      <c r="R111">
        <v>43.618996099999997</v>
      </c>
      <c r="S111">
        <v>779.825107</v>
      </c>
      <c r="T111">
        <v>9.6206633300000001E-11</v>
      </c>
      <c r="U111">
        <v>19.310289498323172</v>
      </c>
      <c r="V111">
        <v>100.934</v>
      </c>
      <c r="W111">
        <v>-238.50597264339999</v>
      </c>
      <c r="X111">
        <v>62.844532600000001</v>
      </c>
      <c r="Y111">
        <v>92.415497700000003</v>
      </c>
      <c r="Z111">
        <v>165.7</v>
      </c>
      <c r="AA111">
        <v>231.02505500000001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s="27">
        <f>SUM(AB111:AN111)+Q111</f>
        <v>-0.33267900506764098</v>
      </c>
    </row>
    <row r="112" spans="1:41">
      <c r="A112">
        <v>952.79431605318825</v>
      </c>
      <c r="B112">
        <v>37</v>
      </c>
      <c r="C112">
        <v>16</v>
      </c>
      <c r="D112">
        <v>3.8669599687455092</v>
      </c>
      <c r="E112">
        <v>26</v>
      </c>
      <c r="F112">
        <v>12</v>
      </c>
      <c r="G112">
        <v>0.49071890621679393</v>
      </c>
      <c r="H112">
        <v>23</v>
      </c>
      <c r="I112">
        <v>8</v>
      </c>
      <c r="J112">
        <v>1.1048181314209833</v>
      </c>
      <c r="K112">
        <v>509868760.46541822</v>
      </c>
      <c r="L112">
        <v>54504400</v>
      </c>
      <c r="M112">
        <v>79724280.107403949</v>
      </c>
      <c r="N112">
        <v>150212000</v>
      </c>
      <c r="O112">
        <v>15897130.16</v>
      </c>
      <c r="P112">
        <v>212.70311899999999</v>
      </c>
      <c r="Q112">
        <v>-0.35899296364484007</v>
      </c>
      <c r="R112">
        <v>43.633031799999998</v>
      </c>
      <c r="S112">
        <v>779.61849800000005</v>
      </c>
      <c r="T112">
        <v>1.2748671700000001E-15</v>
      </c>
      <c r="U112">
        <v>19.280431086958039</v>
      </c>
      <c r="V112">
        <v>100.934</v>
      </c>
      <c r="W112">
        <v>-237.74019790535348</v>
      </c>
      <c r="X112">
        <v>62.8023557</v>
      </c>
      <c r="Y112">
        <v>92.519691800000004</v>
      </c>
      <c r="Z112">
        <v>180.98100000000002</v>
      </c>
      <c r="AA112">
        <v>231.539547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s="27">
        <f>SUM(AB112:AN112)+Q112</f>
        <v>-0.35899296364484007</v>
      </c>
    </row>
    <row r="113" spans="1:41">
      <c r="A113">
        <v>944.99965952320656</v>
      </c>
      <c r="B113">
        <v>28</v>
      </c>
      <c r="C113">
        <v>16</v>
      </c>
      <c r="D113">
        <v>12.112298586272699</v>
      </c>
      <c r="E113">
        <v>18</v>
      </c>
      <c r="F113">
        <v>5</v>
      </c>
      <c r="G113">
        <v>0.81366440538450835</v>
      </c>
      <c r="H113">
        <v>16</v>
      </c>
      <c r="I113">
        <v>11</v>
      </c>
      <c r="J113">
        <v>0.73806033675287042</v>
      </c>
      <c r="K113">
        <v>510310149.97138911</v>
      </c>
      <c r="L113">
        <v>54487100</v>
      </c>
      <c r="M113">
        <v>79713893.803358406</v>
      </c>
      <c r="N113">
        <v>149786000</v>
      </c>
      <c r="O113">
        <v>15897343.199999999</v>
      </c>
      <c r="P113">
        <v>211.990509</v>
      </c>
      <c r="Q113">
        <v>-0.35027578788836594</v>
      </c>
      <c r="R113">
        <v>43.643420800000001</v>
      </c>
      <c r="S113">
        <v>779.98444899999993</v>
      </c>
      <c r="T113">
        <v>8.6289754599999995E-10</v>
      </c>
      <c r="U113">
        <v>19.411485566619419</v>
      </c>
      <c r="V113">
        <v>100.934</v>
      </c>
      <c r="W113">
        <v>-238.22288425134653</v>
      </c>
      <c r="X113">
        <v>62.820219100000003</v>
      </c>
      <c r="Y113">
        <v>92.412575099999998</v>
      </c>
      <c r="Z113">
        <v>180.98100000000002</v>
      </c>
      <c r="AA113">
        <v>233.01150899999999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 s="27">
        <f>SUM(AB113:AN113)+Q113</f>
        <v>-0.35027578788836594</v>
      </c>
    </row>
    <row r="114" spans="1:41">
      <c r="A114">
        <v>913.26096929822995</v>
      </c>
      <c r="B114">
        <v>38</v>
      </c>
      <c r="C114">
        <v>13</v>
      </c>
      <c r="D114">
        <v>10.835829995362046</v>
      </c>
      <c r="E114">
        <v>16</v>
      </c>
      <c r="F114">
        <v>5</v>
      </c>
      <c r="G114">
        <v>0.50294341904696394</v>
      </c>
      <c r="H114">
        <v>19</v>
      </c>
      <c r="I114">
        <v>8</v>
      </c>
      <c r="J114">
        <v>1.2749023829052109</v>
      </c>
      <c r="K114">
        <v>510213708.17034143</v>
      </c>
      <c r="L114">
        <v>54445800</v>
      </c>
      <c r="M114">
        <v>79678040.822314203</v>
      </c>
      <c r="N114">
        <v>148233000</v>
      </c>
      <c r="O114">
        <v>15894056.880000001</v>
      </c>
      <c r="P114">
        <v>209.89695900000001</v>
      </c>
      <c r="Q114">
        <v>-0.3222888711988855</v>
      </c>
      <c r="R114">
        <v>43.641225599999999</v>
      </c>
      <c r="S114">
        <v>779.92337499999996</v>
      </c>
      <c r="T114">
        <v>1.8569540800000001E-9</v>
      </c>
      <c r="U114">
        <v>19.553088155163685</v>
      </c>
      <c r="V114">
        <v>100.934</v>
      </c>
      <c r="W114">
        <v>-238.05319746611451</v>
      </c>
      <c r="X114">
        <v>62.859356400000003</v>
      </c>
      <c r="Y114">
        <v>92.172596900000002</v>
      </c>
      <c r="Z114">
        <v>177.97</v>
      </c>
      <c r="AA114">
        <v>231.47965099999999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 s="27">
        <f>SUM(AB114:AN114)+Q114</f>
        <v>-0.3222888711988855</v>
      </c>
    </row>
    <row r="115" spans="1:41">
      <c r="A115">
        <v>922.97987729606052</v>
      </c>
      <c r="B115">
        <v>29</v>
      </c>
      <c r="C115">
        <v>12</v>
      </c>
      <c r="D115">
        <v>3.1435889631602452</v>
      </c>
      <c r="E115">
        <v>12</v>
      </c>
      <c r="F115">
        <v>5</v>
      </c>
      <c r="G115">
        <v>0.78247961996622251</v>
      </c>
      <c r="H115">
        <v>21</v>
      </c>
      <c r="I115">
        <v>12</v>
      </c>
      <c r="J115">
        <v>1.1519304560307622</v>
      </c>
      <c r="K115">
        <v>508454633.57333845</v>
      </c>
      <c r="L115">
        <v>54420300</v>
      </c>
      <c r="M115">
        <v>79689625.477281854</v>
      </c>
      <c r="N115">
        <v>148618000</v>
      </c>
      <c r="O115">
        <v>15893878.08</v>
      </c>
      <c r="P115">
        <v>210.69409200000001</v>
      </c>
      <c r="Q115">
        <v>-0.33533782028779391</v>
      </c>
      <c r="R115">
        <v>43.612641699999998</v>
      </c>
      <c r="S115">
        <v>779.85427100000004</v>
      </c>
      <c r="T115">
        <v>1.05789419E-9</v>
      </c>
      <c r="U115">
        <v>19.41431687341283</v>
      </c>
      <c r="V115">
        <v>100.934</v>
      </c>
      <c r="W115">
        <v>-237.44866510862218</v>
      </c>
      <c r="X115">
        <v>62.850039899999999</v>
      </c>
      <c r="Y115">
        <v>92.759529000000001</v>
      </c>
      <c r="Z115">
        <v>165.7</v>
      </c>
      <c r="AA115">
        <v>231.11559099999999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 s="27">
        <f>SUM(AB115:AN115)+Q115</f>
        <v>-0.33533782028779391</v>
      </c>
    </row>
    <row r="116" spans="1:41">
      <c r="A116">
        <v>932.46297252797854</v>
      </c>
      <c r="B116">
        <v>28</v>
      </c>
      <c r="C116">
        <v>18</v>
      </c>
      <c r="D116">
        <v>7.034746364060811</v>
      </c>
      <c r="E116">
        <v>17</v>
      </c>
      <c r="F116">
        <v>14</v>
      </c>
      <c r="G116">
        <v>0.41717173572037114</v>
      </c>
      <c r="H116">
        <v>28</v>
      </c>
      <c r="I116">
        <v>8</v>
      </c>
      <c r="J116">
        <v>1.1377092325460758</v>
      </c>
      <c r="K116">
        <v>509406528.69325209</v>
      </c>
      <c r="L116">
        <v>54463300</v>
      </c>
      <c r="M116">
        <v>79697914.863975167</v>
      </c>
      <c r="N116">
        <v>149021000</v>
      </c>
      <c r="O116">
        <v>15888238.960000001</v>
      </c>
      <c r="P116">
        <v>210.93813499999999</v>
      </c>
      <c r="Q116">
        <v>-0.33942018726173462</v>
      </c>
      <c r="R116">
        <v>43.645055900000003</v>
      </c>
      <c r="S116">
        <v>780.04746300000011</v>
      </c>
      <c r="T116">
        <v>2.5306225700000002E-9</v>
      </c>
      <c r="U116">
        <v>19.645226758518312</v>
      </c>
      <c r="V116">
        <v>91.850000000000009</v>
      </c>
      <c r="W116">
        <v>-239.09762601376784</v>
      </c>
      <c r="X116">
        <v>62.834414199999998</v>
      </c>
      <c r="Y116">
        <v>92.535028600000004</v>
      </c>
      <c r="Z116">
        <v>177.97</v>
      </c>
      <c r="AA116">
        <v>231.11130600000001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 s="27">
        <f>SUM(AB116:AN116)+Q116</f>
        <v>-0.33942018726173462</v>
      </c>
    </row>
    <row r="117" spans="1:41">
      <c r="A117">
        <v>938.79442664740668</v>
      </c>
      <c r="B117">
        <v>32</v>
      </c>
      <c r="C117">
        <v>15</v>
      </c>
      <c r="D117">
        <v>7.4304561810810101</v>
      </c>
      <c r="E117">
        <v>22</v>
      </c>
      <c r="F117">
        <v>14</v>
      </c>
      <c r="G117">
        <v>0.76719572375152634</v>
      </c>
      <c r="H117">
        <v>27</v>
      </c>
      <c r="I117">
        <v>10</v>
      </c>
      <c r="J117">
        <v>0.95481126347727141</v>
      </c>
      <c r="K117">
        <v>509765891.20162541</v>
      </c>
      <c r="L117">
        <v>54500500</v>
      </c>
      <c r="M117">
        <v>79705804.312095448</v>
      </c>
      <c r="N117">
        <v>149323000</v>
      </c>
      <c r="O117">
        <v>15891442.559999999</v>
      </c>
      <c r="P117">
        <v>211.63242099999999</v>
      </c>
      <c r="Q117">
        <v>-0.34267728564422306</v>
      </c>
      <c r="R117">
        <v>43.617986799999997</v>
      </c>
      <c r="S117">
        <v>779.91446600000006</v>
      </c>
      <c r="T117">
        <v>8.0121778799999994E-18</v>
      </c>
      <c r="U117">
        <v>19.146888476423431</v>
      </c>
      <c r="V117">
        <v>100.934</v>
      </c>
      <c r="W117">
        <v>-238.81122905929675</v>
      </c>
      <c r="X117">
        <v>62.824742399999998</v>
      </c>
      <c r="Y117">
        <v>92.389213900000001</v>
      </c>
      <c r="Z117">
        <v>177.97</v>
      </c>
      <c r="AA117">
        <v>231.17244500000001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s="27">
        <f>SUM(AB117:AN117)+Q117</f>
        <v>-0.34267728564422306</v>
      </c>
    </row>
    <row r="118" spans="1:41">
      <c r="A118">
        <v>921.92133685934039</v>
      </c>
      <c r="B118">
        <v>36</v>
      </c>
      <c r="C118">
        <v>17</v>
      </c>
      <c r="D118">
        <v>6.0465730728988838</v>
      </c>
      <c r="E118">
        <v>29</v>
      </c>
      <c r="F118">
        <v>13</v>
      </c>
      <c r="G118">
        <v>1.103237392742493</v>
      </c>
      <c r="H118">
        <v>29</v>
      </c>
      <c r="I118">
        <v>11</v>
      </c>
      <c r="J118">
        <v>1.3860846765265651</v>
      </c>
      <c r="K118">
        <v>509723998.88225251</v>
      </c>
      <c r="L118">
        <v>54487500</v>
      </c>
      <c r="M118">
        <v>79688327.182856113</v>
      </c>
      <c r="N118">
        <v>148438000</v>
      </c>
      <c r="O118">
        <v>15895162.800000001</v>
      </c>
      <c r="P118">
        <v>210.198285</v>
      </c>
      <c r="Q118">
        <v>-0.32683785906227714</v>
      </c>
      <c r="R118">
        <v>43.641093599999998</v>
      </c>
      <c r="S118">
        <v>780.99125100000003</v>
      </c>
      <c r="T118">
        <v>1.37481328E-17</v>
      </c>
      <c r="U118">
        <v>19.149950856162651</v>
      </c>
      <c r="V118">
        <v>100.934</v>
      </c>
      <c r="W118">
        <v>-238.91227909360458</v>
      </c>
      <c r="X118">
        <v>62.846554599999997</v>
      </c>
      <c r="Y118">
        <v>92.373356099999995</v>
      </c>
      <c r="Z118">
        <v>203.285</v>
      </c>
      <c r="AA118">
        <v>230.536382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s="27">
        <f>SUM(AB118:AN118)+Q118</f>
        <v>-0.32683785906227714</v>
      </c>
    </row>
    <row r="119" spans="1:41">
      <c r="A119">
        <v>946.19334867344787</v>
      </c>
      <c r="B119">
        <v>39</v>
      </c>
      <c r="C119">
        <v>15</v>
      </c>
      <c r="D119">
        <v>9.5366116173427162</v>
      </c>
      <c r="E119">
        <v>20</v>
      </c>
      <c r="F119">
        <v>8</v>
      </c>
      <c r="G119">
        <v>0.40569609798209427</v>
      </c>
      <c r="H119">
        <v>15</v>
      </c>
      <c r="I119">
        <v>11</v>
      </c>
      <c r="J119">
        <v>0.74631278024405134</v>
      </c>
      <c r="K119">
        <v>510387568.10991901</v>
      </c>
      <c r="L119">
        <v>54509800</v>
      </c>
      <c r="M119">
        <v>79715491.747301161</v>
      </c>
      <c r="N119">
        <v>149941000</v>
      </c>
      <c r="O119">
        <v>15896727.199999999</v>
      </c>
      <c r="P119">
        <v>212.252048</v>
      </c>
      <c r="Q119">
        <v>-0.35234809192205935</v>
      </c>
      <c r="R119">
        <v>43.637707499999998</v>
      </c>
      <c r="S119">
        <v>779.73333700000001</v>
      </c>
      <c r="T119">
        <v>7.1388090999999998E-12</v>
      </c>
      <c r="U119">
        <v>19.460477691742319</v>
      </c>
      <c r="V119">
        <v>100.934</v>
      </c>
      <c r="W119">
        <v>-238.41477733479095</v>
      </c>
      <c r="X119">
        <v>62.822406700000002</v>
      </c>
      <c r="Y119">
        <v>92.162960200000001</v>
      </c>
      <c r="Z119">
        <v>177.97</v>
      </c>
      <c r="AA119">
        <v>233.408286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 s="27">
        <f>SUM(AB119:AN119)+Q119</f>
        <v>-0.35234809192205935</v>
      </c>
    </row>
    <row r="120" spans="1:41">
      <c r="A120">
        <v>941.64718613871855</v>
      </c>
      <c r="B120">
        <v>28</v>
      </c>
      <c r="C120">
        <v>12</v>
      </c>
      <c r="D120">
        <v>10.519215643241866</v>
      </c>
      <c r="E120">
        <v>28</v>
      </c>
      <c r="F120">
        <v>6</v>
      </c>
      <c r="G120">
        <v>0.74042357097542433</v>
      </c>
      <c r="H120">
        <v>25</v>
      </c>
      <c r="I120">
        <v>10</v>
      </c>
      <c r="J120">
        <v>0.88835514193476905</v>
      </c>
      <c r="K120">
        <v>510546200.28519732</v>
      </c>
      <c r="L120">
        <v>54502300</v>
      </c>
      <c r="M120">
        <v>79709499.526955023</v>
      </c>
      <c r="N120">
        <v>149508000</v>
      </c>
      <c r="O120">
        <v>15894583.52</v>
      </c>
      <c r="P120">
        <v>211.64306400000001</v>
      </c>
      <c r="Q120">
        <v>-0.343978265015008</v>
      </c>
      <c r="R120">
        <v>43.6438123</v>
      </c>
      <c r="S120">
        <v>780.13967500000001</v>
      </c>
      <c r="T120">
        <v>1.0171681199999999E-10</v>
      </c>
      <c r="U120">
        <v>19.345680079706881</v>
      </c>
      <c r="V120">
        <v>100.934</v>
      </c>
      <c r="W120">
        <v>-237.83038752643444</v>
      </c>
      <c r="X120">
        <v>62.820472600000002</v>
      </c>
      <c r="Y120">
        <v>92.422822600000003</v>
      </c>
      <c r="Z120">
        <v>203.285</v>
      </c>
      <c r="AA120">
        <v>231.506246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 s="27">
        <f>SUM(AB120:AN120)+Q120</f>
        <v>-0.343978265015008</v>
      </c>
    </row>
    <row r="121" spans="1:41">
      <c r="A121">
        <v>936.77944958675641</v>
      </c>
      <c r="B121">
        <v>29</v>
      </c>
      <c r="C121">
        <v>13</v>
      </c>
      <c r="D121">
        <v>6.8526133749071505</v>
      </c>
      <c r="E121">
        <v>17</v>
      </c>
      <c r="F121">
        <v>7</v>
      </c>
      <c r="G121">
        <v>0.9750542975819001</v>
      </c>
      <c r="H121">
        <v>29</v>
      </c>
      <c r="I121">
        <v>9</v>
      </c>
      <c r="J121">
        <v>0.96750926212548838</v>
      </c>
      <c r="K121">
        <v>509554670.61571479</v>
      </c>
      <c r="L121">
        <v>54468600</v>
      </c>
      <c r="M121">
        <v>79703207.707630426</v>
      </c>
      <c r="N121">
        <v>149222000</v>
      </c>
      <c r="O121">
        <v>15890135.76</v>
      </c>
      <c r="P121">
        <v>211.35200699999999</v>
      </c>
      <c r="Q121">
        <v>-0.34236713363666788</v>
      </c>
      <c r="R121">
        <v>43.633343099999998</v>
      </c>
      <c r="S121">
        <v>780.04715499999998</v>
      </c>
      <c r="T121">
        <v>8.9289103300000002E-12</v>
      </c>
      <c r="U121">
        <v>19.262422784332223</v>
      </c>
      <c r="V121">
        <v>100.934</v>
      </c>
      <c r="W121">
        <v>-238.13334038308977</v>
      </c>
      <c r="X121">
        <v>62.828471399999998</v>
      </c>
      <c r="Y121">
        <v>92.480887999999993</v>
      </c>
      <c r="Z121">
        <v>177.97</v>
      </c>
      <c r="AA121">
        <v>231.25242900000001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s="27">
        <f>SUM(AB121:AN121)+Q121</f>
        <v>-0.34236713363666788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DF47-FE4E-4503-8B2D-B5F41477D641}">
  <dimension ref="A1:AN127"/>
  <sheetViews>
    <sheetView workbookViewId="0"/>
  </sheetViews>
  <sheetFormatPr defaultRowHeight="16.5"/>
  <sheetData>
    <row r="1" spans="1:40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208</v>
      </c>
      <c r="P1" t="s">
        <v>156</v>
      </c>
      <c r="Q1" t="s">
        <v>209</v>
      </c>
      <c r="R1" t="s">
        <v>186</v>
      </c>
      <c r="S1" t="s">
        <v>187</v>
      </c>
      <c r="T1" t="s">
        <v>188</v>
      </c>
      <c r="U1" t="s">
        <v>189</v>
      </c>
      <c r="V1" t="s">
        <v>210</v>
      </c>
      <c r="W1" t="s">
        <v>211</v>
      </c>
      <c r="X1" t="s">
        <v>357</v>
      </c>
      <c r="Y1" t="s">
        <v>358</v>
      </c>
      <c r="Z1" t="s">
        <v>359</v>
      </c>
      <c r="AA1" t="s">
        <v>360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220</v>
      </c>
      <c r="AK1" t="s">
        <v>361</v>
      </c>
      <c r="AL1" t="s">
        <v>362</v>
      </c>
      <c r="AM1" t="s">
        <v>363</v>
      </c>
      <c r="AN1" t="s">
        <v>364</v>
      </c>
    </row>
    <row r="2" spans="1:40">
      <c r="A2">
        <v>930</v>
      </c>
      <c r="B2">
        <v>30</v>
      </c>
      <c r="C2">
        <v>18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1.4</v>
      </c>
      <c r="K2">
        <v>508751448.06003988</v>
      </c>
      <c r="L2">
        <v>54426600</v>
      </c>
      <c r="M2">
        <v>79694718.81851612</v>
      </c>
      <c r="N2">
        <v>156936000</v>
      </c>
      <c r="O2">
        <v>15885036.560000001</v>
      </c>
      <c r="P2">
        <v>94.298783799999995</v>
      </c>
      <c r="Q2">
        <v>-1.1362063770512638</v>
      </c>
      <c r="R2">
        <v>43.610077099999998</v>
      </c>
      <c r="S2">
        <v>779.51589200000001</v>
      </c>
      <c r="T2">
        <v>1.44724855E-13</v>
      </c>
      <c r="U2">
        <v>19.210471062566434</v>
      </c>
      <c r="V2">
        <v>91.850000000000009</v>
      </c>
      <c r="W2">
        <v>-240.12790090390695</v>
      </c>
      <c r="X2">
        <v>62.839121200000001</v>
      </c>
      <c r="Y2">
        <v>92.781455100000002</v>
      </c>
      <c r="Z2">
        <v>165.7</v>
      </c>
      <c r="AA2">
        <v>231.159291</v>
      </c>
      <c r="AB2">
        <v>99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>
        <v>914.89571264707638</v>
      </c>
      <c r="B3">
        <v>39</v>
      </c>
      <c r="C3">
        <v>13</v>
      </c>
      <c r="D3">
        <v>9.1381903313477899</v>
      </c>
      <c r="E3">
        <v>16</v>
      </c>
      <c r="F3">
        <v>6</v>
      </c>
      <c r="G3">
        <v>0.63085038931430593</v>
      </c>
      <c r="H3">
        <v>19</v>
      </c>
      <c r="I3">
        <v>12</v>
      </c>
      <c r="J3">
        <v>1.387970461621586</v>
      </c>
      <c r="K3">
        <v>510149743.2515471</v>
      </c>
      <c r="L3">
        <v>54447900</v>
      </c>
      <c r="M3">
        <v>79679938.274224877</v>
      </c>
      <c r="N3">
        <v>156212000</v>
      </c>
      <c r="O3">
        <v>15894821.439999999</v>
      </c>
      <c r="P3">
        <v>94.360656399999996</v>
      </c>
      <c r="Q3">
        <v>-1.0905353514997529</v>
      </c>
      <c r="R3">
        <v>43.634198699999999</v>
      </c>
      <c r="S3">
        <v>779.78194999999994</v>
      </c>
      <c r="T3">
        <v>1.56207175E-10</v>
      </c>
      <c r="U3">
        <v>19.388769900592965</v>
      </c>
      <c r="V3">
        <v>100.934</v>
      </c>
      <c r="W3">
        <v>-237.98273437247826</v>
      </c>
      <c r="X3">
        <v>62.857627100000002</v>
      </c>
      <c r="Y3">
        <v>92.190847300000001</v>
      </c>
      <c r="Z3">
        <v>177.97</v>
      </c>
      <c r="AA3">
        <v>231.53673599999999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>
        <v>951.22875744983128</v>
      </c>
      <c r="B4">
        <v>38</v>
      </c>
      <c r="C4">
        <v>14</v>
      </c>
      <c r="D4">
        <v>4.1479063883620482</v>
      </c>
      <c r="E4">
        <v>12</v>
      </c>
      <c r="F4">
        <v>6</v>
      </c>
      <c r="G4">
        <v>0.91862433773477248</v>
      </c>
      <c r="H4">
        <v>13</v>
      </c>
      <c r="I4">
        <v>8</v>
      </c>
      <c r="J4">
        <v>0.48774937640523214</v>
      </c>
      <c r="K4">
        <v>509387718.10903549</v>
      </c>
      <c r="L4">
        <v>54484400</v>
      </c>
      <c r="M4">
        <v>79722383.19231157</v>
      </c>
      <c r="N4">
        <v>158276000</v>
      </c>
      <c r="O4">
        <v>15897036.879999999</v>
      </c>
      <c r="P4">
        <v>95.209731199999993</v>
      </c>
      <c r="Q4">
        <v>-1.1802471283601146</v>
      </c>
      <c r="R4">
        <v>43.607444700000002</v>
      </c>
      <c r="S4">
        <v>779.83714599999996</v>
      </c>
      <c r="T4">
        <v>1.01802684E-10</v>
      </c>
      <c r="U4">
        <v>19.300985125557283</v>
      </c>
      <c r="V4">
        <v>100.934</v>
      </c>
      <c r="W4">
        <v>-239.09439762744219</v>
      </c>
      <c r="X4">
        <v>62.815063299999998</v>
      </c>
      <c r="Y4">
        <v>92.479573500000001</v>
      </c>
      <c r="Z4">
        <v>165.7</v>
      </c>
      <c r="AA4">
        <v>233.68183999999999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>
        <v>914.96842989939614</v>
      </c>
      <c r="B5">
        <v>39</v>
      </c>
      <c r="C5">
        <v>13</v>
      </c>
      <c r="D5">
        <v>9.0314991161081775</v>
      </c>
      <c r="E5">
        <v>16</v>
      </c>
      <c r="F5">
        <v>6</v>
      </c>
      <c r="G5">
        <v>0.70403299047422674</v>
      </c>
      <c r="H5">
        <v>19</v>
      </c>
      <c r="I5">
        <v>12</v>
      </c>
      <c r="J5">
        <v>1.2445229769972512</v>
      </c>
      <c r="K5">
        <v>509980997.52944732</v>
      </c>
      <c r="L5">
        <v>54447100</v>
      </c>
      <c r="M5">
        <v>79680038.162875652</v>
      </c>
      <c r="N5">
        <v>156210000</v>
      </c>
      <c r="O5">
        <v>15894785.120000001</v>
      </c>
      <c r="P5">
        <v>94.384527899999995</v>
      </c>
      <c r="Q5">
        <v>-1.0914171059198601</v>
      </c>
      <c r="R5">
        <v>43.634776000000002</v>
      </c>
      <c r="S5">
        <v>779.801557</v>
      </c>
      <c r="T5">
        <v>1.2950579399999999E-10</v>
      </c>
      <c r="U5">
        <v>19.36126823266066</v>
      </c>
      <c r="V5">
        <v>100.934</v>
      </c>
      <c r="W5">
        <v>-237.92604650046829</v>
      </c>
      <c r="X5">
        <v>62.857778799999998</v>
      </c>
      <c r="Y5">
        <v>92.194223199999996</v>
      </c>
      <c r="Z5">
        <v>177.97</v>
      </c>
      <c r="AA5">
        <v>231.61806200000001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>
        <v>960</v>
      </c>
      <c r="B6">
        <v>27</v>
      </c>
      <c r="C6">
        <v>19</v>
      </c>
      <c r="D6">
        <v>1</v>
      </c>
      <c r="E6">
        <v>29</v>
      </c>
      <c r="F6">
        <v>14</v>
      </c>
      <c r="G6">
        <v>1.2</v>
      </c>
      <c r="H6">
        <v>29</v>
      </c>
      <c r="I6">
        <v>7</v>
      </c>
      <c r="J6">
        <v>0.3</v>
      </c>
      <c r="K6">
        <v>506060740.01307893</v>
      </c>
      <c r="L6">
        <v>54447100</v>
      </c>
      <c r="M6">
        <v>79680110.329909727</v>
      </c>
      <c r="N6">
        <v>156210000</v>
      </c>
      <c r="O6">
        <v>16378329.439999999</v>
      </c>
      <c r="P6">
        <v>96.824799600000006</v>
      </c>
      <c r="Q6">
        <v>-1.0913957542035293</v>
      </c>
      <c r="R6">
        <v>43.683099800000001</v>
      </c>
      <c r="S6">
        <v>781.02385200000003</v>
      </c>
      <c r="T6">
        <v>2.4026432000000001E-9</v>
      </c>
      <c r="U6">
        <v>19.741180379301525</v>
      </c>
      <c r="V6">
        <v>68.709999999999994</v>
      </c>
      <c r="W6">
        <v>-167.59892188912468</v>
      </c>
      <c r="X6">
        <v>63.102435</v>
      </c>
      <c r="Y6">
        <v>95.092417800000007</v>
      </c>
      <c r="Z6">
        <v>180.98100000000002</v>
      </c>
      <c r="AA6">
        <v>233.92084800000001</v>
      </c>
      <c r="AB6">
        <v>100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>
        <v>935.3994252221745</v>
      </c>
      <c r="B7">
        <v>39</v>
      </c>
      <c r="C7">
        <v>10</v>
      </c>
      <c r="D7">
        <v>15</v>
      </c>
      <c r="E7">
        <v>10</v>
      </c>
      <c r="F7">
        <v>5</v>
      </c>
      <c r="G7">
        <v>0.3</v>
      </c>
      <c r="H7">
        <v>10</v>
      </c>
      <c r="I7">
        <v>7</v>
      </c>
      <c r="J7">
        <v>0.3</v>
      </c>
      <c r="K7">
        <v>510730293.23401368</v>
      </c>
      <c r="L7">
        <v>54497700</v>
      </c>
      <c r="M7">
        <v>79711120.830814347</v>
      </c>
      <c r="N7">
        <v>157524000</v>
      </c>
      <c r="O7">
        <v>15897150.08</v>
      </c>
      <c r="P7">
        <v>92.300122200000004</v>
      </c>
      <c r="Q7">
        <v>-1.170976813446764</v>
      </c>
      <c r="R7">
        <v>43.524058799999999</v>
      </c>
      <c r="S7">
        <v>780.69153500000004</v>
      </c>
      <c r="T7">
        <v>6.80689422E-9</v>
      </c>
      <c r="U7">
        <v>19.584908604096768</v>
      </c>
      <c r="V7">
        <v>100.934</v>
      </c>
      <c r="W7">
        <v>-242.38264132089836</v>
      </c>
      <c r="X7">
        <v>62.829745899999999</v>
      </c>
      <c r="Y7">
        <v>92.085296499999998</v>
      </c>
      <c r="Z7">
        <v>144.29</v>
      </c>
      <c r="AA7">
        <v>236.255448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>
        <v>950.74062469019304</v>
      </c>
      <c r="B8">
        <v>33</v>
      </c>
      <c r="C8">
        <v>15</v>
      </c>
      <c r="D8">
        <v>7.5408750177459236</v>
      </c>
      <c r="E8">
        <v>24</v>
      </c>
      <c r="F8">
        <v>5</v>
      </c>
      <c r="G8">
        <v>0.90517361420087328</v>
      </c>
      <c r="H8">
        <v>22</v>
      </c>
      <c r="I8">
        <v>10</v>
      </c>
      <c r="J8">
        <v>0.96155910423446578</v>
      </c>
      <c r="K8">
        <v>510351193.19796813</v>
      </c>
      <c r="L8">
        <v>54515200</v>
      </c>
      <c r="M8">
        <v>79721483.742483571</v>
      </c>
      <c r="N8">
        <v>157985000</v>
      </c>
      <c r="O8">
        <v>15898343.76</v>
      </c>
      <c r="P8">
        <v>95.782304300000007</v>
      </c>
      <c r="Q8">
        <v>-1.151532298580991</v>
      </c>
      <c r="R8">
        <v>43.645408000000003</v>
      </c>
      <c r="S8">
        <v>780.21214599999996</v>
      </c>
      <c r="T8">
        <v>7.0326869600000001E-10</v>
      </c>
      <c r="U8">
        <v>19.3831819069215</v>
      </c>
      <c r="V8">
        <v>100.934</v>
      </c>
      <c r="W8">
        <v>-237.98170911386279</v>
      </c>
      <c r="X8">
        <v>62.805248400000004</v>
      </c>
      <c r="Y8">
        <v>92.353770400000002</v>
      </c>
      <c r="Z8">
        <v>203.285</v>
      </c>
      <c r="AA8">
        <v>231.55463700000001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>
        <v>950.14222679298348</v>
      </c>
      <c r="B9">
        <v>34</v>
      </c>
      <c r="C9">
        <v>19</v>
      </c>
      <c r="D9">
        <v>12.177773243822383</v>
      </c>
      <c r="E9">
        <v>25</v>
      </c>
      <c r="F9">
        <v>10</v>
      </c>
      <c r="G9">
        <v>0.55443503149216578</v>
      </c>
      <c r="H9">
        <v>29</v>
      </c>
      <c r="I9">
        <v>11</v>
      </c>
      <c r="J9">
        <v>1.0010833500918446</v>
      </c>
      <c r="K9">
        <v>511158214.42024589</v>
      </c>
      <c r="L9">
        <v>54548500</v>
      </c>
      <c r="M9">
        <v>79720684.797425017</v>
      </c>
      <c r="N9">
        <v>158045000</v>
      </c>
      <c r="O9">
        <v>15900429.439999999</v>
      </c>
      <c r="P9">
        <v>95.609425900000005</v>
      </c>
      <c r="Q9">
        <v>-1.1491171336118049</v>
      </c>
      <c r="R9">
        <v>43.637279499999998</v>
      </c>
      <c r="S9">
        <v>779.76629300000002</v>
      </c>
      <c r="T9">
        <v>4.7335781199999999E-14</v>
      </c>
      <c r="U9">
        <v>19.277282519764384</v>
      </c>
      <c r="V9">
        <v>100.934</v>
      </c>
      <c r="W9">
        <v>-237.95389098027775</v>
      </c>
      <c r="X9">
        <v>62.805715900000003</v>
      </c>
      <c r="Y9">
        <v>92.245154799999995</v>
      </c>
      <c r="Z9">
        <v>180.98100000000002</v>
      </c>
      <c r="AA9">
        <v>231.22068200000001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>
        <v>954.62574279577143</v>
      </c>
      <c r="B10">
        <v>34</v>
      </c>
      <c r="C10">
        <v>16</v>
      </c>
      <c r="D10">
        <v>12.695780023461198</v>
      </c>
      <c r="E10">
        <v>21</v>
      </c>
      <c r="F10">
        <v>13</v>
      </c>
      <c r="G10">
        <v>0.71172180524587902</v>
      </c>
      <c r="H10">
        <v>20</v>
      </c>
      <c r="I10">
        <v>13</v>
      </c>
      <c r="J10">
        <v>1.0532753294181445</v>
      </c>
      <c r="K10">
        <v>511196232.46660763</v>
      </c>
      <c r="L10">
        <v>54532300</v>
      </c>
      <c r="M10">
        <v>79722981.665676743</v>
      </c>
      <c r="N10">
        <v>158225000</v>
      </c>
      <c r="O10">
        <v>15921003.360000001</v>
      </c>
      <c r="P10">
        <v>95.177695099999994</v>
      </c>
      <c r="Q10">
        <v>-1.1631581769341957</v>
      </c>
      <c r="R10">
        <v>43.616398599999997</v>
      </c>
      <c r="S10">
        <v>779.81710499999997</v>
      </c>
      <c r="T10">
        <v>7.2766777200000005E-17</v>
      </c>
      <c r="U10">
        <v>19.165056267482498</v>
      </c>
      <c r="V10">
        <v>100.934</v>
      </c>
      <c r="W10">
        <v>-238.91223862529665</v>
      </c>
      <c r="X10">
        <v>62.804083200000001</v>
      </c>
      <c r="Y10">
        <v>92.227633499999996</v>
      </c>
      <c r="Z10">
        <v>177.97</v>
      </c>
      <c r="AA10">
        <v>231.57653999999999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>
        <v>914.22754785419534</v>
      </c>
      <c r="B11">
        <v>34</v>
      </c>
      <c r="C11">
        <v>18</v>
      </c>
      <c r="D11">
        <v>9.1730085768270015</v>
      </c>
      <c r="E11">
        <v>22</v>
      </c>
      <c r="F11">
        <v>13</v>
      </c>
      <c r="G11">
        <v>0.473123712377438</v>
      </c>
      <c r="H11">
        <v>20</v>
      </c>
      <c r="I11">
        <v>7</v>
      </c>
      <c r="J11">
        <v>1.3960807174620249</v>
      </c>
      <c r="K11">
        <v>510043796.70834941</v>
      </c>
      <c r="L11">
        <v>54447000</v>
      </c>
      <c r="M11">
        <v>79679139.298350111</v>
      </c>
      <c r="N11">
        <v>156294000</v>
      </c>
      <c r="O11">
        <v>15894667.68</v>
      </c>
      <c r="P11">
        <v>93.915296799999993</v>
      </c>
      <c r="Q11">
        <v>-1.1003692295696987</v>
      </c>
      <c r="R11">
        <v>43.613373799999998</v>
      </c>
      <c r="S11">
        <v>779.41340500000001</v>
      </c>
      <c r="T11">
        <v>2.5278395500000002E-16</v>
      </c>
      <c r="U11">
        <v>19.247981607156202</v>
      </c>
      <c r="V11">
        <v>100.934</v>
      </c>
      <c r="W11">
        <v>-238.6909884548437</v>
      </c>
      <c r="X11">
        <v>62.858004399999999</v>
      </c>
      <c r="Y11">
        <v>92.315551299999996</v>
      </c>
      <c r="Z11">
        <v>177.97</v>
      </c>
      <c r="AA11">
        <v>231.31191899999999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>
        <v>919.00315278901223</v>
      </c>
      <c r="B12">
        <v>38</v>
      </c>
      <c r="C12">
        <v>17</v>
      </c>
      <c r="D12">
        <v>8.474848392438469</v>
      </c>
      <c r="E12">
        <v>26</v>
      </c>
      <c r="F12">
        <v>8</v>
      </c>
      <c r="G12">
        <v>0.66166800313951701</v>
      </c>
      <c r="H12">
        <v>20</v>
      </c>
      <c r="I12">
        <v>14</v>
      </c>
      <c r="J12">
        <v>0.97235317806523303</v>
      </c>
      <c r="K12">
        <v>510037641.63341784</v>
      </c>
      <c r="L12">
        <v>54464300</v>
      </c>
      <c r="M12">
        <v>79684931.870206445</v>
      </c>
      <c r="N12">
        <v>156391000</v>
      </c>
      <c r="O12">
        <v>15895601.039999999</v>
      </c>
      <c r="P12">
        <v>94.754163500000004</v>
      </c>
      <c r="Q12">
        <v>-1.0943846719186594</v>
      </c>
      <c r="R12">
        <v>43.6413522</v>
      </c>
      <c r="S12">
        <v>779.95281299999999</v>
      </c>
      <c r="T12">
        <v>1.8142545E-12</v>
      </c>
      <c r="U12">
        <v>19.271638188842751</v>
      </c>
      <c r="V12">
        <v>100.934</v>
      </c>
      <c r="W12">
        <v>-237.80132216470255</v>
      </c>
      <c r="X12">
        <v>62.852584800000002</v>
      </c>
      <c r="Y12">
        <v>92.231700900000007</v>
      </c>
      <c r="Z12">
        <v>180.98100000000002</v>
      </c>
      <c r="AA12">
        <v>232.146503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>
        <v>946.08347118192637</v>
      </c>
      <c r="B13">
        <v>35</v>
      </c>
      <c r="C13">
        <v>12</v>
      </c>
      <c r="D13">
        <v>9.8782204136110021</v>
      </c>
      <c r="E13">
        <v>12</v>
      </c>
      <c r="F13">
        <v>7</v>
      </c>
      <c r="G13">
        <v>0.490972714386681</v>
      </c>
      <c r="H13">
        <v>16</v>
      </c>
      <c r="I13">
        <v>10</v>
      </c>
      <c r="J13">
        <v>0.96312032558687544</v>
      </c>
      <c r="K13">
        <v>510276325.38231456</v>
      </c>
      <c r="L13">
        <v>54491400</v>
      </c>
      <c r="M13">
        <v>79714991.732714832</v>
      </c>
      <c r="N13">
        <v>158151000</v>
      </c>
      <c r="O13">
        <v>15896751.359999999</v>
      </c>
      <c r="P13">
        <v>93.127033900000001</v>
      </c>
      <c r="Q13">
        <v>-1.1939077046106634</v>
      </c>
      <c r="R13">
        <v>43.556144500000002</v>
      </c>
      <c r="S13">
        <v>779.83756600000004</v>
      </c>
      <c r="T13">
        <v>4.5874883099999997E-11</v>
      </c>
      <c r="U13">
        <v>19.289385812216324</v>
      </c>
      <c r="V13">
        <v>100.934</v>
      </c>
      <c r="W13">
        <v>-240.84038306439479</v>
      </c>
      <c r="X13">
        <v>62.817256399999998</v>
      </c>
      <c r="Y13">
        <v>92.254345599999994</v>
      </c>
      <c r="Z13">
        <v>144.29</v>
      </c>
      <c r="AA13">
        <v>230.951213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>
        <v>919.02215862228161</v>
      </c>
      <c r="B14">
        <v>36</v>
      </c>
      <c r="C14">
        <v>12</v>
      </c>
      <c r="D14">
        <v>14.222530135788215</v>
      </c>
      <c r="E14">
        <v>27</v>
      </c>
      <c r="F14">
        <v>14</v>
      </c>
      <c r="G14">
        <v>0.34990536430661007</v>
      </c>
      <c r="H14">
        <v>22</v>
      </c>
      <c r="I14">
        <v>8</v>
      </c>
      <c r="J14">
        <v>0.68116573550984971</v>
      </c>
      <c r="K14">
        <v>511043317.45594835</v>
      </c>
      <c r="L14">
        <v>54487100</v>
      </c>
      <c r="M14">
        <v>79685031.913143694</v>
      </c>
      <c r="N14">
        <v>156339000</v>
      </c>
      <c r="O14">
        <v>15898593.84</v>
      </c>
      <c r="P14">
        <v>95.2555725</v>
      </c>
      <c r="Q14">
        <v>-1.077990510979614</v>
      </c>
      <c r="R14">
        <v>43.657503900000002</v>
      </c>
      <c r="S14">
        <v>779.89432399999998</v>
      </c>
      <c r="T14">
        <v>7.3060279299999994E-11</v>
      </c>
      <c r="U14">
        <v>19.593788192169097</v>
      </c>
      <c r="V14">
        <v>100.934</v>
      </c>
      <c r="W14">
        <v>-237.30581948688109</v>
      </c>
      <c r="X14">
        <v>62.850276999999998</v>
      </c>
      <c r="Y14">
        <v>92.171214399999997</v>
      </c>
      <c r="Z14">
        <v>180.98100000000002</v>
      </c>
      <c r="AA14">
        <v>232.248031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>
        <v>939.35268023309743</v>
      </c>
      <c r="B15">
        <v>33</v>
      </c>
      <c r="C15">
        <v>17</v>
      </c>
      <c r="D15">
        <v>11.882135345575456</v>
      </c>
      <c r="E15">
        <v>26</v>
      </c>
      <c r="F15">
        <v>13</v>
      </c>
      <c r="G15">
        <v>1.14039019778166</v>
      </c>
      <c r="H15">
        <v>24</v>
      </c>
      <c r="I15">
        <v>11</v>
      </c>
      <c r="J15">
        <v>0.81360007812472679</v>
      </c>
      <c r="K15">
        <v>510586626.43884301</v>
      </c>
      <c r="L15">
        <v>54514500</v>
      </c>
      <c r="M15">
        <v>79706503.375899106</v>
      </c>
      <c r="N15">
        <v>157209000</v>
      </c>
      <c r="O15">
        <v>15894080.560000001</v>
      </c>
      <c r="P15">
        <v>95.148888200000002</v>
      </c>
      <c r="Q15">
        <v>-1.1215491396805228</v>
      </c>
      <c r="R15">
        <v>43.639912299999999</v>
      </c>
      <c r="S15">
        <v>780.91326600000002</v>
      </c>
      <c r="T15">
        <v>1.5655025399999999E-17</v>
      </c>
      <c r="U15">
        <v>19.154941027425789</v>
      </c>
      <c r="V15">
        <v>100.934</v>
      </c>
      <c r="W15">
        <v>-239.00234444861985</v>
      </c>
      <c r="X15">
        <v>62.823504399999997</v>
      </c>
      <c r="Y15">
        <v>92.275180700000007</v>
      </c>
      <c r="Z15">
        <v>180.98100000000002</v>
      </c>
      <c r="AA15">
        <v>231.43785199999999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>
        <v>939.66169751664575</v>
      </c>
      <c r="B16">
        <v>36</v>
      </c>
      <c r="C16">
        <v>15</v>
      </c>
      <c r="D16">
        <v>13.04135458442529</v>
      </c>
      <c r="E16">
        <v>24</v>
      </c>
      <c r="F16">
        <v>8</v>
      </c>
      <c r="G16">
        <v>0.68992710586891914</v>
      </c>
      <c r="H16">
        <v>29</v>
      </c>
      <c r="I16">
        <v>10</v>
      </c>
      <c r="J16">
        <v>0.53185471739038714</v>
      </c>
      <c r="K16">
        <v>511035318.45932657</v>
      </c>
      <c r="L16">
        <v>54521500</v>
      </c>
      <c r="M16">
        <v>79707002.916532204</v>
      </c>
      <c r="N16">
        <v>157377000</v>
      </c>
      <c r="O16">
        <v>15894214</v>
      </c>
      <c r="P16">
        <v>95.390664599999994</v>
      </c>
      <c r="Q16">
        <v>-1.122963825774639</v>
      </c>
      <c r="R16">
        <v>43.640136900000002</v>
      </c>
      <c r="S16">
        <v>779.99549000000002</v>
      </c>
      <c r="T16">
        <v>1.68744909E-12</v>
      </c>
      <c r="U16">
        <v>19.272911384356313</v>
      </c>
      <c r="V16">
        <v>100.934</v>
      </c>
      <c r="W16">
        <v>-237.90532250368139</v>
      </c>
      <c r="X16">
        <v>62.822556499999997</v>
      </c>
      <c r="Y16">
        <v>92.171455800000004</v>
      </c>
      <c r="Z16">
        <v>180.98100000000002</v>
      </c>
      <c r="AA16">
        <v>232.335126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>
        <v>957.92230041671246</v>
      </c>
      <c r="B17">
        <v>32</v>
      </c>
      <c r="C17">
        <v>11</v>
      </c>
      <c r="D17">
        <v>11.329960054814691</v>
      </c>
      <c r="E17">
        <v>12</v>
      </c>
      <c r="F17">
        <v>8</v>
      </c>
      <c r="G17">
        <v>0.78427899487842312</v>
      </c>
      <c r="H17">
        <v>21</v>
      </c>
      <c r="I17">
        <v>10</v>
      </c>
      <c r="J17">
        <v>0.81048760191688118</v>
      </c>
      <c r="K17">
        <v>506317720.41046751</v>
      </c>
      <c r="L17">
        <v>54521500</v>
      </c>
      <c r="M17">
        <v>79707102.301055491</v>
      </c>
      <c r="N17">
        <v>157377000</v>
      </c>
      <c r="O17">
        <v>16381761.6</v>
      </c>
      <c r="P17">
        <v>90.0015894</v>
      </c>
      <c r="Q17">
        <v>-1.2257875889128895</v>
      </c>
      <c r="R17">
        <v>43.558331500000001</v>
      </c>
      <c r="S17">
        <v>779.84767600000009</v>
      </c>
      <c r="T17">
        <v>2.4513507100000001E-12</v>
      </c>
      <c r="U17">
        <v>19.122527914944179</v>
      </c>
      <c r="V17">
        <v>100.934</v>
      </c>
      <c r="W17">
        <v>-238.5762777182355</v>
      </c>
      <c r="X17">
        <v>62.906743800000001</v>
      </c>
      <c r="Y17">
        <v>92.332737100000003</v>
      </c>
      <c r="Z17">
        <v>144.29</v>
      </c>
      <c r="AA17">
        <v>230.882893</v>
      </c>
      <c r="AB17">
        <v>100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>
        <v>936.82575557535813</v>
      </c>
      <c r="B18">
        <v>31</v>
      </c>
      <c r="C18">
        <v>17</v>
      </c>
      <c r="D18">
        <v>9.8290438644370823</v>
      </c>
      <c r="E18">
        <v>14</v>
      </c>
      <c r="F18">
        <v>9</v>
      </c>
      <c r="G18">
        <v>0.71467844356600252</v>
      </c>
      <c r="H18">
        <v>20</v>
      </c>
      <c r="I18">
        <v>9</v>
      </c>
      <c r="J18">
        <v>0.80899253544612582</v>
      </c>
      <c r="K18">
        <v>509864405.21703577</v>
      </c>
      <c r="L18">
        <v>54466200</v>
      </c>
      <c r="M18">
        <v>79703107.534854233</v>
      </c>
      <c r="N18">
        <v>157484000</v>
      </c>
      <c r="O18">
        <v>15891720.4</v>
      </c>
      <c r="P18">
        <v>93.558352200000002</v>
      </c>
      <c r="Q18">
        <v>-1.1611105907887362</v>
      </c>
      <c r="R18">
        <v>43.578920599999996</v>
      </c>
      <c r="S18">
        <v>779.71522000000004</v>
      </c>
      <c r="T18">
        <v>3.34599822E-13</v>
      </c>
      <c r="U18">
        <v>19.159354552556408</v>
      </c>
      <c r="V18">
        <v>100.934</v>
      </c>
      <c r="W18">
        <v>-240.07903078211956</v>
      </c>
      <c r="X18">
        <v>62.828014199999998</v>
      </c>
      <c r="Y18">
        <v>92.365207499999997</v>
      </c>
      <c r="Z18">
        <v>144.29</v>
      </c>
      <c r="AA18">
        <v>231.205386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>
        <v>919.16858840180578</v>
      </c>
      <c r="B19">
        <v>39</v>
      </c>
      <c r="C19">
        <v>19</v>
      </c>
      <c r="D19">
        <v>6.5791376332105918</v>
      </c>
      <c r="E19">
        <v>10</v>
      </c>
      <c r="F19">
        <v>8</v>
      </c>
      <c r="G19">
        <v>0.42340197256927148</v>
      </c>
      <c r="H19">
        <v>16</v>
      </c>
      <c r="I19">
        <v>13</v>
      </c>
      <c r="J19">
        <v>0.50961082859904761</v>
      </c>
      <c r="K19">
        <v>509540399.43788767</v>
      </c>
      <c r="L19">
        <v>54432000</v>
      </c>
      <c r="M19">
        <v>79683931.048235521</v>
      </c>
      <c r="N19">
        <v>158186000</v>
      </c>
      <c r="O19">
        <v>15895397.68</v>
      </c>
      <c r="P19">
        <v>85.869406299999994</v>
      </c>
      <c r="Q19">
        <v>-1.3054868894753162</v>
      </c>
      <c r="R19">
        <v>43.374940299999999</v>
      </c>
      <c r="S19">
        <v>781.21660800000006</v>
      </c>
      <c r="T19">
        <v>2.2498669500000001E-11</v>
      </c>
      <c r="U19">
        <v>18.829613652455542</v>
      </c>
      <c r="V19">
        <v>100.934</v>
      </c>
      <c r="W19">
        <v>-242.58502327906214</v>
      </c>
      <c r="X19">
        <v>62.935696900000003</v>
      </c>
      <c r="Y19">
        <v>92.341134100000005</v>
      </c>
      <c r="Z19">
        <v>100.934</v>
      </c>
      <c r="AA19">
        <v>229.79632100000001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>
      <c r="A20">
        <v>953.82586863644462</v>
      </c>
      <c r="B20">
        <v>36</v>
      </c>
      <c r="C20">
        <v>17</v>
      </c>
      <c r="D20">
        <v>8.3348882285991817</v>
      </c>
      <c r="E20">
        <v>26</v>
      </c>
      <c r="F20">
        <v>8</v>
      </c>
      <c r="G20">
        <v>0.8751213113268681</v>
      </c>
      <c r="H20">
        <v>17</v>
      </c>
      <c r="I20">
        <v>11</v>
      </c>
      <c r="J20">
        <v>0.41460976430486146</v>
      </c>
      <c r="K20">
        <v>510398411.6556254</v>
      </c>
      <c r="L20">
        <v>54516300</v>
      </c>
      <c r="M20">
        <v>79722183.41275017</v>
      </c>
      <c r="N20">
        <v>158046000</v>
      </c>
      <c r="O20">
        <v>15918340</v>
      </c>
      <c r="P20">
        <v>96.1382464</v>
      </c>
      <c r="Q20">
        <v>-1.1496858501488227</v>
      </c>
      <c r="R20">
        <v>43.640109699999996</v>
      </c>
      <c r="S20">
        <v>780.32990300000006</v>
      </c>
      <c r="T20">
        <v>9.8886015099999994E-13</v>
      </c>
      <c r="U20">
        <v>19.229704610653418</v>
      </c>
      <c r="V20">
        <v>100.934</v>
      </c>
      <c r="W20">
        <v>-238.44514282655319</v>
      </c>
      <c r="X20">
        <v>62.8102108</v>
      </c>
      <c r="Y20">
        <v>92.266754599999999</v>
      </c>
      <c r="Z20">
        <v>203.285</v>
      </c>
      <c r="AA20">
        <v>234.32922300000001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>
      <c r="A21">
        <v>938.42416538073348</v>
      </c>
      <c r="B21">
        <v>34</v>
      </c>
      <c r="C21">
        <v>12</v>
      </c>
      <c r="D21">
        <v>14.373417326733529</v>
      </c>
      <c r="E21">
        <v>14</v>
      </c>
      <c r="F21">
        <v>8</v>
      </c>
      <c r="G21">
        <v>0.67464744508860686</v>
      </c>
      <c r="H21">
        <v>14</v>
      </c>
      <c r="I21">
        <v>8</v>
      </c>
      <c r="J21">
        <v>0.50717238337719805</v>
      </c>
      <c r="K21">
        <v>510596688.47261167</v>
      </c>
      <c r="L21">
        <v>54502100</v>
      </c>
      <c r="M21">
        <v>79705405.120712683</v>
      </c>
      <c r="N21">
        <v>157554000</v>
      </c>
      <c r="O21">
        <v>15894378.24</v>
      </c>
      <c r="P21">
        <v>94.344638000000003</v>
      </c>
      <c r="Q21">
        <v>-1.1477600705910442</v>
      </c>
      <c r="R21">
        <v>43.596549600000003</v>
      </c>
      <c r="S21">
        <v>779.6979</v>
      </c>
      <c r="T21">
        <v>2.6064417400000001E-12</v>
      </c>
      <c r="U21">
        <v>19.232380632525423</v>
      </c>
      <c r="V21">
        <v>100.934</v>
      </c>
      <c r="W21">
        <v>-239.54010444522649</v>
      </c>
      <c r="X21">
        <v>62.830832399999998</v>
      </c>
      <c r="Y21">
        <v>92.218891299999996</v>
      </c>
      <c r="Z21">
        <v>144.29</v>
      </c>
      <c r="AA21">
        <v>233.02449999999999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>
      <c r="A22">
        <v>922.50596094097784</v>
      </c>
      <c r="B22">
        <v>39</v>
      </c>
      <c r="C22">
        <v>14</v>
      </c>
      <c r="D22">
        <v>9.8652865432601935</v>
      </c>
      <c r="E22">
        <v>24</v>
      </c>
      <c r="F22">
        <v>9</v>
      </c>
      <c r="G22">
        <v>0.77263742398130253</v>
      </c>
      <c r="H22">
        <v>20</v>
      </c>
      <c r="I22">
        <v>13</v>
      </c>
      <c r="J22">
        <v>0.92348217679324529</v>
      </c>
      <c r="K22">
        <v>510086336.51193893</v>
      </c>
      <c r="L22">
        <v>54486500</v>
      </c>
      <c r="M22">
        <v>79689126.289597034</v>
      </c>
      <c r="N22">
        <v>156564000</v>
      </c>
      <c r="O22">
        <v>15897319.76</v>
      </c>
      <c r="P22">
        <v>94.765350299999994</v>
      </c>
      <c r="Q22">
        <v>-1.1009311905651122</v>
      </c>
      <c r="R22">
        <v>43.638893099999997</v>
      </c>
      <c r="S22">
        <v>780.09248099999991</v>
      </c>
      <c r="T22">
        <v>1.62469838E-13</v>
      </c>
      <c r="U22">
        <v>19.219152059687147</v>
      </c>
      <c r="V22">
        <v>100.934</v>
      </c>
      <c r="W22">
        <v>-237.96860821947885</v>
      </c>
      <c r="X22">
        <v>62.846432800000002</v>
      </c>
      <c r="Y22">
        <v>92.163501499999995</v>
      </c>
      <c r="Z22">
        <v>180.98100000000002</v>
      </c>
      <c r="AA22">
        <v>231.98283499999999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>
      <c r="A23">
        <v>927.80006641162561</v>
      </c>
      <c r="B23">
        <v>33</v>
      </c>
      <c r="C23">
        <v>18</v>
      </c>
      <c r="D23">
        <v>14.970386708367306</v>
      </c>
      <c r="E23">
        <v>27</v>
      </c>
      <c r="F23">
        <v>7</v>
      </c>
      <c r="G23">
        <v>0.49833504919013721</v>
      </c>
      <c r="H23">
        <v>15</v>
      </c>
      <c r="I23">
        <v>9</v>
      </c>
      <c r="J23">
        <v>0.33909203769499463</v>
      </c>
      <c r="K23">
        <v>510791122.91989172</v>
      </c>
      <c r="L23">
        <v>54499100</v>
      </c>
      <c r="M23">
        <v>79696226.910029978</v>
      </c>
      <c r="N23">
        <v>156546000</v>
      </c>
      <c r="O23">
        <v>15890945.199999999</v>
      </c>
      <c r="P23">
        <v>95.879554400000004</v>
      </c>
      <c r="Q23">
        <v>-1.0817384779538657</v>
      </c>
      <c r="R23">
        <v>43.646338999999998</v>
      </c>
      <c r="S23">
        <v>779.89628099999993</v>
      </c>
      <c r="T23">
        <v>2.80827341E-11</v>
      </c>
      <c r="U23">
        <v>19.427156531583648</v>
      </c>
      <c r="V23">
        <v>100.934</v>
      </c>
      <c r="W23">
        <v>-237.21436701847449</v>
      </c>
      <c r="X23">
        <v>62.820358900000002</v>
      </c>
      <c r="Y23">
        <v>92.239853400000001</v>
      </c>
      <c r="Z23">
        <v>180.98100000000002</v>
      </c>
      <c r="AA23">
        <v>235.92924099999999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>
      <c r="A24">
        <v>915.32523518216408</v>
      </c>
      <c r="B24">
        <v>32</v>
      </c>
      <c r="C24">
        <v>14</v>
      </c>
      <c r="D24">
        <v>14.055474979232535</v>
      </c>
      <c r="E24">
        <v>24</v>
      </c>
      <c r="F24">
        <v>7</v>
      </c>
      <c r="G24">
        <v>0.55383805074974646</v>
      </c>
      <c r="H24">
        <v>29</v>
      </c>
      <c r="I24">
        <v>7</v>
      </c>
      <c r="J24">
        <v>0.40794019775341434</v>
      </c>
      <c r="K24">
        <v>510996300.50981474</v>
      </c>
      <c r="L24">
        <v>54484000</v>
      </c>
      <c r="M24">
        <v>79682139.364091352</v>
      </c>
      <c r="N24">
        <v>156100000</v>
      </c>
      <c r="O24">
        <v>15896645.280000001</v>
      </c>
      <c r="P24">
        <v>95.126011399999996</v>
      </c>
      <c r="Q24">
        <v>-1.068847274504287</v>
      </c>
      <c r="R24">
        <v>43.643957999999998</v>
      </c>
      <c r="S24">
        <v>779.85896200000002</v>
      </c>
      <c r="T24">
        <v>2.2382759000000001E-11</v>
      </c>
      <c r="U24">
        <v>19.377285218427595</v>
      </c>
      <c r="V24">
        <v>100.934</v>
      </c>
      <c r="W24">
        <v>-237.33315509259367</v>
      </c>
      <c r="X24">
        <v>62.844848599999999</v>
      </c>
      <c r="Y24">
        <v>92.278457900000006</v>
      </c>
      <c r="Z24">
        <v>180.98100000000002</v>
      </c>
      <c r="AA24">
        <v>233.84328600000001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>
        <v>949.82589633965347</v>
      </c>
      <c r="B25">
        <v>32</v>
      </c>
      <c r="C25">
        <v>11</v>
      </c>
      <c r="D25">
        <v>1.9676294874889371</v>
      </c>
      <c r="E25">
        <v>19</v>
      </c>
      <c r="F25">
        <v>13</v>
      </c>
      <c r="G25">
        <v>0.49065099748041513</v>
      </c>
      <c r="H25">
        <v>27</v>
      </c>
      <c r="I25">
        <v>10</v>
      </c>
      <c r="J25">
        <v>0.74411813389226433</v>
      </c>
      <c r="K25">
        <v>509139283.92029649</v>
      </c>
      <c r="L25">
        <v>54483600</v>
      </c>
      <c r="M25">
        <v>79719985.250423238</v>
      </c>
      <c r="N25">
        <v>158228000</v>
      </c>
      <c r="O25">
        <v>15894185.92</v>
      </c>
      <c r="P25">
        <v>93.937331</v>
      </c>
      <c r="Q25">
        <v>-1.1958111284443249</v>
      </c>
      <c r="R25">
        <v>43.561048300000003</v>
      </c>
      <c r="S25">
        <v>779.59075700000005</v>
      </c>
      <c r="T25">
        <v>3.00006063E-16</v>
      </c>
      <c r="U25">
        <v>19.186292137129104</v>
      </c>
      <c r="V25">
        <v>100.934</v>
      </c>
      <c r="W25">
        <v>-228.42528324604135</v>
      </c>
      <c r="X25">
        <v>62.834516600000001</v>
      </c>
      <c r="Y25">
        <v>93.320531399999993</v>
      </c>
      <c r="Z25">
        <v>144.29</v>
      </c>
      <c r="AA25">
        <v>231.16008099999999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>
      <c r="A26">
        <v>919.20371272335626</v>
      </c>
      <c r="B26">
        <v>34</v>
      </c>
      <c r="C26">
        <v>10</v>
      </c>
      <c r="D26">
        <v>1.7775737651104802</v>
      </c>
      <c r="E26">
        <v>14</v>
      </c>
      <c r="F26">
        <v>7</v>
      </c>
      <c r="G26">
        <v>0.76457215282223345</v>
      </c>
      <c r="H26">
        <v>24</v>
      </c>
      <c r="I26">
        <v>13</v>
      </c>
      <c r="J26">
        <v>1.0844552747680796</v>
      </c>
      <c r="K26">
        <v>508634361.80279344</v>
      </c>
      <c r="L26">
        <v>54415700</v>
      </c>
      <c r="M26">
        <v>79685031.493426979</v>
      </c>
      <c r="N26">
        <v>156355000</v>
      </c>
      <c r="O26">
        <v>15892111.68</v>
      </c>
      <c r="P26">
        <v>93.975780900000004</v>
      </c>
      <c r="Q26">
        <v>-1.1141780097657246</v>
      </c>
      <c r="R26">
        <v>43.595362700000003</v>
      </c>
      <c r="S26">
        <v>780.00519099999997</v>
      </c>
      <c r="T26">
        <v>1.5034990300000001E-11</v>
      </c>
      <c r="U26">
        <v>19.301805783369165</v>
      </c>
      <c r="V26">
        <v>100.934</v>
      </c>
      <c r="W26">
        <v>-216.22353905125513</v>
      </c>
      <c r="X26">
        <v>62.902785899999998</v>
      </c>
      <c r="Y26">
        <v>93.387265799999994</v>
      </c>
      <c r="Z26">
        <v>165.7</v>
      </c>
      <c r="AA26">
        <v>230.985727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>
      <c r="A27">
        <v>911.45712714297326</v>
      </c>
      <c r="B27">
        <v>27</v>
      </c>
      <c r="C27">
        <v>11</v>
      </c>
      <c r="D27">
        <v>6.8341256290594288</v>
      </c>
      <c r="E27">
        <v>26</v>
      </c>
      <c r="F27">
        <v>8</v>
      </c>
      <c r="G27">
        <v>0.7995717725067002</v>
      </c>
      <c r="H27">
        <v>18</v>
      </c>
      <c r="I27">
        <v>14</v>
      </c>
      <c r="J27">
        <v>1.0174043352374389</v>
      </c>
      <c r="K27">
        <v>509275184.73468161</v>
      </c>
      <c r="L27">
        <v>54421500</v>
      </c>
      <c r="M27">
        <v>79675943.590842128</v>
      </c>
      <c r="N27">
        <v>155983000</v>
      </c>
      <c r="O27">
        <v>15892892.239999998</v>
      </c>
      <c r="P27">
        <v>94.506057499999997</v>
      </c>
      <c r="Q27">
        <v>-1.0856762776155684</v>
      </c>
      <c r="R27">
        <v>43.639444099999999</v>
      </c>
      <c r="S27">
        <v>780.15195299999993</v>
      </c>
      <c r="T27">
        <v>1.2000022599999999E-12</v>
      </c>
      <c r="U27">
        <v>19.229367619744099</v>
      </c>
      <c r="V27">
        <v>100.934</v>
      </c>
      <c r="W27">
        <v>-237.65769553564749</v>
      </c>
      <c r="X27">
        <v>62.871441500000003</v>
      </c>
      <c r="Y27">
        <v>92.554252300000002</v>
      </c>
      <c r="Z27">
        <v>203.285</v>
      </c>
      <c r="AA27">
        <v>232.56391500000001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>
        <v>941.39145550416936</v>
      </c>
      <c r="B28">
        <v>39</v>
      </c>
      <c r="C28">
        <v>14</v>
      </c>
      <c r="D28">
        <v>5.6419796831292759</v>
      </c>
      <c r="E28">
        <v>15</v>
      </c>
      <c r="F28">
        <v>7</v>
      </c>
      <c r="G28">
        <v>0.3</v>
      </c>
      <c r="H28">
        <v>14</v>
      </c>
      <c r="I28">
        <v>12</v>
      </c>
      <c r="J28">
        <v>1.3956375857668557</v>
      </c>
      <c r="K28">
        <v>509587431.93676782</v>
      </c>
      <c r="L28">
        <v>54487000</v>
      </c>
      <c r="M28">
        <v>79708999.887093738</v>
      </c>
      <c r="N28">
        <v>157839000</v>
      </c>
      <c r="O28">
        <v>15892120.960000001</v>
      </c>
      <c r="P28">
        <v>94.045119600000007</v>
      </c>
      <c r="Q28">
        <v>-1.1727869710343635</v>
      </c>
      <c r="R28">
        <v>43.592875999999997</v>
      </c>
      <c r="S28">
        <v>780.14105300000006</v>
      </c>
      <c r="T28">
        <v>1.52695037E-10</v>
      </c>
      <c r="U28">
        <v>19.60731661449082</v>
      </c>
      <c r="V28">
        <v>100.934</v>
      </c>
      <c r="W28">
        <v>-241.35966286923897</v>
      </c>
      <c r="X28">
        <v>62.847814100000001</v>
      </c>
      <c r="Y28">
        <v>92.345074699999998</v>
      </c>
      <c r="Z28">
        <v>165.7</v>
      </c>
      <c r="AA28">
        <v>232.29305199999999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>
        <v>950.94279741413766</v>
      </c>
      <c r="B29">
        <v>35</v>
      </c>
      <c r="C29">
        <v>18</v>
      </c>
      <c r="D29">
        <v>13.657328215650658</v>
      </c>
      <c r="E29">
        <v>26</v>
      </c>
      <c r="F29">
        <v>14</v>
      </c>
      <c r="G29">
        <v>0.51545215308543935</v>
      </c>
      <c r="H29">
        <v>19</v>
      </c>
      <c r="I29">
        <v>14</v>
      </c>
      <c r="J29">
        <v>1.4</v>
      </c>
      <c r="K29">
        <v>511494246.4749642</v>
      </c>
      <c r="L29">
        <v>54549200</v>
      </c>
      <c r="M29">
        <v>79721783.384604707</v>
      </c>
      <c r="N29">
        <v>158177000</v>
      </c>
      <c r="O29">
        <v>15901743.52</v>
      </c>
      <c r="P29">
        <v>95.555085399999996</v>
      </c>
      <c r="Q29">
        <v>-1.1534489746337773</v>
      </c>
      <c r="R29">
        <v>43.628872700000002</v>
      </c>
      <c r="S29">
        <v>779.535439</v>
      </c>
      <c r="T29">
        <v>2.0906910600000001E-17</v>
      </c>
      <c r="U29">
        <v>19.2292976492758</v>
      </c>
      <c r="V29">
        <v>100.934</v>
      </c>
      <c r="W29">
        <v>-238.1332422210433</v>
      </c>
      <c r="X29">
        <v>62.806565499999998</v>
      </c>
      <c r="Y29">
        <v>92.192705500000002</v>
      </c>
      <c r="Z29">
        <v>177.97</v>
      </c>
      <c r="AA29">
        <v>231.943803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>
      <c r="A30">
        <v>946.71963436006661</v>
      </c>
      <c r="B30">
        <v>33</v>
      </c>
      <c r="C30">
        <v>14</v>
      </c>
      <c r="D30">
        <v>1</v>
      </c>
      <c r="E30">
        <v>28</v>
      </c>
      <c r="F30">
        <v>12</v>
      </c>
      <c r="G30">
        <v>0.58166648067600579</v>
      </c>
      <c r="H30">
        <v>25</v>
      </c>
      <c r="I30">
        <v>12</v>
      </c>
      <c r="J30">
        <v>0.79213241996458184</v>
      </c>
      <c r="K30">
        <v>509114786.3434642</v>
      </c>
      <c r="L30">
        <v>54480300</v>
      </c>
      <c r="M30">
        <v>79716190.786040992</v>
      </c>
      <c r="N30">
        <v>156141000</v>
      </c>
      <c r="O30">
        <v>15892367.92</v>
      </c>
      <c r="P30">
        <v>97.053532300000001</v>
      </c>
      <c r="Q30">
        <v>-1.0628131932121445</v>
      </c>
      <c r="R30">
        <v>43.6036973</v>
      </c>
      <c r="S30">
        <v>780.42873800000007</v>
      </c>
      <c r="T30">
        <v>4.27979669E-16</v>
      </c>
      <c r="U30">
        <v>19.427840055476114</v>
      </c>
      <c r="V30">
        <v>80.72</v>
      </c>
      <c r="W30">
        <v>-147.58883535732744</v>
      </c>
      <c r="X30">
        <v>63.054837800000001</v>
      </c>
      <c r="Y30">
        <v>94.835531599999996</v>
      </c>
      <c r="Z30">
        <v>180.98100000000002</v>
      </c>
      <c r="AA30">
        <v>231.38317599999999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>
      <c r="A31">
        <v>938.78794108363377</v>
      </c>
      <c r="B31">
        <v>34</v>
      </c>
      <c r="C31">
        <v>10</v>
      </c>
      <c r="D31">
        <v>1</v>
      </c>
      <c r="E31">
        <v>19</v>
      </c>
      <c r="F31">
        <v>14</v>
      </c>
      <c r="G31">
        <v>0.3</v>
      </c>
      <c r="H31">
        <v>28</v>
      </c>
      <c r="I31">
        <v>7</v>
      </c>
      <c r="J31">
        <v>1.0111003086679453</v>
      </c>
      <c r="K31">
        <v>508485857.36133975</v>
      </c>
      <c r="L31">
        <v>54468600</v>
      </c>
      <c r="M31">
        <v>79705304.090013325</v>
      </c>
      <c r="N31">
        <v>156417000</v>
      </c>
      <c r="O31">
        <v>15887989.040000001</v>
      </c>
      <c r="P31">
        <v>92.535849099999993</v>
      </c>
      <c r="Q31">
        <v>-1.1330390659352731</v>
      </c>
      <c r="R31">
        <v>43.468844500000003</v>
      </c>
      <c r="S31">
        <v>780.67707700000005</v>
      </c>
      <c r="T31">
        <v>6.1317989300000002E-16</v>
      </c>
      <c r="U31">
        <v>19.304879053115005</v>
      </c>
      <c r="V31">
        <v>80.72</v>
      </c>
      <c r="W31">
        <v>-145.7226310862934</v>
      </c>
      <c r="X31">
        <v>63.071168299999997</v>
      </c>
      <c r="Y31">
        <v>94.869008100000002</v>
      </c>
      <c r="Z31">
        <v>144.29</v>
      </c>
      <c r="AA31">
        <v>229.73520400000001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>
      <c r="A32">
        <v>942.5811396188933</v>
      </c>
      <c r="B32">
        <v>30</v>
      </c>
      <c r="C32">
        <v>19</v>
      </c>
      <c r="D32">
        <v>4.2591106051314513</v>
      </c>
      <c r="E32">
        <v>26</v>
      </c>
      <c r="F32">
        <v>5</v>
      </c>
      <c r="G32">
        <v>1.2</v>
      </c>
      <c r="H32">
        <v>17</v>
      </c>
      <c r="I32">
        <v>7</v>
      </c>
      <c r="J32">
        <v>1.4</v>
      </c>
      <c r="K32">
        <v>509551914.87151074</v>
      </c>
      <c r="L32">
        <v>54488800</v>
      </c>
      <c r="M32">
        <v>79710697.93540071</v>
      </c>
      <c r="N32">
        <v>157414000</v>
      </c>
      <c r="O32">
        <v>15891773.440000001</v>
      </c>
      <c r="P32">
        <v>95.511161400000006</v>
      </c>
      <c r="Q32">
        <v>-1.1353119335895496</v>
      </c>
      <c r="R32">
        <v>43.645461500000003</v>
      </c>
      <c r="S32">
        <v>780.40832499999999</v>
      </c>
      <c r="T32">
        <v>4.7130230200000001E-10</v>
      </c>
      <c r="U32">
        <v>19.328561939344606</v>
      </c>
      <c r="V32">
        <v>91.850000000000009</v>
      </c>
      <c r="W32">
        <v>-239.28864083940005</v>
      </c>
      <c r="X32">
        <v>62.818400400000002</v>
      </c>
      <c r="Y32">
        <v>92.637871099999998</v>
      </c>
      <c r="Z32">
        <v>203.285</v>
      </c>
      <c r="AA32">
        <v>231.565642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>
      <c r="A33">
        <v>910</v>
      </c>
      <c r="B33">
        <v>35</v>
      </c>
      <c r="C33">
        <v>10</v>
      </c>
      <c r="D33">
        <v>15</v>
      </c>
      <c r="E33">
        <v>13</v>
      </c>
      <c r="F33">
        <v>5</v>
      </c>
      <c r="G33">
        <v>0.3</v>
      </c>
      <c r="H33">
        <v>16</v>
      </c>
      <c r="I33">
        <v>14</v>
      </c>
      <c r="J33">
        <v>0.3</v>
      </c>
      <c r="K33">
        <v>510528893.51596606</v>
      </c>
      <c r="L33">
        <v>54478500</v>
      </c>
      <c r="M33">
        <v>79693967.323429361</v>
      </c>
      <c r="N33">
        <v>155621000</v>
      </c>
      <c r="O33">
        <v>15902925.92</v>
      </c>
      <c r="P33">
        <v>94.237278799999999</v>
      </c>
      <c r="Q33">
        <v>-1.0601143268177315</v>
      </c>
      <c r="R33">
        <v>43.592479500000003</v>
      </c>
      <c r="S33">
        <v>780.58461799999998</v>
      </c>
      <c r="T33">
        <v>5.71766909E-9</v>
      </c>
      <c r="U33">
        <v>19.788951305630476</v>
      </c>
      <c r="V33">
        <v>100.934</v>
      </c>
      <c r="W33">
        <v>-239.87405973985307</v>
      </c>
      <c r="X33">
        <v>62.813221900000002</v>
      </c>
      <c r="Y33">
        <v>92.175329099999999</v>
      </c>
      <c r="Z33">
        <v>165.7</v>
      </c>
      <c r="AA33">
        <v>239.10327799999999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>
      <c r="A34">
        <v>936.48374828338274</v>
      </c>
      <c r="B34">
        <v>27</v>
      </c>
      <c r="C34">
        <v>10</v>
      </c>
      <c r="D34">
        <v>1.1940952892275376</v>
      </c>
      <c r="E34">
        <v>14</v>
      </c>
      <c r="F34">
        <v>5</v>
      </c>
      <c r="G34">
        <v>0.88504648419373522</v>
      </c>
      <c r="H34">
        <v>13</v>
      </c>
      <c r="I34">
        <v>11</v>
      </c>
      <c r="J34">
        <v>0.59521534541863419</v>
      </c>
      <c r="K34">
        <v>507966706.32815504</v>
      </c>
      <c r="L34">
        <v>54419200</v>
      </c>
      <c r="M34">
        <v>79703308.687174886</v>
      </c>
      <c r="N34">
        <v>156705000</v>
      </c>
      <c r="O34">
        <v>15887617.359999999</v>
      </c>
      <c r="P34">
        <v>96.394468399999994</v>
      </c>
      <c r="Q34">
        <v>-1.1067912989102362</v>
      </c>
      <c r="R34">
        <v>43.5967749</v>
      </c>
      <c r="S34">
        <v>780.28152299999999</v>
      </c>
      <c r="T34">
        <v>7.6462511599999997E-10</v>
      </c>
      <c r="U34">
        <v>19.419532675593089</v>
      </c>
      <c r="V34">
        <v>80.72</v>
      </c>
      <c r="W34">
        <v>-168.42557162783086</v>
      </c>
      <c r="X34">
        <v>63.054265200000003</v>
      </c>
      <c r="Y34">
        <v>94.427322799999999</v>
      </c>
      <c r="Z34">
        <v>177.97</v>
      </c>
      <c r="AA34">
        <v>234.639017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>
      <c r="A35">
        <v>944.53205917915955</v>
      </c>
      <c r="B35">
        <v>39</v>
      </c>
      <c r="C35">
        <v>19</v>
      </c>
      <c r="D35">
        <v>1</v>
      </c>
      <c r="E35">
        <v>23</v>
      </c>
      <c r="F35">
        <v>5</v>
      </c>
      <c r="G35">
        <v>1.2</v>
      </c>
      <c r="H35">
        <v>28</v>
      </c>
      <c r="I35">
        <v>7</v>
      </c>
      <c r="J35">
        <v>1.4</v>
      </c>
      <c r="K35">
        <v>509434848.33526838</v>
      </c>
      <c r="L35">
        <v>54511400</v>
      </c>
      <c r="M35">
        <v>79713294.571709141</v>
      </c>
      <c r="N35">
        <v>155980000</v>
      </c>
      <c r="O35">
        <v>15891089.84</v>
      </c>
      <c r="P35">
        <v>96.897903799999995</v>
      </c>
      <c r="Q35">
        <v>-1.0535264440194301</v>
      </c>
      <c r="R35">
        <v>43.606428899999997</v>
      </c>
      <c r="S35">
        <v>780.96693399999992</v>
      </c>
      <c r="T35">
        <v>4.0953367099999999E-10</v>
      </c>
      <c r="U35">
        <v>19.586271191875852</v>
      </c>
      <c r="V35">
        <v>80.72</v>
      </c>
      <c r="W35">
        <v>-147.0485992613614</v>
      </c>
      <c r="X35">
        <v>63.060878899999999</v>
      </c>
      <c r="Y35">
        <v>94.818766699999998</v>
      </c>
      <c r="Z35">
        <v>203.285</v>
      </c>
      <c r="AA35">
        <v>230.79073199999999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>
      <c r="A36">
        <v>941.70631722269695</v>
      </c>
      <c r="B36">
        <v>36</v>
      </c>
      <c r="C36">
        <v>10</v>
      </c>
      <c r="D36">
        <v>7.5268073451596704</v>
      </c>
      <c r="E36">
        <v>10</v>
      </c>
      <c r="F36">
        <v>5</v>
      </c>
      <c r="G36">
        <v>0.3</v>
      </c>
      <c r="H36">
        <v>10</v>
      </c>
      <c r="I36">
        <v>7</v>
      </c>
      <c r="J36">
        <v>1.4</v>
      </c>
      <c r="K36">
        <v>509672261.06763387</v>
      </c>
      <c r="L36">
        <v>54466900</v>
      </c>
      <c r="M36">
        <v>79709099.188182205</v>
      </c>
      <c r="N36">
        <v>158047000</v>
      </c>
      <c r="O36">
        <v>15893214.799999999</v>
      </c>
      <c r="P36">
        <v>91.762291399999995</v>
      </c>
      <c r="Q36">
        <v>-1.2123086036818205</v>
      </c>
      <c r="R36">
        <v>43.5234667</v>
      </c>
      <c r="S36">
        <v>780.65659300000004</v>
      </c>
      <c r="T36">
        <v>6.7752147400000002E-9</v>
      </c>
      <c r="U36">
        <v>19.568403276057015</v>
      </c>
      <c r="V36">
        <v>100.934</v>
      </c>
      <c r="W36">
        <v>-242.32576033890342</v>
      </c>
      <c r="X36">
        <v>62.842849299999997</v>
      </c>
      <c r="Y36">
        <v>92.327333999999993</v>
      </c>
      <c r="Z36">
        <v>144.29</v>
      </c>
      <c r="AA36">
        <v>230.65791899999999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>
      <c r="A37">
        <v>930.41999561160617</v>
      </c>
      <c r="B37">
        <v>27</v>
      </c>
      <c r="C37">
        <v>10</v>
      </c>
      <c r="D37">
        <v>5.0676702501205382</v>
      </c>
      <c r="E37">
        <v>26</v>
      </c>
      <c r="F37">
        <v>5</v>
      </c>
      <c r="G37">
        <v>1.2</v>
      </c>
      <c r="H37">
        <v>25</v>
      </c>
      <c r="I37">
        <v>14</v>
      </c>
      <c r="J37">
        <v>0.3</v>
      </c>
      <c r="K37">
        <v>509349408.08306956</v>
      </c>
      <c r="L37">
        <v>54470300</v>
      </c>
      <c r="M37">
        <v>79704227.866154119</v>
      </c>
      <c r="N37">
        <v>156254000</v>
      </c>
      <c r="O37">
        <v>15888695.120000001</v>
      </c>
      <c r="P37">
        <v>95.782024000000007</v>
      </c>
      <c r="Q37">
        <v>-1.0809279233905864</v>
      </c>
      <c r="R37">
        <v>43.639688</v>
      </c>
      <c r="S37">
        <v>780.628556</v>
      </c>
      <c r="T37">
        <v>4.7851890199999997E-10</v>
      </c>
      <c r="U37">
        <v>19.381689714594486</v>
      </c>
      <c r="V37">
        <v>100.934</v>
      </c>
      <c r="W37">
        <v>-235.53890508460711</v>
      </c>
      <c r="X37">
        <v>62.775730299999999</v>
      </c>
      <c r="Y37">
        <v>92.595093399999996</v>
      </c>
      <c r="Z37">
        <v>203.285</v>
      </c>
      <c r="AA37">
        <v>235.45960099999999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>
      <c r="A38">
        <v>920.34149406737151</v>
      </c>
      <c r="B38">
        <v>27</v>
      </c>
      <c r="C38">
        <v>19</v>
      </c>
      <c r="D38">
        <v>14.550800978271317</v>
      </c>
      <c r="E38">
        <v>15</v>
      </c>
      <c r="F38">
        <v>5</v>
      </c>
      <c r="G38">
        <v>1.2</v>
      </c>
      <c r="H38">
        <v>21</v>
      </c>
      <c r="I38">
        <v>14</v>
      </c>
      <c r="J38">
        <v>1.4</v>
      </c>
      <c r="K38">
        <v>510752289.25485104</v>
      </c>
      <c r="L38">
        <v>54451700</v>
      </c>
      <c r="M38">
        <v>79686429.737725019</v>
      </c>
      <c r="N38">
        <v>156432000</v>
      </c>
      <c r="O38">
        <v>15899149.279999999</v>
      </c>
      <c r="P38">
        <v>94.631062</v>
      </c>
      <c r="Q38">
        <v>-1.0931819680079415</v>
      </c>
      <c r="R38">
        <v>43.638507599999997</v>
      </c>
      <c r="S38">
        <v>779.94677799999999</v>
      </c>
      <c r="T38">
        <v>5.6983972199999995E-10</v>
      </c>
      <c r="U38">
        <v>19.345572764033996</v>
      </c>
      <c r="V38">
        <v>91.850000000000009</v>
      </c>
      <c r="W38">
        <v>-238.69573061745498</v>
      </c>
      <c r="X38">
        <v>62.8491979</v>
      </c>
      <c r="Y38">
        <v>92.451396700000004</v>
      </c>
      <c r="Z38">
        <v>177.97</v>
      </c>
      <c r="AA38">
        <v>231.389442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>
      <c r="A39">
        <v>957.63761658400506</v>
      </c>
      <c r="B39">
        <v>33</v>
      </c>
      <c r="C39">
        <v>19</v>
      </c>
      <c r="D39">
        <v>8.1339791113038853</v>
      </c>
      <c r="E39">
        <v>28</v>
      </c>
      <c r="F39">
        <v>14</v>
      </c>
      <c r="G39">
        <v>1.2</v>
      </c>
      <c r="H39">
        <v>23</v>
      </c>
      <c r="I39">
        <v>14</v>
      </c>
      <c r="J39">
        <v>0.67933518155860595</v>
      </c>
      <c r="K39">
        <v>506611794.80748093</v>
      </c>
      <c r="L39">
        <v>54451700</v>
      </c>
      <c r="M39">
        <v>79686502.423498541</v>
      </c>
      <c r="N39">
        <v>156432000</v>
      </c>
      <c r="O39">
        <v>16380147.199999999</v>
      </c>
      <c r="P39">
        <v>92.182150500000006</v>
      </c>
      <c r="Q39">
        <v>-1.1527152044654816</v>
      </c>
      <c r="R39">
        <v>43.641048499999997</v>
      </c>
      <c r="S39">
        <v>781.16718100000003</v>
      </c>
      <c r="T39">
        <v>1.50833512E-18</v>
      </c>
      <c r="U39">
        <v>19.142864685401427</v>
      </c>
      <c r="V39">
        <v>100.934</v>
      </c>
      <c r="W39">
        <v>-237.83732195400694</v>
      </c>
      <c r="X39">
        <v>62.906471799999998</v>
      </c>
      <c r="Y39">
        <v>92.387145700000005</v>
      </c>
      <c r="Z39">
        <v>180.98100000000002</v>
      </c>
      <c r="AA39">
        <v>231.888158</v>
      </c>
      <c r="AB39">
        <v>100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>
      <c r="A40">
        <v>944.71090667188616</v>
      </c>
      <c r="B40">
        <v>39</v>
      </c>
      <c r="C40">
        <v>19</v>
      </c>
      <c r="D40">
        <v>1.2977939192584111</v>
      </c>
      <c r="E40">
        <v>23</v>
      </c>
      <c r="F40">
        <v>9</v>
      </c>
      <c r="G40">
        <v>0.79472798124833022</v>
      </c>
      <c r="H40">
        <v>28</v>
      </c>
      <c r="I40">
        <v>7</v>
      </c>
      <c r="J40">
        <v>1.2559413240021031</v>
      </c>
      <c r="K40">
        <v>509395438.89248043</v>
      </c>
      <c r="L40">
        <v>54493900</v>
      </c>
      <c r="M40">
        <v>79713494.268683121</v>
      </c>
      <c r="N40">
        <v>157214000</v>
      </c>
      <c r="O40">
        <v>15891355.279999999</v>
      </c>
      <c r="P40">
        <v>95.549393300000006</v>
      </c>
      <c r="Q40">
        <v>-1.1264938569812286</v>
      </c>
      <c r="R40">
        <v>43.6017747</v>
      </c>
      <c r="S40">
        <v>780.48857599999997</v>
      </c>
      <c r="T40">
        <v>1.44856652E-13</v>
      </c>
      <c r="U40">
        <v>19.311258908503262</v>
      </c>
      <c r="V40">
        <v>91.850000000000009</v>
      </c>
      <c r="W40">
        <v>-191.24754388998861</v>
      </c>
      <c r="X40">
        <v>62.921662499999996</v>
      </c>
      <c r="Y40">
        <v>93.718416399999995</v>
      </c>
      <c r="Z40">
        <v>180.98100000000002</v>
      </c>
      <c r="AA40">
        <v>231.14184599999999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>
      <c r="A41">
        <v>947.60790421939907</v>
      </c>
      <c r="B41">
        <v>33</v>
      </c>
      <c r="C41">
        <v>15</v>
      </c>
      <c r="D41">
        <v>1.2964342063127992</v>
      </c>
      <c r="E41">
        <v>28</v>
      </c>
      <c r="F41">
        <v>12</v>
      </c>
      <c r="G41">
        <v>0.50132076998030073</v>
      </c>
      <c r="H41">
        <v>25</v>
      </c>
      <c r="I41">
        <v>12</v>
      </c>
      <c r="J41">
        <v>0.65203050382560968</v>
      </c>
      <c r="K41">
        <v>509335648.48068011</v>
      </c>
      <c r="L41">
        <v>54499400</v>
      </c>
      <c r="M41">
        <v>79717389.262487784</v>
      </c>
      <c r="N41">
        <v>157386000</v>
      </c>
      <c r="O41">
        <v>15893065.119999999</v>
      </c>
      <c r="P41">
        <v>95.971084899999994</v>
      </c>
      <c r="Q41">
        <v>-1.1296254641860566</v>
      </c>
      <c r="R41">
        <v>43.602713299999998</v>
      </c>
      <c r="S41">
        <v>780.00989800000002</v>
      </c>
      <c r="T41">
        <v>1.0068219499999999E-15</v>
      </c>
      <c r="U41">
        <v>19.358803071428827</v>
      </c>
      <c r="V41">
        <v>80.72</v>
      </c>
      <c r="W41">
        <v>-189.19079686073158</v>
      </c>
      <c r="X41">
        <v>62.925053499999997</v>
      </c>
      <c r="Y41">
        <v>93.763681700000006</v>
      </c>
      <c r="Z41">
        <v>180.98100000000002</v>
      </c>
      <c r="AA41">
        <v>232.05164199999999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>
      <c r="A42">
        <v>949.48183983326487</v>
      </c>
      <c r="B42">
        <v>36</v>
      </c>
      <c r="C42">
        <v>16</v>
      </c>
      <c r="D42">
        <v>14.472513555616228</v>
      </c>
      <c r="E42">
        <v>22</v>
      </c>
      <c r="F42">
        <v>12</v>
      </c>
      <c r="G42">
        <v>0.33831099537101028</v>
      </c>
      <c r="H42">
        <v>17</v>
      </c>
      <c r="I42">
        <v>12</v>
      </c>
      <c r="J42">
        <v>1.2387253136701968</v>
      </c>
      <c r="K42">
        <v>511303923.54764593</v>
      </c>
      <c r="L42">
        <v>54535600</v>
      </c>
      <c r="M42">
        <v>79719785.943171546</v>
      </c>
      <c r="N42">
        <v>158109000</v>
      </c>
      <c r="O42">
        <v>15901259.279999999</v>
      </c>
      <c r="P42">
        <v>95.188460500000005</v>
      </c>
      <c r="Q42">
        <v>-1.1567261017021426</v>
      </c>
      <c r="R42">
        <v>43.6184686</v>
      </c>
      <c r="S42">
        <v>779.74075800000003</v>
      </c>
      <c r="T42">
        <v>7.7497299999999998E-15</v>
      </c>
      <c r="U42">
        <v>19.485070660394243</v>
      </c>
      <c r="V42">
        <v>100.934</v>
      </c>
      <c r="W42">
        <v>-239.44714233101635</v>
      </c>
      <c r="X42">
        <v>62.809826000000001</v>
      </c>
      <c r="Y42">
        <v>92.150807299999997</v>
      </c>
      <c r="Z42">
        <v>177.97</v>
      </c>
      <c r="AA42">
        <v>231.84877700000001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>
      <c r="A43">
        <v>948.56423852891362</v>
      </c>
      <c r="B43">
        <v>38</v>
      </c>
      <c r="C43">
        <v>16</v>
      </c>
      <c r="D43">
        <v>8.0240886137679031</v>
      </c>
      <c r="E43">
        <v>26</v>
      </c>
      <c r="F43">
        <v>5</v>
      </c>
      <c r="G43">
        <v>0.45551215418047691</v>
      </c>
      <c r="H43">
        <v>15</v>
      </c>
      <c r="I43">
        <v>10</v>
      </c>
      <c r="J43">
        <v>0.36100236816146247</v>
      </c>
      <c r="K43">
        <v>510287847.74596608</v>
      </c>
      <c r="L43">
        <v>54515900</v>
      </c>
      <c r="M43">
        <v>79721090.200122193</v>
      </c>
      <c r="N43">
        <v>157815000</v>
      </c>
      <c r="O43">
        <v>15898008.959999999</v>
      </c>
      <c r="P43">
        <v>96.850927499999997</v>
      </c>
      <c r="Q43">
        <v>-1.1314903667556617</v>
      </c>
      <c r="R43">
        <v>43.656561000000004</v>
      </c>
      <c r="S43">
        <v>780.09396400000003</v>
      </c>
      <c r="T43">
        <v>2.0475459E-9</v>
      </c>
      <c r="U43">
        <v>19.608755610649968</v>
      </c>
      <c r="V43">
        <v>100.934</v>
      </c>
      <c r="W43">
        <v>-237.53747809563697</v>
      </c>
      <c r="X43">
        <v>62.8046255</v>
      </c>
      <c r="Y43">
        <v>92.225812500000004</v>
      </c>
      <c r="Z43">
        <v>180.98100000000002</v>
      </c>
      <c r="AA43">
        <v>236.06565699999999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>
      <c r="A44">
        <v>946.2546588655257</v>
      </c>
      <c r="B44">
        <v>36</v>
      </c>
      <c r="C44">
        <v>19</v>
      </c>
      <c r="D44">
        <v>15</v>
      </c>
      <c r="E44">
        <v>21</v>
      </c>
      <c r="F44">
        <v>13</v>
      </c>
      <c r="G44">
        <v>0.3</v>
      </c>
      <c r="H44">
        <v>25</v>
      </c>
      <c r="I44">
        <v>14</v>
      </c>
      <c r="J44">
        <v>1.4</v>
      </c>
      <c r="K44">
        <v>511582371.65878057</v>
      </c>
      <c r="L44">
        <v>54530800</v>
      </c>
      <c r="M44">
        <v>79715291.499127984</v>
      </c>
      <c r="N44">
        <v>157973000</v>
      </c>
      <c r="O44">
        <v>15898917.84</v>
      </c>
      <c r="P44">
        <v>94.031498400000004</v>
      </c>
      <c r="Q44">
        <v>-1.1627889727121401</v>
      </c>
      <c r="R44">
        <v>43.589150099999998</v>
      </c>
      <c r="S44">
        <v>779.97754900000007</v>
      </c>
      <c r="T44">
        <v>3.10819525E-15</v>
      </c>
      <c r="U44">
        <v>19.537722749190053</v>
      </c>
      <c r="V44">
        <v>100.934</v>
      </c>
      <c r="W44">
        <v>-240.993780866989</v>
      </c>
      <c r="X44">
        <v>62.812137399999997</v>
      </c>
      <c r="Y44">
        <v>92.153182599999994</v>
      </c>
      <c r="Z44">
        <v>165.7</v>
      </c>
      <c r="AA44">
        <v>230.18373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>
      <c r="A45">
        <v>946.39698366288019</v>
      </c>
      <c r="B45">
        <v>35</v>
      </c>
      <c r="C45">
        <v>19</v>
      </c>
      <c r="D45">
        <v>14.336105819038911</v>
      </c>
      <c r="E45">
        <v>26</v>
      </c>
      <c r="F45">
        <v>5</v>
      </c>
      <c r="G45">
        <v>0.3</v>
      </c>
      <c r="H45">
        <v>25</v>
      </c>
      <c r="I45">
        <v>7</v>
      </c>
      <c r="J45">
        <v>1.4</v>
      </c>
      <c r="K45">
        <v>511553202.87558681</v>
      </c>
      <c r="L45">
        <v>54549000</v>
      </c>
      <c r="M45">
        <v>79715791.421471149</v>
      </c>
      <c r="N45">
        <v>157636000</v>
      </c>
      <c r="O45">
        <v>15898678.16</v>
      </c>
      <c r="P45">
        <v>96.239423200000004</v>
      </c>
      <c r="Q45">
        <v>-1.1200255928247416</v>
      </c>
      <c r="R45">
        <v>43.668755500000003</v>
      </c>
      <c r="S45">
        <v>780.33708200000001</v>
      </c>
      <c r="T45">
        <v>4.6963437400000001E-9</v>
      </c>
      <c r="U45">
        <v>19.83593860215511</v>
      </c>
      <c r="V45">
        <v>100.934</v>
      </c>
      <c r="W45">
        <v>-237.73443196967168</v>
      </c>
      <c r="X45">
        <v>62.811545000000002</v>
      </c>
      <c r="Y45">
        <v>92.189988700000001</v>
      </c>
      <c r="Z45">
        <v>180.98100000000002</v>
      </c>
      <c r="AA45">
        <v>231.363696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>
      <c r="A46">
        <v>943.55260920169155</v>
      </c>
      <c r="B46">
        <v>30</v>
      </c>
      <c r="C46">
        <v>17</v>
      </c>
      <c r="D46">
        <v>5.3530325675585422</v>
      </c>
      <c r="E46">
        <v>24</v>
      </c>
      <c r="F46">
        <v>7</v>
      </c>
      <c r="G46">
        <v>0.3</v>
      </c>
      <c r="H46">
        <v>29</v>
      </c>
      <c r="I46">
        <v>10</v>
      </c>
      <c r="J46">
        <v>0.3</v>
      </c>
      <c r="K46">
        <v>509597944.53380036</v>
      </c>
      <c r="L46">
        <v>54517500</v>
      </c>
      <c r="M46">
        <v>79719904.851584479</v>
      </c>
      <c r="N46">
        <v>157084000</v>
      </c>
      <c r="O46">
        <v>15894954</v>
      </c>
      <c r="P46">
        <v>96.787075900000005</v>
      </c>
      <c r="Q46">
        <v>-1.1036627451400698</v>
      </c>
      <c r="R46">
        <v>43.6545615</v>
      </c>
      <c r="S46">
        <v>780.27545899999996</v>
      </c>
      <c r="T46">
        <v>1.19876764E-10</v>
      </c>
      <c r="U46">
        <v>19.768469057083962</v>
      </c>
      <c r="V46">
        <v>100.934</v>
      </c>
      <c r="W46">
        <v>-237.2745445173918</v>
      </c>
      <c r="X46">
        <v>62.759594499999999</v>
      </c>
      <c r="Y46">
        <v>92.507063500000001</v>
      </c>
      <c r="Z46">
        <v>180.98100000000002</v>
      </c>
      <c r="AA46">
        <v>235.712683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>
      <c r="A47">
        <v>923.3496632385843</v>
      </c>
      <c r="B47">
        <v>29</v>
      </c>
      <c r="C47">
        <v>12</v>
      </c>
      <c r="D47">
        <v>7.2676873075946151</v>
      </c>
      <c r="E47">
        <v>19</v>
      </c>
      <c r="F47">
        <v>7</v>
      </c>
      <c r="G47">
        <v>0.3</v>
      </c>
      <c r="H47">
        <v>16</v>
      </c>
      <c r="I47">
        <v>8</v>
      </c>
      <c r="J47">
        <v>0.3</v>
      </c>
      <c r="K47">
        <v>508964498.52254575</v>
      </c>
      <c r="L47">
        <v>54446200</v>
      </c>
      <c r="M47">
        <v>79698534.015219808</v>
      </c>
      <c r="N47">
        <v>156175000</v>
      </c>
      <c r="O47">
        <v>15898394.48</v>
      </c>
      <c r="P47">
        <v>95.581144399999999</v>
      </c>
      <c r="Q47">
        <v>-1.0833979387740162</v>
      </c>
      <c r="R47">
        <v>43.633375899999997</v>
      </c>
      <c r="S47">
        <v>780.30136500000003</v>
      </c>
      <c r="T47">
        <v>1.30594376E-10</v>
      </c>
      <c r="U47">
        <v>19.75065065866988</v>
      </c>
      <c r="V47">
        <v>100.934</v>
      </c>
      <c r="W47">
        <v>-237.75000725117067</v>
      </c>
      <c r="X47">
        <v>62.7874719</v>
      </c>
      <c r="Y47">
        <v>92.443722800000003</v>
      </c>
      <c r="Z47">
        <v>177.97</v>
      </c>
      <c r="AA47">
        <v>235.73217299999999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>
      <c r="A48">
        <v>925.24692222495821</v>
      </c>
      <c r="B48">
        <v>31</v>
      </c>
      <c r="C48">
        <v>19</v>
      </c>
      <c r="D48">
        <v>6.5916106119461082</v>
      </c>
      <c r="E48">
        <v>20</v>
      </c>
      <c r="F48">
        <v>11</v>
      </c>
      <c r="G48">
        <v>0.3</v>
      </c>
      <c r="H48">
        <v>27</v>
      </c>
      <c r="I48">
        <v>10</v>
      </c>
      <c r="J48">
        <v>0.3</v>
      </c>
      <c r="K48">
        <v>509227688.67454875</v>
      </c>
      <c r="L48">
        <v>54461200</v>
      </c>
      <c r="M48">
        <v>79695834.015219808</v>
      </c>
      <c r="N48">
        <v>156303000</v>
      </c>
      <c r="O48">
        <v>15887009.359999999</v>
      </c>
      <c r="P48">
        <v>94.630913199999995</v>
      </c>
      <c r="Q48">
        <v>-1.0976599910233571</v>
      </c>
      <c r="R48">
        <v>43.6012147</v>
      </c>
      <c r="S48">
        <v>780.11035200000003</v>
      </c>
      <c r="T48">
        <v>1.0521583E-13</v>
      </c>
      <c r="U48">
        <v>19.620554136717224</v>
      </c>
      <c r="V48">
        <v>100.934</v>
      </c>
      <c r="W48">
        <v>-239.82139639029515</v>
      </c>
      <c r="X48">
        <v>62.794484400000002</v>
      </c>
      <c r="Y48">
        <v>92.452220299999993</v>
      </c>
      <c r="Z48">
        <v>165.7</v>
      </c>
      <c r="AA48">
        <v>234.97820100000001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>
      <c r="A49">
        <v>942.43597435185848</v>
      </c>
      <c r="B49">
        <v>33</v>
      </c>
      <c r="C49">
        <v>17</v>
      </c>
      <c r="D49">
        <v>1</v>
      </c>
      <c r="E49">
        <v>19</v>
      </c>
      <c r="F49">
        <v>12</v>
      </c>
      <c r="G49">
        <v>0.3</v>
      </c>
      <c r="H49">
        <v>20</v>
      </c>
      <c r="I49">
        <v>12</v>
      </c>
      <c r="J49">
        <v>0.3</v>
      </c>
      <c r="K49">
        <v>508535009.94188368</v>
      </c>
      <c r="L49">
        <v>54461800</v>
      </c>
      <c r="M49">
        <v>79715503.751445934</v>
      </c>
      <c r="N49">
        <v>155731000</v>
      </c>
      <c r="O49">
        <v>15891407.040000001</v>
      </c>
      <c r="P49">
        <v>95.599707899999999</v>
      </c>
      <c r="Q49">
        <v>-1.0650152249134888</v>
      </c>
      <c r="R49">
        <v>43.526896000000001</v>
      </c>
      <c r="S49">
        <v>780.505044</v>
      </c>
      <c r="T49">
        <v>3.2343257699999998E-13</v>
      </c>
      <c r="U49">
        <v>19.713602333140429</v>
      </c>
      <c r="V49">
        <v>80.72</v>
      </c>
      <c r="W49">
        <v>-155.13268886512611</v>
      </c>
      <c r="X49">
        <v>63.026832499999998</v>
      </c>
      <c r="Y49">
        <v>94.842088000000004</v>
      </c>
      <c r="Z49">
        <v>144.29</v>
      </c>
      <c r="AA49">
        <v>233.711028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>
      <c r="A50">
        <v>937.46562249007548</v>
      </c>
      <c r="B50">
        <v>36</v>
      </c>
      <c r="C50">
        <v>10</v>
      </c>
      <c r="D50">
        <v>8.7685842477416376</v>
      </c>
      <c r="E50">
        <v>10</v>
      </c>
      <c r="F50">
        <v>5</v>
      </c>
      <c r="G50">
        <v>0.3</v>
      </c>
      <c r="H50">
        <v>19</v>
      </c>
      <c r="I50">
        <v>14</v>
      </c>
      <c r="J50">
        <v>0.3</v>
      </c>
      <c r="K50">
        <v>509629882.68660355</v>
      </c>
      <c r="L50">
        <v>54473600</v>
      </c>
      <c r="M50">
        <v>79709012.148245677</v>
      </c>
      <c r="N50">
        <v>157617000</v>
      </c>
      <c r="O50">
        <v>15893225.280000001</v>
      </c>
      <c r="P50">
        <v>92.270242600000003</v>
      </c>
      <c r="Q50">
        <v>-1.1850542332630702</v>
      </c>
      <c r="R50">
        <v>43.5225705</v>
      </c>
      <c r="S50">
        <v>780.71849000000009</v>
      </c>
      <c r="T50">
        <v>6.8006955700000002E-9</v>
      </c>
      <c r="U50">
        <v>19.589023311777311</v>
      </c>
      <c r="V50">
        <v>100.934</v>
      </c>
      <c r="W50">
        <v>-242.02091555677615</v>
      </c>
      <c r="X50">
        <v>62.824702500000001</v>
      </c>
      <c r="Y50">
        <v>92.274207899999993</v>
      </c>
      <c r="Z50">
        <v>144.29</v>
      </c>
      <c r="AA50">
        <v>234.007476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>
      <c r="A51">
        <v>920.99451863419961</v>
      </c>
      <c r="B51">
        <v>36</v>
      </c>
      <c r="C51">
        <v>13</v>
      </c>
      <c r="D51">
        <v>14.285880310239328</v>
      </c>
      <c r="E51">
        <v>13</v>
      </c>
      <c r="F51">
        <v>9</v>
      </c>
      <c r="G51">
        <v>0.3</v>
      </c>
      <c r="H51">
        <v>23</v>
      </c>
      <c r="I51">
        <v>7</v>
      </c>
      <c r="J51">
        <v>0.3</v>
      </c>
      <c r="K51">
        <v>509231683.14403307</v>
      </c>
      <c r="L51">
        <v>54473600</v>
      </c>
      <c r="M51">
        <v>79709032.073387966</v>
      </c>
      <c r="N51">
        <v>157617000</v>
      </c>
      <c r="O51">
        <v>15903813.6</v>
      </c>
      <c r="P51">
        <v>90.505519000000007</v>
      </c>
      <c r="Q51">
        <v>-1.2111478129530373</v>
      </c>
      <c r="R51">
        <v>43.478980700000001</v>
      </c>
      <c r="S51">
        <v>780.64417400000002</v>
      </c>
      <c r="T51">
        <v>7.4644635700000001E-12</v>
      </c>
      <c r="U51">
        <v>19.352172081292665</v>
      </c>
      <c r="V51">
        <v>100.934</v>
      </c>
      <c r="W51">
        <v>-241.72266461306262</v>
      </c>
      <c r="X51">
        <v>62.805014499999999</v>
      </c>
      <c r="Y51">
        <v>92.143538000000007</v>
      </c>
      <c r="Z51">
        <v>121.52199999999999</v>
      </c>
      <c r="AA51">
        <v>232.00402199999999</v>
      </c>
      <c r="AB51">
        <v>100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>
      <c r="A52">
        <v>922.66116667897256</v>
      </c>
      <c r="B52">
        <v>27</v>
      </c>
      <c r="C52">
        <v>18</v>
      </c>
      <c r="D52">
        <v>3.0350953612714275</v>
      </c>
      <c r="E52">
        <v>22</v>
      </c>
      <c r="F52">
        <v>7</v>
      </c>
      <c r="G52">
        <v>0.94804065049374198</v>
      </c>
      <c r="H52">
        <v>18</v>
      </c>
      <c r="I52">
        <v>14</v>
      </c>
      <c r="J52">
        <v>1.3479761514702924</v>
      </c>
      <c r="K52">
        <v>508600154.36198437</v>
      </c>
      <c r="L52">
        <v>54420000</v>
      </c>
      <c r="M52">
        <v>79689326.034027964</v>
      </c>
      <c r="N52">
        <v>156422000</v>
      </c>
      <c r="O52">
        <v>15893799.440000001</v>
      </c>
      <c r="P52">
        <v>95.036597999999998</v>
      </c>
      <c r="Q52">
        <v>-1.1048980265648518</v>
      </c>
      <c r="R52">
        <v>43.645338899999999</v>
      </c>
      <c r="S52">
        <v>780.09335599999997</v>
      </c>
      <c r="T52">
        <v>1.73793528E-11</v>
      </c>
      <c r="U52">
        <v>19.266234465633524</v>
      </c>
      <c r="V52">
        <v>80.72</v>
      </c>
      <c r="W52">
        <v>-241.28287987160746</v>
      </c>
      <c r="X52">
        <v>62.849224399999997</v>
      </c>
      <c r="Y52">
        <v>92.844013099999998</v>
      </c>
      <c r="Z52">
        <v>180.98100000000002</v>
      </c>
      <c r="AA52">
        <v>231.999528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>
      <c r="A53">
        <v>916.80072585836376</v>
      </c>
      <c r="B53">
        <v>29</v>
      </c>
      <c r="C53">
        <v>18</v>
      </c>
      <c r="D53">
        <v>7.9343759390721882</v>
      </c>
      <c r="E53">
        <v>29</v>
      </c>
      <c r="F53">
        <v>12</v>
      </c>
      <c r="G53">
        <v>0.70633927896152593</v>
      </c>
      <c r="H53">
        <v>26</v>
      </c>
      <c r="I53">
        <v>9</v>
      </c>
      <c r="J53">
        <v>1.1442618787066023</v>
      </c>
      <c r="K53">
        <v>510078627.34907699</v>
      </c>
      <c r="L53">
        <v>54460900</v>
      </c>
      <c r="M53">
        <v>79682235.307856917</v>
      </c>
      <c r="N53">
        <v>156226000</v>
      </c>
      <c r="O53">
        <v>15894680.560000001</v>
      </c>
      <c r="P53">
        <v>94.500864300000003</v>
      </c>
      <c r="Q53">
        <v>-1.089474938593616</v>
      </c>
      <c r="R53">
        <v>43.637030799999998</v>
      </c>
      <c r="S53">
        <v>780.06850599999996</v>
      </c>
      <c r="T53">
        <v>4.9829084600000001E-14</v>
      </c>
      <c r="U53">
        <v>19.181841809839909</v>
      </c>
      <c r="V53">
        <v>91.850000000000009</v>
      </c>
      <c r="W53">
        <v>-238.48853140782654</v>
      </c>
      <c r="X53">
        <v>62.854218899999999</v>
      </c>
      <c r="Y53">
        <v>92.484126799999999</v>
      </c>
      <c r="Z53">
        <v>180.98100000000002</v>
      </c>
      <c r="AA53">
        <v>231.138385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>
      <c r="A54">
        <v>923.5733766620192</v>
      </c>
      <c r="B54">
        <v>33</v>
      </c>
      <c r="C54">
        <v>11</v>
      </c>
      <c r="D54">
        <v>5.1130675587402701</v>
      </c>
      <c r="E54">
        <v>29</v>
      </c>
      <c r="F54">
        <v>12</v>
      </c>
      <c r="G54">
        <v>0.59081593698283708</v>
      </c>
      <c r="H54">
        <v>16</v>
      </c>
      <c r="I54">
        <v>10</v>
      </c>
      <c r="J54">
        <v>0.93341352053702908</v>
      </c>
      <c r="K54">
        <v>509102455.14310187</v>
      </c>
      <c r="L54">
        <v>54456800</v>
      </c>
      <c r="M54">
        <v>79690424.585255414</v>
      </c>
      <c r="N54">
        <v>156678000</v>
      </c>
      <c r="O54">
        <v>15895085.199999999</v>
      </c>
      <c r="P54">
        <v>94.896038300000001</v>
      </c>
      <c r="Q54">
        <v>-1.1131379715676213</v>
      </c>
      <c r="R54">
        <v>43.634823900000001</v>
      </c>
      <c r="S54">
        <v>779.80063200000006</v>
      </c>
      <c r="T54">
        <v>6.4632960900000004E-16</v>
      </c>
      <c r="U54">
        <v>19.21172165002892</v>
      </c>
      <c r="V54">
        <v>100.934</v>
      </c>
      <c r="W54">
        <v>-236.86866148876788</v>
      </c>
      <c r="X54">
        <v>62.848561400000001</v>
      </c>
      <c r="Y54">
        <v>92.501751600000006</v>
      </c>
      <c r="Z54">
        <v>180.98100000000002</v>
      </c>
      <c r="AA54">
        <v>232.43632400000001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>
      <c r="A55">
        <v>922.28788799778545</v>
      </c>
      <c r="B55">
        <v>27</v>
      </c>
      <c r="C55">
        <v>10</v>
      </c>
      <c r="D55">
        <v>1</v>
      </c>
      <c r="E55">
        <v>21</v>
      </c>
      <c r="F55">
        <v>5</v>
      </c>
      <c r="G55">
        <v>0.3</v>
      </c>
      <c r="H55">
        <v>10</v>
      </c>
      <c r="I55">
        <v>8</v>
      </c>
      <c r="J55">
        <v>0.3</v>
      </c>
      <c r="K55">
        <v>507615228.46232665</v>
      </c>
      <c r="L55">
        <v>54427900</v>
      </c>
      <c r="M55">
        <v>79711751.534027308</v>
      </c>
      <c r="N55">
        <v>153977000</v>
      </c>
      <c r="O55">
        <v>15898210.24</v>
      </c>
      <c r="P55">
        <v>98.323277200000007</v>
      </c>
      <c r="Q55">
        <v>-0.96463867163251726</v>
      </c>
      <c r="R55">
        <v>43.6309264</v>
      </c>
      <c r="S55">
        <v>780.75818399999991</v>
      </c>
      <c r="T55">
        <v>3.8864485599999997E-9</v>
      </c>
      <c r="U55">
        <v>19.91000882424353</v>
      </c>
      <c r="V55">
        <v>80.72</v>
      </c>
      <c r="W55">
        <v>-147.10169900563741</v>
      </c>
      <c r="X55">
        <v>62.995488399999999</v>
      </c>
      <c r="Y55">
        <v>94.877927200000002</v>
      </c>
      <c r="Z55">
        <v>177.97</v>
      </c>
      <c r="AA55">
        <v>239.98625000000001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>
      <c r="A56">
        <v>910</v>
      </c>
      <c r="B56">
        <v>34</v>
      </c>
      <c r="C56">
        <v>17</v>
      </c>
      <c r="D56">
        <v>10.82828540017435</v>
      </c>
      <c r="E56">
        <v>29</v>
      </c>
      <c r="F56">
        <v>14</v>
      </c>
      <c r="G56">
        <v>0.82308622057821301</v>
      </c>
      <c r="H56">
        <v>15</v>
      </c>
      <c r="I56">
        <v>8</v>
      </c>
      <c r="J56">
        <v>1.4</v>
      </c>
      <c r="K56">
        <v>510286477.73305607</v>
      </c>
      <c r="L56">
        <v>54458600</v>
      </c>
      <c r="M56">
        <v>79674245.792146429</v>
      </c>
      <c r="N56">
        <v>155847000</v>
      </c>
      <c r="O56">
        <v>15894597.52</v>
      </c>
      <c r="P56">
        <v>94.303148199999995</v>
      </c>
      <c r="Q56">
        <v>-1.0726295235905723</v>
      </c>
      <c r="R56">
        <v>43.637393099999997</v>
      </c>
      <c r="S56">
        <v>780.33581700000002</v>
      </c>
      <c r="T56">
        <v>4.18863412E-18</v>
      </c>
      <c r="U56">
        <v>19.146358620948572</v>
      </c>
      <c r="V56">
        <v>100.934</v>
      </c>
      <c r="W56">
        <v>-238.32874443341316</v>
      </c>
      <c r="X56">
        <v>62.865223899999997</v>
      </c>
      <c r="Y56">
        <v>92.281249299999999</v>
      </c>
      <c r="Z56">
        <v>180.98100000000002</v>
      </c>
      <c r="AA56">
        <v>231.83632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>
      <c r="A57">
        <v>910</v>
      </c>
      <c r="B57">
        <v>27</v>
      </c>
      <c r="C57">
        <v>15</v>
      </c>
      <c r="D57">
        <v>15</v>
      </c>
      <c r="E57">
        <v>29</v>
      </c>
      <c r="F57">
        <v>5</v>
      </c>
      <c r="G57">
        <v>1.2</v>
      </c>
      <c r="H57">
        <v>29</v>
      </c>
      <c r="I57">
        <v>11</v>
      </c>
      <c r="J57">
        <v>1.0937523896095205</v>
      </c>
      <c r="K57">
        <v>511063688.36327314</v>
      </c>
      <c r="L57">
        <v>54474100</v>
      </c>
      <c r="M57">
        <v>79674245.792146429</v>
      </c>
      <c r="N57">
        <v>155792000</v>
      </c>
      <c r="O57">
        <v>15896743.200000001</v>
      </c>
      <c r="P57">
        <v>94.368004999999997</v>
      </c>
      <c r="Q57">
        <v>-1.0630034670741872</v>
      </c>
      <c r="R57">
        <v>43.645765400000002</v>
      </c>
      <c r="S57">
        <v>780.43959200000006</v>
      </c>
      <c r="T57">
        <v>4.6634243400000001E-10</v>
      </c>
      <c r="U57">
        <v>19.309188605142602</v>
      </c>
      <c r="V57">
        <v>100.934</v>
      </c>
      <c r="W57">
        <v>-238.26410016311374</v>
      </c>
      <c r="X57">
        <v>62.864711999999997</v>
      </c>
      <c r="Y57">
        <v>92.430628400000003</v>
      </c>
      <c r="Z57">
        <v>203.285</v>
      </c>
      <c r="AA57">
        <v>230.908491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>
      <c r="A58">
        <v>927.21365495196051</v>
      </c>
      <c r="B58">
        <v>36</v>
      </c>
      <c r="C58">
        <v>18</v>
      </c>
      <c r="D58">
        <v>1</v>
      </c>
      <c r="E58">
        <v>26</v>
      </c>
      <c r="F58">
        <v>12</v>
      </c>
      <c r="G58">
        <v>0.69489698906298081</v>
      </c>
      <c r="H58">
        <v>25</v>
      </c>
      <c r="I58">
        <v>14</v>
      </c>
      <c r="J58">
        <v>0.86418209063954832</v>
      </c>
      <c r="K58">
        <v>508523388.53908056</v>
      </c>
      <c r="L58">
        <v>54459000</v>
      </c>
      <c r="M58">
        <v>79691323.327132463</v>
      </c>
      <c r="N58">
        <v>154918000</v>
      </c>
      <c r="O58">
        <v>15882919.76</v>
      </c>
      <c r="P58">
        <v>96.393058300000007</v>
      </c>
      <c r="Q58">
        <v>-1.0192283203312051</v>
      </c>
      <c r="R58">
        <v>43.604734399999998</v>
      </c>
      <c r="S58">
        <v>780.65090999999995</v>
      </c>
      <c r="T58">
        <v>3.35670869E-14</v>
      </c>
      <c r="U58">
        <v>19.464537408761707</v>
      </c>
      <c r="V58">
        <v>80.72</v>
      </c>
      <c r="W58">
        <v>-149.17270497444605</v>
      </c>
      <c r="X58">
        <v>63.087864199999999</v>
      </c>
      <c r="Y58">
        <v>94.852038100000001</v>
      </c>
      <c r="Z58">
        <v>180.98100000000002</v>
      </c>
      <c r="AA58">
        <v>231.22041400000001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>
      <c r="A59">
        <v>910.99015853392712</v>
      </c>
      <c r="B59">
        <v>33</v>
      </c>
      <c r="C59">
        <v>19</v>
      </c>
      <c r="D59">
        <v>1</v>
      </c>
      <c r="E59">
        <v>17</v>
      </c>
      <c r="F59">
        <v>8</v>
      </c>
      <c r="G59">
        <v>0.9216657184192989</v>
      </c>
      <c r="H59">
        <v>16</v>
      </c>
      <c r="I59">
        <v>14</v>
      </c>
      <c r="J59">
        <v>1.3988512621938063</v>
      </c>
      <c r="K59">
        <v>508210832.30952168</v>
      </c>
      <c r="L59">
        <v>54406000</v>
      </c>
      <c r="M59">
        <v>79675344.290575445</v>
      </c>
      <c r="N59">
        <v>154031000</v>
      </c>
      <c r="O59">
        <v>15888649.76</v>
      </c>
      <c r="P59">
        <v>96.441754399999994</v>
      </c>
      <c r="Q59">
        <v>-0.98273984983896179</v>
      </c>
      <c r="R59">
        <v>43.616341400000003</v>
      </c>
      <c r="S59">
        <v>780.32970299999999</v>
      </c>
      <c r="T59">
        <v>3.6516164000000001E-12</v>
      </c>
      <c r="U59">
        <v>19.530036616608566</v>
      </c>
      <c r="V59">
        <v>80.72</v>
      </c>
      <c r="W59">
        <v>-154.74557433118628</v>
      </c>
      <c r="X59">
        <v>63.129259500000003</v>
      </c>
      <c r="Y59">
        <v>94.927199400000006</v>
      </c>
      <c r="Z59">
        <v>177.97</v>
      </c>
      <c r="AA59">
        <v>232.599074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>
      <c r="A60">
        <v>917.79655485127137</v>
      </c>
      <c r="B60">
        <v>29</v>
      </c>
      <c r="C60">
        <v>12</v>
      </c>
      <c r="D60">
        <v>1</v>
      </c>
      <c r="E60">
        <v>23</v>
      </c>
      <c r="F60">
        <v>5</v>
      </c>
      <c r="G60">
        <v>0.96879424780748147</v>
      </c>
      <c r="H60">
        <v>29</v>
      </c>
      <c r="I60">
        <v>14</v>
      </c>
      <c r="J60">
        <v>1.4</v>
      </c>
      <c r="K60">
        <v>508607995.41714191</v>
      </c>
      <c r="L60">
        <v>54432100</v>
      </c>
      <c r="M60">
        <v>79683433.740750134</v>
      </c>
      <c r="N60">
        <v>154441000</v>
      </c>
      <c r="O60">
        <v>15891304.4</v>
      </c>
      <c r="P60">
        <v>96.422225900000001</v>
      </c>
      <c r="Q60">
        <v>-0.99771814523540037</v>
      </c>
      <c r="R60">
        <v>43.623401100000002</v>
      </c>
      <c r="S60">
        <v>780.514636</v>
      </c>
      <c r="T60">
        <v>5.2588761400000001E-10</v>
      </c>
      <c r="U60">
        <v>19.51222436040139</v>
      </c>
      <c r="V60">
        <v>80.72</v>
      </c>
      <c r="W60">
        <v>-148.80286055590921</v>
      </c>
      <c r="X60">
        <v>63.094620900000002</v>
      </c>
      <c r="Y60">
        <v>94.893768199999997</v>
      </c>
      <c r="Z60">
        <v>203.285</v>
      </c>
      <c r="AA60">
        <v>230.30290099999999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>
      <c r="A61">
        <v>910</v>
      </c>
      <c r="B61">
        <v>36</v>
      </c>
      <c r="C61">
        <v>13</v>
      </c>
      <c r="D61">
        <v>9.8685598809682151</v>
      </c>
      <c r="E61">
        <v>29</v>
      </c>
      <c r="F61">
        <v>12</v>
      </c>
      <c r="G61">
        <v>0.50260899944199877</v>
      </c>
      <c r="H61">
        <v>28</v>
      </c>
      <c r="I61">
        <v>7</v>
      </c>
      <c r="J61">
        <v>1.4</v>
      </c>
      <c r="K61">
        <v>510443444.82625127</v>
      </c>
      <c r="L61">
        <v>54477300</v>
      </c>
      <c r="M61">
        <v>79674345.824606165</v>
      </c>
      <c r="N61">
        <v>155962000</v>
      </c>
      <c r="O61">
        <v>15894094.32</v>
      </c>
      <c r="P61">
        <v>94.371245099999996</v>
      </c>
      <c r="Q61">
        <v>-1.075230955191858</v>
      </c>
      <c r="R61">
        <v>43.638234199999999</v>
      </c>
      <c r="S61">
        <v>779.57301300000006</v>
      </c>
      <c r="T61">
        <v>1.12710379E-15</v>
      </c>
      <c r="U61">
        <v>19.254383070910038</v>
      </c>
      <c r="V61">
        <v>100.934</v>
      </c>
      <c r="W61">
        <v>-237.36379028154116</v>
      </c>
      <c r="X61">
        <v>62.864395299999998</v>
      </c>
      <c r="Y61">
        <v>92.246152300000006</v>
      </c>
      <c r="Z61">
        <v>180.98100000000002</v>
      </c>
      <c r="AA61">
        <v>231.22452699999999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>
      <c r="A62">
        <v>931.49359443910612</v>
      </c>
      <c r="B62">
        <v>27</v>
      </c>
      <c r="C62">
        <v>15</v>
      </c>
      <c r="D62">
        <v>6.8709253786128466</v>
      </c>
      <c r="E62">
        <v>23</v>
      </c>
      <c r="F62">
        <v>8</v>
      </c>
      <c r="G62">
        <v>0.3</v>
      </c>
      <c r="H62">
        <v>11</v>
      </c>
      <c r="I62">
        <v>9</v>
      </c>
      <c r="J62">
        <v>0.3</v>
      </c>
      <c r="K62">
        <v>508975449.17182922</v>
      </c>
      <c r="L62">
        <v>54469900</v>
      </c>
      <c r="M62">
        <v>79720842.703746289</v>
      </c>
      <c r="N62">
        <v>156129000</v>
      </c>
      <c r="O62">
        <v>15894932.880000001</v>
      </c>
      <c r="P62">
        <v>96.815445699999998</v>
      </c>
      <c r="Q62">
        <v>-1.0663309003822286</v>
      </c>
      <c r="R62">
        <v>43.646121000000001</v>
      </c>
      <c r="S62">
        <v>780.30888200000004</v>
      </c>
      <c r="T62">
        <v>1.9690210900000001E-11</v>
      </c>
      <c r="U62">
        <v>19.767252903703302</v>
      </c>
      <c r="V62">
        <v>100.934</v>
      </c>
      <c r="W62">
        <v>-236.76471612529281</v>
      </c>
      <c r="X62">
        <v>62.739607700000001</v>
      </c>
      <c r="Y62">
        <v>92.491957999999997</v>
      </c>
      <c r="Z62">
        <v>177.97</v>
      </c>
      <c r="AA62">
        <v>241.31008299999999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>
      <c r="A63">
        <v>916.41114177800398</v>
      </c>
      <c r="B63">
        <v>31</v>
      </c>
      <c r="C63">
        <v>19</v>
      </c>
      <c r="D63">
        <v>1</v>
      </c>
      <c r="E63">
        <v>24</v>
      </c>
      <c r="F63">
        <v>14</v>
      </c>
      <c r="G63">
        <v>0.3</v>
      </c>
      <c r="H63">
        <v>15</v>
      </c>
      <c r="I63">
        <v>7</v>
      </c>
      <c r="J63">
        <v>1.4</v>
      </c>
      <c r="K63">
        <v>508307683.84336817</v>
      </c>
      <c r="L63">
        <v>54413400</v>
      </c>
      <c r="M63">
        <v>79681635.845907867</v>
      </c>
      <c r="N63">
        <v>154052000</v>
      </c>
      <c r="O63">
        <v>15890929.92</v>
      </c>
      <c r="P63">
        <v>96.053334500000005</v>
      </c>
      <c r="Q63">
        <v>-0.98665436866732448</v>
      </c>
      <c r="R63">
        <v>43.589725299999998</v>
      </c>
      <c r="S63">
        <v>779.98440999999991</v>
      </c>
      <c r="T63">
        <v>2.6712872100000001E-11</v>
      </c>
      <c r="U63">
        <v>19.808601928055005</v>
      </c>
      <c r="V63">
        <v>80.72</v>
      </c>
      <c r="W63">
        <v>-160.23100489349864</v>
      </c>
      <c r="X63">
        <v>63.093672699999999</v>
      </c>
      <c r="Y63">
        <v>94.947464199999999</v>
      </c>
      <c r="Z63">
        <v>165.7</v>
      </c>
      <c r="AA63">
        <v>230.77511100000001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>
      <c r="A64">
        <v>929.38922759316472</v>
      </c>
      <c r="B64">
        <v>39</v>
      </c>
      <c r="C64">
        <v>13</v>
      </c>
      <c r="D64">
        <v>7.0015884606954035</v>
      </c>
      <c r="E64">
        <v>29</v>
      </c>
      <c r="F64">
        <v>5</v>
      </c>
      <c r="G64">
        <v>1.2</v>
      </c>
      <c r="H64">
        <v>17</v>
      </c>
      <c r="I64">
        <v>14</v>
      </c>
      <c r="J64">
        <v>1.4</v>
      </c>
      <c r="K64">
        <v>510027392.6869185</v>
      </c>
      <c r="L64">
        <v>54493800</v>
      </c>
      <c r="M64">
        <v>79694119.857844025</v>
      </c>
      <c r="N64">
        <v>156770000</v>
      </c>
      <c r="O64">
        <v>15887033.359999999</v>
      </c>
      <c r="P64">
        <v>95.047961900000004</v>
      </c>
      <c r="Q64">
        <v>-1.1073070018729747</v>
      </c>
      <c r="R64">
        <v>43.646174600000002</v>
      </c>
      <c r="S64">
        <v>780.44401500000004</v>
      </c>
      <c r="T64">
        <v>4.6409891099999998E-10</v>
      </c>
      <c r="U64">
        <v>19.305096780061483</v>
      </c>
      <c r="V64">
        <v>100.934</v>
      </c>
      <c r="W64">
        <v>-238.16250047597788</v>
      </c>
      <c r="X64">
        <v>62.849460200000003</v>
      </c>
      <c r="Y64">
        <v>92.270565500000004</v>
      </c>
      <c r="Z64">
        <v>203.285</v>
      </c>
      <c r="AA64">
        <v>232.386706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>
      <c r="A65">
        <v>917.64075798001602</v>
      </c>
      <c r="B65">
        <v>27</v>
      </c>
      <c r="C65">
        <v>19</v>
      </c>
      <c r="D65">
        <v>14.143971328927563</v>
      </c>
      <c r="E65">
        <v>25</v>
      </c>
      <c r="F65">
        <v>5</v>
      </c>
      <c r="G65">
        <v>1.2</v>
      </c>
      <c r="H65">
        <v>16</v>
      </c>
      <c r="I65">
        <v>14</v>
      </c>
      <c r="J65">
        <v>1.4</v>
      </c>
      <c r="K65">
        <v>510626275.29864681</v>
      </c>
      <c r="L65">
        <v>54448500</v>
      </c>
      <c r="M65">
        <v>79683234.028368056</v>
      </c>
      <c r="N65">
        <v>156359000</v>
      </c>
      <c r="O65">
        <v>15898374.959999999</v>
      </c>
      <c r="P65">
        <v>94.8587591</v>
      </c>
      <c r="Q65">
        <v>-1.0882115243434023</v>
      </c>
      <c r="R65">
        <v>43.647067200000002</v>
      </c>
      <c r="S65">
        <v>780.27198199999998</v>
      </c>
      <c r="T65">
        <v>4.8165801500000002E-10</v>
      </c>
      <c r="U65">
        <v>19.299249533271226</v>
      </c>
      <c r="V65">
        <v>91.850000000000009</v>
      </c>
      <c r="W65">
        <v>-239.1480272732569</v>
      </c>
      <c r="X65">
        <v>62.874870000000001</v>
      </c>
      <c r="Y65">
        <v>92.468538800000005</v>
      </c>
      <c r="Z65">
        <v>203.285</v>
      </c>
      <c r="AA65">
        <v>233.31428299999999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>
      <c r="A66">
        <v>931.0501223468915</v>
      </c>
      <c r="B66">
        <v>27</v>
      </c>
      <c r="C66">
        <v>19</v>
      </c>
      <c r="D66">
        <v>1</v>
      </c>
      <c r="E66">
        <v>19</v>
      </c>
      <c r="F66">
        <v>11</v>
      </c>
      <c r="G66">
        <v>1.2</v>
      </c>
      <c r="H66">
        <v>29</v>
      </c>
      <c r="I66">
        <v>14</v>
      </c>
      <c r="J66">
        <v>1.4</v>
      </c>
      <c r="K66">
        <v>508447608.62660396</v>
      </c>
      <c r="L66">
        <v>54445700</v>
      </c>
      <c r="M66">
        <v>79695917.078016818</v>
      </c>
      <c r="N66">
        <v>153548000</v>
      </c>
      <c r="O66">
        <v>15884419.680000002</v>
      </c>
      <c r="P66">
        <v>98.548088399999997</v>
      </c>
      <c r="Q66">
        <v>-0.93669034160419284</v>
      </c>
      <c r="R66">
        <v>43.669066299999997</v>
      </c>
      <c r="S66">
        <v>780.29616999999996</v>
      </c>
      <c r="T66">
        <v>2.24461906E-9</v>
      </c>
      <c r="U66">
        <v>19.675831212034836</v>
      </c>
      <c r="V66">
        <v>68.709999999999994</v>
      </c>
      <c r="W66">
        <v>-168.53405561912501</v>
      </c>
      <c r="X66">
        <v>63.088743200000003</v>
      </c>
      <c r="Y66">
        <v>95.087875499999996</v>
      </c>
      <c r="Z66">
        <v>177.97</v>
      </c>
      <c r="AA66">
        <v>229.78063700000001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>
      <c r="A67">
        <v>924.59082189929188</v>
      </c>
      <c r="B67">
        <v>27</v>
      </c>
      <c r="C67">
        <v>19</v>
      </c>
      <c r="D67">
        <v>11.488413828437336</v>
      </c>
      <c r="E67">
        <v>28</v>
      </c>
      <c r="F67">
        <v>5</v>
      </c>
      <c r="G67">
        <v>0.83253739807641625</v>
      </c>
      <c r="H67">
        <v>28</v>
      </c>
      <c r="I67">
        <v>14</v>
      </c>
      <c r="J67">
        <v>0.92353680790407211</v>
      </c>
      <c r="K67">
        <v>508263755.46004921</v>
      </c>
      <c r="L67">
        <v>54445700</v>
      </c>
      <c r="M67">
        <v>79695925.396543398</v>
      </c>
      <c r="N67">
        <v>153548000</v>
      </c>
      <c r="O67">
        <v>15889345.040000001</v>
      </c>
      <c r="P67">
        <v>94.996210300000001</v>
      </c>
      <c r="Q67">
        <v>-0.97302673401427175</v>
      </c>
      <c r="R67">
        <v>43.6485518</v>
      </c>
      <c r="S67">
        <v>780.15043200000002</v>
      </c>
      <c r="T67">
        <v>7.7801289700000005E-10</v>
      </c>
      <c r="U67">
        <v>19.393641231727756</v>
      </c>
      <c r="V67">
        <v>91.850000000000009</v>
      </c>
      <c r="W67">
        <v>-238.69176245088011</v>
      </c>
      <c r="X67">
        <v>62.843191699999998</v>
      </c>
      <c r="Y67">
        <v>92.483751900000001</v>
      </c>
      <c r="Z67">
        <v>203.285</v>
      </c>
      <c r="AA67">
        <v>231.28165000000001</v>
      </c>
      <c r="AB67">
        <v>100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>
      <c r="A68">
        <v>923.57922007748687</v>
      </c>
      <c r="B68">
        <v>30</v>
      </c>
      <c r="C68">
        <v>19</v>
      </c>
      <c r="D68">
        <v>1</v>
      </c>
      <c r="E68">
        <v>20</v>
      </c>
      <c r="F68">
        <v>14</v>
      </c>
      <c r="G68">
        <v>0.3</v>
      </c>
      <c r="H68">
        <v>24</v>
      </c>
      <c r="I68">
        <v>9</v>
      </c>
      <c r="J68">
        <v>0.3</v>
      </c>
      <c r="K68">
        <v>508057498.96277648</v>
      </c>
      <c r="L68">
        <v>54427800</v>
      </c>
      <c r="M68">
        <v>79694629.435726196</v>
      </c>
      <c r="N68">
        <v>154300000</v>
      </c>
      <c r="O68">
        <v>15894108.32</v>
      </c>
      <c r="P68">
        <v>94.906893800000006</v>
      </c>
      <c r="Q68">
        <v>-1.0112276097112507</v>
      </c>
      <c r="R68">
        <v>43.519236100000001</v>
      </c>
      <c r="S68">
        <v>780.14431200000001</v>
      </c>
      <c r="T68">
        <v>8.1525691199999996E-11</v>
      </c>
      <c r="U68">
        <v>19.686773830039002</v>
      </c>
      <c r="V68">
        <v>80.72</v>
      </c>
      <c r="W68">
        <v>-164.4478310121369</v>
      </c>
      <c r="X68">
        <v>63.044338699999997</v>
      </c>
      <c r="Y68">
        <v>94.945145499999995</v>
      </c>
      <c r="Z68">
        <v>144.29</v>
      </c>
      <c r="AA68">
        <v>232.379704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>
      <c r="A69">
        <v>929.76195384422181</v>
      </c>
      <c r="B69">
        <v>30</v>
      </c>
      <c r="C69">
        <v>10</v>
      </c>
      <c r="D69">
        <v>1</v>
      </c>
      <c r="E69">
        <v>21</v>
      </c>
      <c r="F69">
        <v>8</v>
      </c>
      <c r="G69">
        <v>1.2</v>
      </c>
      <c r="H69">
        <v>20</v>
      </c>
      <c r="I69">
        <v>14</v>
      </c>
      <c r="J69">
        <v>0.3</v>
      </c>
      <c r="K69">
        <v>508224766.03987837</v>
      </c>
      <c r="L69">
        <v>54434800</v>
      </c>
      <c r="M69">
        <v>79702027.413155898</v>
      </c>
      <c r="N69">
        <v>154761000</v>
      </c>
      <c r="O69">
        <v>15886031.279999999</v>
      </c>
      <c r="P69">
        <v>97.227802499999996</v>
      </c>
      <c r="Q69">
        <v>-1.0065334129521575</v>
      </c>
      <c r="R69">
        <v>43.611224399999998</v>
      </c>
      <c r="S69">
        <v>781.02482799999996</v>
      </c>
      <c r="T69">
        <v>4.8163819799999999E-13</v>
      </c>
      <c r="U69">
        <v>19.288186126415589</v>
      </c>
      <c r="V69">
        <v>80.72</v>
      </c>
      <c r="W69">
        <v>-144.73860906409328</v>
      </c>
      <c r="X69">
        <v>63.037457199999999</v>
      </c>
      <c r="Y69">
        <v>94.873704700000005</v>
      </c>
      <c r="Z69">
        <v>180.98100000000002</v>
      </c>
      <c r="AA69">
        <v>235.73461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>
      <c r="A70">
        <v>910</v>
      </c>
      <c r="B70">
        <v>27</v>
      </c>
      <c r="C70">
        <v>17</v>
      </c>
      <c r="D70">
        <v>5.9470156399640191</v>
      </c>
      <c r="E70">
        <v>26</v>
      </c>
      <c r="F70">
        <v>14</v>
      </c>
      <c r="G70">
        <v>0.83282416151057936</v>
      </c>
      <c r="H70">
        <v>25</v>
      </c>
      <c r="I70">
        <v>7</v>
      </c>
      <c r="J70">
        <v>0.55975106863609814</v>
      </c>
      <c r="K70">
        <v>509274340.07930875</v>
      </c>
      <c r="L70">
        <v>54437800</v>
      </c>
      <c r="M70">
        <v>79674546.037237987</v>
      </c>
      <c r="N70">
        <v>155811000</v>
      </c>
      <c r="O70">
        <v>15892111.039999999</v>
      </c>
      <c r="P70">
        <v>94.449127399999995</v>
      </c>
      <c r="Q70">
        <v>-1.0775360300652095</v>
      </c>
      <c r="R70">
        <v>43.634963499999998</v>
      </c>
      <c r="S70">
        <v>780.220417</v>
      </c>
      <c r="T70">
        <v>4.1373239799999998E-13</v>
      </c>
      <c r="U70">
        <v>19.154119993196943</v>
      </c>
      <c r="V70">
        <v>91.850000000000009</v>
      </c>
      <c r="W70">
        <v>-239.20989697662156</v>
      </c>
      <c r="X70">
        <v>62.862949200000003</v>
      </c>
      <c r="Y70">
        <v>92.607431800000001</v>
      </c>
      <c r="Z70">
        <v>180.98100000000002</v>
      </c>
      <c r="AA70">
        <v>232.38903300000001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>
      <c r="A71">
        <v>916.96289842953024</v>
      </c>
      <c r="B71">
        <v>37</v>
      </c>
      <c r="C71">
        <v>17</v>
      </c>
      <c r="D71">
        <v>3.4351886314162305</v>
      </c>
      <c r="E71">
        <v>29</v>
      </c>
      <c r="F71">
        <v>14</v>
      </c>
      <c r="G71">
        <v>0.96067644803715846</v>
      </c>
      <c r="H71">
        <v>24</v>
      </c>
      <c r="I71">
        <v>7</v>
      </c>
      <c r="J71">
        <v>0.96649427117875142</v>
      </c>
      <c r="K71">
        <v>509417974.36289954</v>
      </c>
      <c r="L71">
        <v>54447300</v>
      </c>
      <c r="M71">
        <v>79682435.067285076</v>
      </c>
      <c r="N71">
        <v>156143000</v>
      </c>
      <c r="O71">
        <v>15892370.24</v>
      </c>
      <c r="P71">
        <v>94.497584900000007</v>
      </c>
      <c r="Q71">
        <v>-1.0910168325052532</v>
      </c>
      <c r="R71">
        <v>43.6376943</v>
      </c>
      <c r="S71">
        <v>780.71488799999997</v>
      </c>
      <c r="T71">
        <v>2.6529584999999999E-18</v>
      </c>
      <c r="U71">
        <v>19.146237966643643</v>
      </c>
      <c r="V71">
        <v>100.934</v>
      </c>
      <c r="W71">
        <v>-238.55706256757196</v>
      </c>
      <c r="X71">
        <v>62.854830900000003</v>
      </c>
      <c r="Y71">
        <v>92.604393299999998</v>
      </c>
      <c r="Z71">
        <v>180.98100000000002</v>
      </c>
      <c r="AA71">
        <v>231.43831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>
      <c r="A72">
        <v>914.61998008712681</v>
      </c>
      <c r="B72">
        <v>39</v>
      </c>
      <c r="C72">
        <v>11</v>
      </c>
      <c r="D72">
        <v>1.5987762627095197</v>
      </c>
      <c r="E72">
        <v>23</v>
      </c>
      <c r="F72">
        <v>5</v>
      </c>
      <c r="G72">
        <v>0.78944684009217647</v>
      </c>
      <c r="H72">
        <v>15</v>
      </c>
      <c r="I72">
        <v>13</v>
      </c>
      <c r="J72">
        <v>1.3578781122184262</v>
      </c>
      <c r="K72">
        <v>508780221.47620094</v>
      </c>
      <c r="L72">
        <v>54427600</v>
      </c>
      <c r="M72">
        <v>79679738.757833868</v>
      </c>
      <c r="N72">
        <v>156090000</v>
      </c>
      <c r="O72">
        <v>15891029.200000001</v>
      </c>
      <c r="P72">
        <v>94.851600700000006</v>
      </c>
      <c r="Q72">
        <v>-1.0899594658039859</v>
      </c>
      <c r="R72">
        <v>43.624466300000002</v>
      </c>
      <c r="S72">
        <v>780.28265799999997</v>
      </c>
      <c r="T72">
        <v>8.5449763599999995E-10</v>
      </c>
      <c r="U72">
        <v>19.414914685759086</v>
      </c>
      <c r="V72">
        <v>100.934</v>
      </c>
      <c r="W72">
        <v>-209.96484523948456</v>
      </c>
      <c r="X72">
        <v>62.944184399999997</v>
      </c>
      <c r="Y72">
        <v>93.463706200000004</v>
      </c>
      <c r="Z72">
        <v>180.98100000000002</v>
      </c>
      <c r="AA72">
        <v>233.59683200000001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>
      <c r="A73">
        <v>921.02310471619148</v>
      </c>
      <c r="B73">
        <v>35</v>
      </c>
      <c r="C73">
        <v>17</v>
      </c>
      <c r="D73">
        <v>9.5172175952677982</v>
      </c>
      <c r="E73">
        <v>27</v>
      </c>
      <c r="F73">
        <v>10</v>
      </c>
      <c r="G73">
        <v>1.0168975120952117</v>
      </c>
      <c r="H73">
        <v>10</v>
      </c>
      <c r="I73">
        <v>8</v>
      </c>
      <c r="J73">
        <v>1.3870286606908175</v>
      </c>
      <c r="K73">
        <v>510282209.86598599</v>
      </c>
      <c r="L73">
        <v>54466700</v>
      </c>
      <c r="M73">
        <v>79687328.718530372</v>
      </c>
      <c r="N73">
        <v>156560000</v>
      </c>
      <c r="O73">
        <v>15896988.799999999</v>
      </c>
      <c r="P73">
        <v>94.868364700000001</v>
      </c>
      <c r="Q73">
        <v>-1.0990692968238971</v>
      </c>
      <c r="R73">
        <v>43.641566400000002</v>
      </c>
      <c r="S73">
        <v>780.565786</v>
      </c>
      <c r="T73">
        <v>9.8493172600000002E-15</v>
      </c>
      <c r="U73">
        <v>19.151786872083974</v>
      </c>
      <c r="V73">
        <v>100.934</v>
      </c>
      <c r="W73">
        <v>-238.98898006531721</v>
      </c>
      <c r="X73">
        <v>62.8719392</v>
      </c>
      <c r="Y73">
        <v>92.287946399999996</v>
      </c>
      <c r="Z73">
        <v>203.285</v>
      </c>
      <c r="AA73">
        <v>233.728261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A74">
        <v>927.39245166817966</v>
      </c>
      <c r="B74">
        <v>37</v>
      </c>
      <c r="C74">
        <v>19</v>
      </c>
      <c r="D74">
        <v>1.2667837967641074</v>
      </c>
      <c r="E74">
        <v>21</v>
      </c>
      <c r="F74">
        <v>7</v>
      </c>
      <c r="G74">
        <v>0.31777040708526694</v>
      </c>
      <c r="H74">
        <v>13</v>
      </c>
      <c r="I74">
        <v>11</v>
      </c>
      <c r="J74">
        <v>0.35422031224433936</v>
      </c>
      <c r="K74">
        <v>508180518.60498911</v>
      </c>
      <c r="L74">
        <v>54441300</v>
      </c>
      <c r="M74">
        <v>79707239.986578703</v>
      </c>
      <c r="N74">
        <v>155803000</v>
      </c>
      <c r="O74">
        <v>15888002.800000001</v>
      </c>
      <c r="P74">
        <v>96.8446876</v>
      </c>
      <c r="Q74">
        <v>-1.0580251918425809</v>
      </c>
      <c r="R74">
        <v>43.6104737</v>
      </c>
      <c r="S74">
        <v>780.42823400000009</v>
      </c>
      <c r="T74">
        <v>9.4236184499999994E-11</v>
      </c>
      <c r="U74">
        <v>19.788176528514331</v>
      </c>
      <c r="V74">
        <v>80.72</v>
      </c>
      <c r="W74">
        <v>-186.46151095094717</v>
      </c>
      <c r="X74">
        <v>62.922210300000003</v>
      </c>
      <c r="Y74">
        <v>93.798955300000003</v>
      </c>
      <c r="Z74">
        <v>177.97</v>
      </c>
      <c r="AA74">
        <v>239.61846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>
      <c r="A75">
        <v>914.01478048982244</v>
      </c>
      <c r="B75">
        <v>28</v>
      </c>
      <c r="C75">
        <v>17</v>
      </c>
      <c r="D75">
        <v>6.2203181556061899</v>
      </c>
      <c r="E75">
        <v>19</v>
      </c>
      <c r="F75">
        <v>5</v>
      </c>
      <c r="G75">
        <v>1.0510040519052397</v>
      </c>
      <c r="H75">
        <v>11</v>
      </c>
      <c r="I75">
        <v>9</v>
      </c>
      <c r="J75">
        <v>0.73173833100369323</v>
      </c>
      <c r="K75">
        <v>508943501.40403003</v>
      </c>
      <c r="L75">
        <v>54407700</v>
      </c>
      <c r="M75">
        <v>79679340.035473749</v>
      </c>
      <c r="N75">
        <v>156353000</v>
      </c>
      <c r="O75">
        <v>15893589.439999999</v>
      </c>
      <c r="P75">
        <v>95.160671899999997</v>
      </c>
      <c r="Q75">
        <v>-1.0983778433236919</v>
      </c>
      <c r="R75">
        <v>43.645653000000003</v>
      </c>
      <c r="S75">
        <v>779.937637</v>
      </c>
      <c r="T75">
        <v>6.1283753199999997E-10</v>
      </c>
      <c r="U75">
        <v>19.316029956275344</v>
      </c>
      <c r="V75">
        <v>91.850000000000009</v>
      </c>
      <c r="W75">
        <v>-239.15295596613734</v>
      </c>
      <c r="X75">
        <v>62.899132100000003</v>
      </c>
      <c r="Y75">
        <v>92.586713900000007</v>
      </c>
      <c r="Z75">
        <v>180.98100000000002</v>
      </c>
      <c r="AA75">
        <v>236.11119199999999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>
        <v>916.09104054618194</v>
      </c>
      <c r="B76">
        <v>33</v>
      </c>
      <c r="C76">
        <v>10</v>
      </c>
      <c r="D76">
        <v>1</v>
      </c>
      <c r="E76">
        <v>24</v>
      </c>
      <c r="F76">
        <v>14</v>
      </c>
      <c r="G76">
        <v>1.2</v>
      </c>
      <c r="H76">
        <v>24</v>
      </c>
      <c r="I76">
        <v>14</v>
      </c>
      <c r="J76">
        <v>1.4</v>
      </c>
      <c r="K76">
        <v>508854732.99378794</v>
      </c>
      <c r="L76">
        <v>54429900</v>
      </c>
      <c r="M76">
        <v>79681336.36875616</v>
      </c>
      <c r="N76">
        <v>154581000</v>
      </c>
      <c r="O76">
        <v>15890844.800000001</v>
      </c>
      <c r="P76">
        <v>95.6241828</v>
      </c>
      <c r="Q76">
        <v>-1.0108575228539125</v>
      </c>
      <c r="R76">
        <v>43.6045205</v>
      </c>
      <c r="S76">
        <v>781.48406799999998</v>
      </c>
      <c r="T76">
        <v>1.3103994100000001E-18</v>
      </c>
      <c r="U76">
        <v>19.175761464056773</v>
      </c>
      <c r="V76">
        <v>80.72</v>
      </c>
      <c r="W76">
        <v>-143.13487460481574</v>
      </c>
      <c r="X76">
        <v>63.102991099999997</v>
      </c>
      <c r="Y76">
        <v>94.891445300000001</v>
      </c>
      <c r="Z76">
        <v>180.98100000000002</v>
      </c>
      <c r="AA76">
        <v>230.55901399999999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>
      <c r="A77">
        <v>938.45423100612072</v>
      </c>
      <c r="B77">
        <v>27</v>
      </c>
      <c r="C77">
        <v>10</v>
      </c>
      <c r="D77">
        <v>1</v>
      </c>
      <c r="E77">
        <v>25</v>
      </c>
      <c r="F77">
        <v>5</v>
      </c>
      <c r="G77">
        <v>1.2</v>
      </c>
      <c r="H77">
        <v>24</v>
      </c>
      <c r="I77">
        <v>14</v>
      </c>
      <c r="J77">
        <v>0.3</v>
      </c>
      <c r="K77">
        <v>508364540.60613835</v>
      </c>
      <c r="L77">
        <v>54457100</v>
      </c>
      <c r="M77">
        <v>79712212.295547143</v>
      </c>
      <c r="N77">
        <v>155012000</v>
      </c>
      <c r="O77">
        <v>15889025.76</v>
      </c>
      <c r="P77">
        <v>97.951175300000003</v>
      </c>
      <c r="Q77">
        <v>-1.0084381795030859</v>
      </c>
      <c r="R77">
        <v>43.625714000000002</v>
      </c>
      <c r="S77">
        <v>780.75060399999995</v>
      </c>
      <c r="T77">
        <v>3.8680754099999998E-10</v>
      </c>
      <c r="U77">
        <v>19.425673465420807</v>
      </c>
      <c r="V77">
        <v>80.72</v>
      </c>
      <c r="W77">
        <v>-147.40462938318873</v>
      </c>
      <c r="X77">
        <v>63.014043999999998</v>
      </c>
      <c r="Y77">
        <v>94.889127000000002</v>
      </c>
      <c r="Z77">
        <v>203.285</v>
      </c>
      <c r="AA77">
        <v>235.08475300000001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A78">
        <v>932.63694060371984</v>
      </c>
      <c r="B78">
        <v>39</v>
      </c>
      <c r="C78">
        <v>19</v>
      </c>
      <c r="D78">
        <v>13.904621719951606</v>
      </c>
      <c r="E78">
        <v>29</v>
      </c>
      <c r="F78">
        <v>14</v>
      </c>
      <c r="G78">
        <v>0.31126217239129378</v>
      </c>
      <c r="H78">
        <v>11</v>
      </c>
      <c r="I78">
        <v>9</v>
      </c>
      <c r="J78">
        <v>1.0873554095356528</v>
      </c>
      <c r="K78">
        <v>510710298.47173965</v>
      </c>
      <c r="L78">
        <v>54501200</v>
      </c>
      <c r="M78">
        <v>79698314.699622065</v>
      </c>
      <c r="N78">
        <v>157202000</v>
      </c>
      <c r="O78">
        <v>15892229.84</v>
      </c>
      <c r="P78">
        <v>95.683904799999993</v>
      </c>
      <c r="Q78">
        <v>-1.1146912208258057</v>
      </c>
      <c r="R78">
        <v>43.649457699999999</v>
      </c>
      <c r="S78">
        <v>779.66741399999989</v>
      </c>
      <c r="T78">
        <v>2.4633889999999998E-16</v>
      </c>
      <c r="U78">
        <v>19.534844877871006</v>
      </c>
      <c r="V78">
        <v>100.934</v>
      </c>
      <c r="W78">
        <v>-238.4840453975481</v>
      </c>
      <c r="X78">
        <v>62.861211500000003</v>
      </c>
      <c r="Y78">
        <v>92.1056344</v>
      </c>
      <c r="Z78">
        <v>177.97</v>
      </c>
      <c r="AA78">
        <v>234.78823800000001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>
      <c r="A79">
        <v>940.15651608694282</v>
      </c>
      <c r="B79">
        <v>31</v>
      </c>
      <c r="C79">
        <v>10</v>
      </c>
      <c r="D79">
        <v>9.9556963663986533</v>
      </c>
      <c r="E79">
        <v>29</v>
      </c>
      <c r="F79">
        <v>14</v>
      </c>
      <c r="G79">
        <v>0.3</v>
      </c>
      <c r="H79">
        <v>14</v>
      </c>
      <c r="I79">
        <v>7</v>
      </c>
      <c r="J79">
        <v>0.3</v>
      </c>
      <c r="K79">
        <v>509872613.67199028</v>
      </c>
      <c r="L79">
        <v>54511100</v>
      </c>
      <c r="M79">
        <v>79717312.55440326</v>
      </c>
      <c r="N79">
        <v>156917000</v>
      </c>
      <c r="O79">
        <v>15896098.08</v>
      </c>
      <c r="P79">
        <v>96.482065300000002</v>
      </c>
      <c r="Q79">
        <v>-1.0978712561743231</v>
      </c>
      <c r="R79">
        <v>43.644079699999999</v>
      </c>
      <c r="S79">
        <v>780.05435799999998</v>
      </c>
      <c r="T79">
        <v>3.2194611600000001E-16</v>
      </c>
      <c r="U79">
        <v>19.664350724104004</v>
      </c>
      <c r="V79">
        <v>100.934</v>
      </c>
      <c r="W79">
        <v>-236.45667174703576</v>
      </c>
      <c r="X79">
        <v>62.758578300000003</v>
      </c>
      <c r="Y79">
        <v>92.325325599999999</v>
      </c>
      <c r="Z79">
        <v>177.97</v>
      </c>
      <c r="AA79">
        <v>236.36071799999999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>
        <v>925.00479958616017</v>
      </c>
      <c r="B80">
        <v>27</v>
      </c>
      <c r="C80">
        <v>19</v>
      </c>
      <c r="D80">
        <v>1.0269737206679888</v>
      </c>
      <c r="E80">
        <v>12</v>
      </c>
      <c r="F80">
        <v>5</v>
      </c>
      <c r="G80">
        <v>0.61250390507962249</v>
      </c>
      <c r="H80">
        <v>14</v>
      </c>
      <c r="I80">
        <v>12</v>
      </c>
      <c r="J80">
        <v>1.4</v>
      </c>
      <c r="K80">
        <v>507723161.80605161</v>
      </c>
      <c r="L80">
        <v>54403400</v>
      </c>
      <c r="M80">
        <v>79688526.787792355</v>
      </c>
      <c r="N80">
        <v>153902000</v>
      </c>
      <c r="O80">
        <v>15882406.32</v>
      </c>
      <c r="P80">
        <v>97.159682900000007</v>
      </c>
      <c r="Q80">
        <v>-0.97314274175028326</v>
      </c>
      <c r="R80">
        <v>43.622900000000001</v>
      </c>
      <c r="S80">
        <v>779.52114900000004</v>
      </c>
      <c r="T80">
        <v>3.0292557199999999E-9</v>
      </c>
      <c r="U80">
        <v>19.798723849475348</v>
      </c>
      <c r="V80">
        <v>68.709999999999994</v>
      </c>
      <c r="W80">
        <v>-172.80405957871071</v>
      </c>
      <c r="X80">
        <v>63.1136889</v>
      </c>
      <c r="Y80">
        <v>94.974791600000003</v>
      </c>
      <c r="Z80">
        <v>165.7</v>
      </c>
      <c r="AA80">
        <v>231.540302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>
      <c r="A81">
        <v>917.59498432243015</v>
      </c>
      <c r="B81">
        <v>27</v>
      </c>
      <c r="C81">
        <v>10</v>
      </c>
      <c r="D81">
        <v>1</v>
      </c>
      <c r="E81">
        <v>17</v>
      </c>
      <c r="F81">
        <v>5</v>
      </c>
      <c r="G81">
        <v>1.2</v>
      </c>
      <c r="H81">
        <v>18</v>
      </c>
      <c r="I81">
        <v>14</v>
      </c>
      <c r="J81">
        <v>1.4</v>
      </c>
      <c r="K81">
        <v>508201934.5300765</v>
      </c>
      <c r="L81">
        <v>54396500</v>
      </c>
      <c r="M81">
        <v>79683234.0678128</v>
      </c>
      <c r="N81">
        <v>154474000</v>
      </c>
      <c r="O81">
        <v>15891300.960000001</v>
      </c>
      <c r="P81">
        <v>96.456993600000004</v>
      </c>
      <c r="Q81">
        <v>-1.0033558070950679</v>
      </c>
      <c r="R81">
        <v>43.623392299999999</v>
      </c>
      <c r="S81">
        <v>780.31832799999995</v>
      </c>
      <c r="T81">
        <v>4.3718982999999998E-10</v>
      </c>
      <c r="U81">
        <v>19.381218020929715</v>
      </c>
      <c r="V81">
        <v>80.72</v>
      </c>
      <c r="W81">
        <v>-147.40344709493999</v>
      </c>
      <c r="X81">
        <v>63.099957000000003</v>
      </c>
      <c r="Y81">
        <v>94.937777400000002</v>
      </c>
      <c r="Z81">
        <v>180.98100000000002</v>
      </c>
      <c r="AA81">
        <v>231.620181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A82">
        <v>910.34720831648292</v>
      </c>
      <c r="B82">
        <v>28</v>
      </c>
      <c r="C82">
        <v>11</v>
      </c>
      <c r="D82">
        <v>15</v>
      </c>
      <c r="E82">
        <v>29</v>
      </c>
      <c r="F82">
        <v>11</v>
      </c>
      <c r="G82">
        <v>0.3</v>
      </c>
      <c r="H82">
        <v>24</v>
      </c>
      <c r="I82">
        <v>7</v>
      </c>
      <c r="J82">
        <v>0.3</v>
      </c>
      <c r="K82">
        <v>510647132.67400837</v>
      </c>
      <c r="L82">
        <v>54485400</v>
      </c>
      <c r="M82">
        <v>79683955.311066926</v>
      </c>
      <c r="N82">
        <v>155374000</v>
      </c>
      <c r="O82">
        <v>15898005.039999999</v>
      </c>
      <c r="P82">
        <v>95.7037251</v>
      </c>
      <c r="Q82">
        <v>-1.0313205774968495</v>
      </c>
      <c r="R82">
        <v>43.6526055</v>
      </c>
      <c r="S82">
        <v>780.04503199999999</v>
      </c>
      <c r="T82">
        <v>7.7235207999999999E-14</v>
      </c>
      <c r="U82">
        <v>19.679197572265139</v>
      </c>
      <c r="V82">
        <v>100.934</v>
      </c>
      <c r="W82">
        <v>-236.1703317400615</v>
      </c>
      <c r="X82">
        <v>62.796039899999997</v>
      </c>
      <c r="Y82">
        <v>92.358699299999998</v>
      </c>
      <c r="Z82">
        <v>180.98100000000002</v>
      </c>
      <c r="AA82">
        <v>235.84375199999999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>
      <c r="A83">
        <v>944.50614355928622</v>
      </c>
      <c r="B83">
        <v>39</v>
      </c>
      <c r="C83">
        <v>12</v>
      </c>
      <c r="D83">
        <v>7.708946201773589</v>
      </c>
      <c r="E83">
        <v>24</v>
      </c>
      <c r="F83">
        <v>7</v>
      </c>
      <c r="G83">
        <v>0.3</v>
      </c>
      <c r="H83">
        <v>25</v>
      </c>
      <c r="I83">
        <v>14</v>
      </c>
      <c r="J83">
        <v>0.3</v>
      </c>
      <c r="K83">
        <v>510192494.13151985</v>
      </c>
      <c r="L83">
        <v>54533000</v>
      </c>
      <c r="M83">
        <v>79721103.095471635</v>
      </c>
      <c r="N83">
        <v>157172000</v>
      </c>
      <c r="O83">
        <v>15896110.24</v>
      </c>
      <c r="P83">
        <v>96.819633400000001</v>
      </c>
      <c r="Q83">
        <v>-1.1024284309568451</v>
      </c>
      <c r="R83">
        <v>43.655314799999999</v>
      </c>
      <c r="S83">
        <v>780.273684</v>
      </c>
      <c r="T83">
        <v>1.20293129E-10</v>
      </c>
      <c r="U83">
        <v>19.765649398305037</v>
      </c>
      <c r="V83">
        <v>100.934</v>
      </c>
      <c r="W83">
        <v>-236.63261778686115</v>
      </c>
      <c r="X83">
        <v>62.759782100000002</v>
      </c>
      <c r="Y83">
        <v>92.199268900000007</v>
      </c>
      <c r="Z83">
        <v>180.98100000000002</v>
      </c>
      <c r="AA83">
        <v>235.88499300000001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>
      <c r="A84">
        <v>910</v>
      </c>
      <c r="B84">
        <v>33</v>
      </c>
      <c r="C84">
        <v>19</v>
      </c>
      <c r="D84">
        <v>7.9052479111389902</v>
      </c>
      <c r="E84">
        <v>28</v>
      </c>
      <c r="F84">
        <v>5</v>
      </c>
      <c r="G84">
        <v>0.3</v>
      </c>
      <c r="H84">
        <v>21</v>
      </c>
      <c r="I84">
        <v>7</v>
      </c>
      <c r="J84">
        <v>1.4</v>
      </c>
      <c r="K84">
        <v>509654578.80393839</v>
      </c>
      <c r="L84">
        <v>54441900</v>
      </c>
      <c r="M84">
        <v>79674445.868776053</v>
      </c>
      <c r="N84">
        <v>155751000</v>
      </c>
      <c r="O84">
        <v>15893081.6</v>
      </c>
      <c r="P84">
        <v>95.153334099999995</v>
      </c>
      <c r="Q84">
        <v>-1.0638749813668558</v>
      </c>
      <c r="R84">
        <v>43.669854200000003</v>
      </c>
      <c r="S84">
        <v>780.26711399999999</v>
      </c>
      <c r="T84">
        <v>4.7306139100000003E-9</v>
      </c>
      <c r="U84">
        <v>19.823294812324082</v>
      </c>
      <c r="V84">
        <v>100.934</v>
      </c>
      <c r="W84">
        <v>-237.57653402209428</v>
      </c>
      <c r="X84">
        <v>62.864370999999998</v>
      </c>
      <c r="Y84">
        <v>92.385227900000004</v>
      </c>
      <c r="Z84">
        <v>180.98100000000002</v>
      </c>
      <c r="AA84">
        <v>231.59605300000001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>
      <c r="A85">
        <v>945.63806917924808</v>
      </c>
      <c r="B85">
        <v>38</v>
      </c>
      <c r="C85">
        <v>13</v>
      </c>
      <c r="D85">
        <v>15</v>
      </c>
      <c r="E85">
        <v>26</v>
      </c>
      <c r="F85">
        <v>14</v>
      </c>
      <c r="G85">
        <v>0.3</v>
      </c>
      <c r="H85">
        <v>29</v>
      </c>
      <c r="I85">
        <v>7</v>
      </c>
      <c r="J85">
        <v>1.4</v>
      </c>
      <c r="K85">
        <v>511792424.46463549</v>
      </c>
      <c r="L85">
        <v>54547900</v>
      </c>
      <c r="M85">
        <v>79714692.676512495</v>
      </c>
      <c r="N85">
        <v>157779000</v>
      </c>
      <c r="O85">
        <v>15899173.039999999</v>
      </c>
      <c r="P85">
        <v>95.352899899999997</v>
      </c>
      <c r="Q85">
        <v>-1.1354067554923741</v>
      </c>
      <c r="R85">
        <v>43.633648999999998</v>
      </c>
      <c r="S85">
        <v>779.88738799999999</v>
      </c>
      <c r="T85">
        <v>3.5879183099999999E-16</v>
      </c>
      <c r="U85">
        <v>19.596719601220002</v>
      </c>
      <c r="V85">
        <v>100.934</v>
      </c>
      <c r="W85">
        <v>-238.96051264256118</v>
      </c>
      <c r="X85">
        <v>62.812815999999998</v>
      </c>
      <c r="Y85">
        <v>92.091918899999996</v>
      </c>
      <c r="Z85">
        <v>177.97</v>
      </c>
      <c r="AA85">
        <v>231.03162900000001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>
      <c r="A86">
        <v>914.4792688515455</v>
      </c>
      <c r="B86">
        <v>39</v>
      </c>
      <c r="C86">
        <v>10</v>
      </c>
      <c r="D86">
        <v>12.387506453502516</v>
      </c>
      <c r="E86">
        <v>29</v>
      </c>
      <c r="F86">
        <v>11</v>
      </c>
      <c r="G86">
        <v>0.60958129611118061</v>
      </c>
      <c r="H86">
        <v>16</v>
      </c>
      <c r="I86">
        <v>14</v>
      </c>
      <c r="J86">
        <v>0.67235549400898886</v>
      </c>
      <c r="K86">
        <v>510753765.76312625</v>
      </c>
      <c r="L86">
        <v>54481800</v>
      </c>
      <c r="M86">
        <v>79679639.079760492</v>
      </c>
      <c r="N86">
        <v>156492000</v>
      </c>
      <c r="O86">
        <v>15896888.32</v>
      </c>
      <c r="P86">
        <v>95.154081700000006</v>
      </c>
      <c r="Q86">
        <v>-1.0885498045921163</v>
      </c>
      <c r="R86">
        <v>43.6405539</v>
      </c>
      <c r="S86">
        <v>779.70844299999999</v>
      </c>
      <c r="T86">
        <v>4.4310124199999998E-15</v>
      </c>
      <c r="U86">
        <v>19.17663501711128</v>
      </c>
      <c r="V86">
        <v>100.934</v>
      </c>
      <c r="W86">
        <v>-238.16381920175129</v>
      </c>
      <c r="X86">
        <v>62.902895399999998</v>
      </c>
      <c r="Y86">
        <v>92.160151900000002</v>
      </c>
      <c r="Z86">
        <v>180.98100000000002</v>
      </c>
      <c r="AA86">
        <v>236.63193899999999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>
      <c r="A87">
        <v>930.67829794275303</v>
      </c>
      <c r="B87">
        <v>35</v>
      </c>
      <c r="C87">
        <v>19</v>
      </c>
      <c r="D87">
        <v>1.2224994206947122</v>
      </c>
      <c r="E87">
        <v>18</v>
      </c>
      <c r="F87">
        <v>14</v>
      </c>
      <c r="G87">
        <v>0.3</v>
      </c>
      <c r="H87">
        <v>29</v>
      </c>
      <c r="I87">
        <v>10</v>
      </c>
      <c r="J87">
        <v>0.3</v>
      </c>
      <c r="K87">
        <v>508745871.28529805</v>
      </c>
      <c r="L87">
        <v>54467600</v>
      </c>
      <c r="M87">
        <v>79698521.371330604</v>
      </c>
      <c r="N87">
        <v>156559000</v>
      </c>
      <c r="O87">
        <v>15885328.799999999</v>
      </c>
      <c r="P87">
        <v>91.140777799999995</v>
      </c>
      <c r="Q87">
        <v>-1.1553716513444052</v>
      </c>
      <c r="R87">
        <v>43.437670099999998</v>
      </c>
      <c r="S87">
        <v>780.78404</v>
      </c>
      <c r="T87">
        <v>5.7629386E-14</v>
      </c>
      <c r="U87">
        <v>19.395200571880011</v>
      </c>
      <c r="V87">
        <v>80.72</v>
      </c>
      <c r="W87">
        <v>-185.68058826913773</v>
      </c>
      <c r="X87">
        <v>62.948318800000003</v>
      </c>
      <c r="Y87">
        <v>93.946413800000002</v>
      </c>
      <c r="Z87">
        <v>121.52199999999999</v>
      </c>
      <c r="AA87">
        <v>231.79559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>
      <c r="A88">
        <v>935.2896237309626</v>
      </c>
      <c r="B88">
        <v>39</v>
      </c>
      <c r="C88">
        <v>19</v>
      </c>
      <c r="D88">
        <v>1</v>
      </c>
      <c r="E88">
        <v>29</v>
      </c>
      <c r="F88">
        <v>14</v>
      </c>
      <c r="G88">
        <v>0.3</v>
      </c>
      <c r="H88">
        <v>18</v>
      </c>
      <c r="I88">
        <v>7</v>
      </c>
      <c r="J88">
        <v>0.3</v>
      </c>
      <c r="K88">
        <v>508594423.27080929</v>
      </c>
      <c r="L88">
        <v>54479600</v>
      </c>
      <c r="M88">
        <v>79710019.601247743</v>
      </c>
      <c r="N88">
        <v>155061000</v>
      </c>
      <c r="O88">
        <v>15888621.92</v>
      </c>
      <c r="P88">
        <v>97.560318600000002</v>
      </c>
      <c r="Q88">
        <v>-1.0120777516707764</v>
      </c>
      <c r="R88">
        <v>43.601141699999999</v>
      </c>
      <c r="S88">
        <v>780.56769899999995</v>
      </c>
      <c r="T88">
        <v>1.8542758400000001E-16</v>
      </c>
      <c r="U88">
        <v>19.858696816965999</v>
      </c>
      <c r="V88">
        <v>80.72</v>
      </c>
      <c r="W88">
        <v>-146.75649969651224</v>
      </c>
      <c r="X88">
        <v>63.009409900000001</v>
      </c>
      <c r="Y88">
        <v>94.788660300000004</v>
      </c>
      <c r="Z88">
        <v>177.97</v>
      </c>
      <c r="AA88">
        <v>235.335115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>
      <c r="A89">
        <v>939.94363147069157</v>
      </c>
      <c r="B89">
        <v>30</v>
      </c>
      <c r="C89">
        <v>18</v>
      </c>
      <c r="D89">
        <v>6.1258784765007057</v>
      </c>
      <c r="E89">
        <v>16</v>
      </c>
      <c r="F89">
        <v>14</v>
      </c>
      <c r="G89">
        <v>1.2</v>
      </c>
      <c r="H89">
        <v>10</v>
      </c>
      <c r="I89">
        <v>7</v>
      </c>
      <c r="J89">
        <v>1.2609086215413277</v>
      </c>
      <c r="K89">
        <v>509177081.97939765</v>
      </c>
      <c r="L89">
        <v>54465900</v>
      </c>
      <c r="M89">
        <v>79706702.162973255</v>
      </c>
      <c r="N89">
        <v>158179000</v>
      </c>
      <c r="O89">
        <v>15891562.959999999</v>
      </c>
      <c r="P89">
        <v>91.092526899999996</v>
      </c>
      <c r="Q89">
        <v>-1.2313576243452173</v>
      </c>
      <c r="R89">
        <v>43.495838999999997</v>
      </c>
      <c r="S89">
        <v>780.21857699999998</v>
      </c>
      <c r="T89">
        <v>1.24980064E-17</v>
      </c>
      <c r="U89">
        <v>18.72600121888993</v>
      </c>
      <c r="V89">
        <v>91.850000000000009</v>
      </c>
      <c r="W89">
        <v>-241.31046915061006</v>
      </c>
      <c r="X89">
        <v>62.847293399999998</v>
      </c>
      <c r="Y89">
        <v>92.522278999999997</v>
      </c>
      <c r="Z89">
        <v>121.52199999999999</v>
      </c>
      <c r="AA89">
        <v>231.00387900000001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>
      <c r="A90">
        <v>936.4873648101875</v>
      </c>
      <c r="B90">
        <v>27</v>
      </c>
      <c r="C90">
        <v>19</v>
      </c>
      <c r="D90">
        <v>1</v>
      </c>
      <c r="E90">
        <v>10</v>
      </c>
      <c r="F90">
        <v>5</v>
      </c>
      <c r="G90">
        <v>0.3</v>
      </c>
      <c r="H90">
        <v>23</v>
      </c>
      <c r="I90">
        <v>14</v>
      </c>
      <c r="J90">
        <v>1.4</v>
      </c>
      <c r="K90">
        <v>508123731.06741571</v>
      </c>
      <c r="L90">
        <v>54417700</v>
      </c>
      <c r="M90">
        <v>79702107.818979651</v>
      </c>
      <c r="N90">
        <v>154502000</v>
      </c>
      <c r="O90">
        <v>15886829.52</v>
      </c>
      <c r="P90">
        <v>94.165518800000001</v>
      </c>
      <c r="Q90">
        <v>-1.0286545673542857</v>
      </c>
      <c r="R90">
        <v>43.509696599999998</v>
      </c>
      <c r="S90">
        <v>780.38374600000009</v>
      </c>
      <c r="T90">
        <v>7.3301612500000002E-9</v>
      </c>
      <c r="U90">
        <v>19.828249742323859</v>
      </c>
      <c r="V90">
        <v>68.709999999999994</v>
      </c>
      <c r="W90">
        <v>-173.30338008740233</v>
      </c>
      <c r="X90">
        <v>63.079818799999998</v>
      </c>
      <c r="Y90">
        <v>95.082864700000002</v>
      </c>
      <c r="Z90">
        <v>144.29</v>
      </c>
      <c r="AA90">
        <v>228.30614499999999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>
      <c r="A91">
        <v>910</v>
      </c>
      <c r="B91">
        <v>34</v>
      </c>
      <c r="C91">
        <v>10</v>
      </c>
      <c r="D91">
        <v>1</v>
      </c>
      <c r="E91">
        <v>19</v>
      </c>
      <c r="F91">
        <v>5</v>
      </c>
      <c r="G91">
        <v>1.2</v>
      </c>
      <c r="H91">
        <v>29</v>
      </c>
      <c r="I91">
        <v>14</v>
      </c>
      <c r="J91">
        <v>1.4</v>
      </c>
      <c r="K91">
        <v>508648467.45771128</v>
      </c>
      <c r="L91">
        <v>54422300</v>
      </c>
      <c r="M91">
        <v>79674245.775300235</v>
      </c>
      <c r="N91">
        <v>154418000</v>
      </c>
      <c r="O91">
        <v>15889454.4</v>
      </c>
      <c r="P91">
        <v>95.496340599999996</v>
      </c>
      <c r="Q91">
        <v>-1.0064936502535273</v>
      </c>
      <c r="R91">
        <v>43.606560399999999</v>
      </c>
      <c r="S91">
        <v>780.67985699999997</v>
      </c>
      <c r="T91">
        <v>4.4933615500000001E-10</v>
      </c>
      <c r="U91">
        <v>19.332215163589229</v>
      </c>
      <c r="V91">
        <v>80.72</v>
      </c>
      <c r="W91">
        <v>-141.04316769003017</v>
      </c>
      <c r="X91">
        <v>63.113272199999997</v>
      </c>
      <c r="Y91">
        <v>94.891881900000001</v>
      </c>
      <c r="Z91">
        <v>180.98100000000002</v>
      </c>
      <c r="AA91">
        <v>230.37266299999999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>
      <c r="A92">
        <v>910</v>
      </c>
      <c r="B92">
        <v>29</v>
      </c>
      <c r="C92">
        <v>10</v>
      </c>
      <c r="D92">
        <v>1</v>
      </c>
      <c r="E92">
        <v>28</v>
      </c>
      <c r="F92">
        <v>5</v>
      </c>
      <c r="G92">
        <v>0.3</v>
      </c>
      <c r="H92">
        <v>29</v>
      </c>
      <c r="I92">
        <v>7</v>
      </c>
      <c r="J92">
        <v>1.4</v>
      </c>
      <c r="K92">
        <v>508394259.39811069</v>
      </c>
      <c r="L92">
        <v>54423300</v>
      </c>
      <c r="M92">
        <v>79674345.844328538</v>
      </c>
      <c r="N92">
        <v>154087000</v>
      </c>
      <c r="O92">
        <v>15889454.4</v>
      </c>
      <c r="P92">
        <v>96.613317199999997</v>
      </c>
      <c r="Q92">
        <v>-0.98147411296752629</v>
      </c>
      <c r="R92">
        <v>43.641861800000001</v>
      </c>
      <c r="S92">
        <v>780.55421899999999</v>
      </c>
      <c r="T92">
        <v>3.8321674600000003E-9</v>
      </c>
      <c r="U92">
        <v>19.807633588692919</v>
      </c>
      <c r="V92">
        <v>80.72</v>
      </c>
      <c r="W92">
        <v>-144.18054795075241</v>
      </c>
      <c r="X92">
        <v>63.109171199999999</v>
      </c>
      <c r="Y92">
        <v>94.922611399999994</v>
      </c>
      <c r="Z92">
        <v>180.98100000000002</v>
      </c>
      <c r="AA92">
        <v>230.88205199999999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>
      <c r="A93">
        <v>931.29419041280596</v>
      </c>
      <c r="B93">
        <v>35</v>
      </c>
      <c r="C93">
        <v>10</v>
      </c>
      <c r="D93">
        <v>14.741184124596373</v>
      </c>
      <c r="E93">
        <v>29</v>
      </c>
      <c r="F93">
        <v>5</v>
      </c>
      <c r="G93">
        <v>1.2</v>
      </c>
      <c r="H93">
        <v>10</v>
      </c>
      <c r="I93">
        <v>8</v>
      </c>
      <c r="J93">
        <v>0.3</v>
      </c>
      <c r="K93">
        <v>511018027.79339731</v>
      </c>
      <c r="L93">
        <v>54522700</v>
      </c>
      <c r="M93">
        <v>79719742.12090911</v>
      </c>
      <c r="N93">
        <v>156134000</v>
      </c>
      <c r="O93">
        <v>15898058.639999999</v>
      </c>
      <c r="P93">
        <v>96.406341100000006</v>
      </c>
      <c r="Q93">
        <v>-1.0542841869219688</v>
      </c>
      <c r="R93">
        <v>43.641861800000001</v>
      </c>
      <c r="S93">
        <v>780.7417089999999</v>
      </c>
      <c r="T93">
        <v>4.6808434399999998E-10</v>
      </c>
      <c r="U93">
        <v>19.397035106297437</v>
      </c>
      <c r="V93">
        <v>100.934</v>
      </c>
      <c r="W93">
        <v>-236.2734001521433</v>
      </c>
      <c r="X93">
        <v>62.7473873</v>
      </c>
      <c r="Y93">
        <v>92.145748400000002</v>
      </c>
      <c r="Z93">
        <v>203.285</v>
      </c>
      <c r="AA93">
        <v>240.78809100000001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A94">
        <v>910.2420524225721</v>
      </c>
      <c r="B94">
        <v>28</v>
      </c>
      <c r="C94">
        <v>19</v>
      </c>
      <c r="D94">
        <v>11.093576356809463</v>
      </c>
      <c r="E94">
        <v>21</v>
      </c>
      <c r="F94">
        <v>12</v>
      </c>
      <c r="G94">
        <v>1.1183266660840339</v>
      </c>
      <c r="H94">
        <v>16</v>
      </c>
      <c r="I94">
        <v>14</v>
      </c>
      <c r="J94">
        <v>0.72412065834690897</v>
      </c>
      <c r="K94">
        <v>509885497.5741145</v>
      </c>
      <c r="L94">
        <v>54423900</v>
      </c>
      <c r="M94">
        <v>79674545.444539621</v>
      </c>
      <c r="N94">
        <v>155822000</v>
      </c>
      <c r="O94">
        <v>15893556.959999999</v>
      </c>
      <c r="P94">
        <v>94.305956699999996</v>
      </c>
      <c r="Q94">
        <v>-1.0759380532965848</v>
      </c>
      <c r="R94">
        <v>43.6341793</v>
      </c>
      <c r="S94">
        <v>780.47336399999995</v>
      </c>
      <c r="T94">
        <v>5.9122932899999998E-13</v>
      </c>
      <c r="U94">
        <v>19.152189715059802</v>
      </c>
      <c r="V94">
        <v>91.850000000000009</v>
      </c>
      <c r="W94">
        <v>-239.35854524544388</v>
      </c>
      <c r="X94">
        <v>62.865155799999997</v>
      </c>
      <c r="Y94">
        <v>92.464249699999996</v>
      </c>
      <c r="Z94">
        <v>177.97</v>
      </c>
      <c r="AA94">
        <v>232.20571899999999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>
      <c r="A95">
        <v>921.25388991967998</v>
      </c>
      <c r="B95">
        <v>39</v>
      </c>
      <c r="C95">
        <v>17</v>
      </c>
      <c r="D95">
        <v>2.6046554165897491</v>
      </c>
      <c r="E95">
        <v>23</v>
      </c>
      <c r="F95">
        <v>14</v>
      </c>
      <c r="G95">
        <v>1.2</v>
      </c>
      <c r="H95">
        <v>16</v>
      </c>
      <c r="I95">
        <v>14</v>
      </c>
      <c r="J95">
        <v>1.364127083722434</v>
      </c>
      <c r="K95">
        <v>509139313.09083521</v>
      </c>
      <c r="L95">
        <v>54453800</v>
      </c>
      <c r="M95">
        <v>79687528.294499382</v>
      </c>
      <c r="N95">
        <v>156558000</v>
      </c>
      <c r="O95">
        <v>15893402.4</v>
      </c>
      <c r="P95">
        <v>94.663756800000002</v>
      </c>
      <c r="Q95">
        <v>-1.1101491011795186</v>
      </c>
      <c r="R95">
        <v>43.6338303</v>
      </c>
      <c r="S95">
        <v>780.702676</v>
      </c>
      <c r="T95">
        <v>2.5826392800000002E-18</v>
      </c>
      <c r="U95">
        <v>19.121761020921898</v>
      </c>
      <c r="V95">
        <v>100.934</v>
      </c>
      <c r="W95">
        <v>-239.0193533697927</v>
      </c>
      <c r="X95">
        <v>62.873165</v>
      </c>
      <c r="Y95">
        <v>92.748109200000002</v>
      </c>
      <c r="Z95">
        <v>177.97</v>
      </c>
      <c r="AA95">
        <v>233.12019100000001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>
      <c r="A96">
        <v>916.72363888321172</v>
      </c>
      <c r="B96">
        <v>27</v>
      </c>
      <c r="C96">
        <v>11</v>
      </c>
      <c r="D96">
        <v>14.899321099219204</v>
      </c>
      <c r="E96">
        <v>29</v>
      </c>
      <c r="F96">
        <v>8</v>
      </c>
      <c r="G96">
        <v>1.2</v>
      </c>
      <c r="H96">
        <v>10</v>
      </c>
      <c r="I96">
        <v>8</v>
      </c>
      <c r="J96">
        <v>1.4</v>
      </c>
      <c r="K96">
        <v>510956704.9372949</v>
      </c>
      <c r="L96">
        <v>54465100</v>
      </c>
      <c r="M96">
        <v>79682235.4939868</v>
      </c>
      <c r="N96">
        <v>156294000</v>
      </c>
      <c r="O96">
        <v>15898548.880000001</v>
      </c>
      <c r="P96">
        <v>94.745246499999993</v>
      </c>
      <c r="Q96">
        <v>-1.0833458625399941</v>
      </c>
      <c r="R96">
        <v>43.642789899999997</v>
      </c>
      <c r="S96">
        <v>780.702676</v>
      </c>
      <c r="T96">
        <v>5.1390190299999995E-13</v>
      </c>
      <c r="U96">
        <v>19.169165151501851</v>
      </c>
      <c r="V96">
        <v>100.934</v>
      </c>
      <c r="W96">
        <v>-238.92141440204503</v>
      </c>
      <c r="X96">
        <v>62.879280999999999</v>
      </c>
      <c r="Y96">
        <v>92.4365758</v>
      </c>
      <c r="Z96">
        <v>203.285</v>
      </c>
      <c r="AA96">
        <v>233.671088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>
      <c r="A97">
        <v>931.62608891359412</v>
      </c>
      <c r="B97">
        <v>27</v>
      </c>
      <c r="C97">
        <v>10</v>
      </c>
      <c r="D97">
        <v>1</v>
      </c>
      <c r="E97">
        <v>26</v>
      </c>
      <c r="F97">
        <v>14</v>
      </c>
      <c r="G97">
        <v>0.3</v>
      </c>
      <c r="H97">
        <v>24</v>
      </c>
      <c r="I97">
        <v>7</v>
      </c>
      <c r="J97">
        <v>0.3</v>
      </c>
      <c r="K97">
        <v>508100810.11182904</v>
      </c>
      <c r="L97">
        <v>54438600</v>
      </c>
      <c r="M97">
        <v>79704825.009902731</v>
      </c>
      <c r="N97">
        <v>154703000</v>
      </c>
      <c r="O97">
        <v>15886830.48</v>
      </c>
      <c r="P97">
        <v>97.211189099999999</v>
      </c>
      <c r="Q97">
        <v>-1.0047647257071401</v>
      </c>
      <c r="R97">
        <v>43.6003902</v>
      </c>
      <c r="S97">
        <v>780.23755200000005</v>
      </c>
      <c r="T97">
        <v>1.06771234E-13</v>
      </c>
      <c r="U97">
        <v>19.627848357104998</v>
      </c>
      <c r="V97">
        <v>80.72</v>
      </c>
      <c r="W97">
        <v>-148.48901025632014</v>
      </c>
      <c r="X97">
        <v>63.012308300000001</v>
      </c>
      <c r="Y97">
        <v>94.887788999999998</v>
      </c>
      <c r="Z97">
        <v>177.97</v>
      </c>
      <c r="AA97">
        <v>234.751183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>
      <c r="A98">
        <v>939.86199058479599</v>
      </c>
      <c r="B98">
        <v>29</v>
      </c>
      <c r="C98">
        <v>10</v>
      </c>
      <c r="D98">
        <v>9.713058653763337</v>
      </c>
      <c r="E98">
        <v>21</v>
      </c>
      <c r="F98">
        <v>5</v>
      </c>
      <c r="G98">
        <v>1.2</v>
      </c>
      <c r="H98">
        <v>16</v>
      </c>
      <c r="I98">
        <v>14</v>
      </c>
      <c r="J98">
        <v>1.4</v>
      </c>
      <c r="K98">
        <v>509999237.63237536</v>
      </c>
      <c r="L98">
        <v>54481900</v>
      </c>
      <c r="M98">
        <v>79707202.578581154</v>
      </c>
      <c r="N98">
        <v>157495000</v>
      </c>
      <c r="O98">
        <v>15893435.439999999</v>
      </c>
      <c r="P98">
        <v>95.461641</v>
      </c>
      <c r="Q98">
        <v>-1.1367845071859368</v>
      </c>
      <c r="R98">
        <v>43.643804500000002</v>
      </c>
      <c r="S98">
        <v>780.20974799999999</v>
      </c>
      <c r="T98">
        <v>5.0339920800000005E-10</v>
      </c>
      <c r="U98">
        <v>19.311217780006825</v>
      </c>
      <c r="V98">
        <v>100.934</v>
      </c>
      <c r="W98">
        <v>-237.9595686671548</v>
      </c>
      <c r="X98">
        <v>62.846165200000002</v>
      </c>
      <c r="Y98">
        <v>92.429113900000004</v>
      </c>
      <c r="Z98">
        <v>180.98100000000002</v>
      </c>
      <c r="AA98">
        <v>233.35824700000001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>
      <c r="A99">
        <v>944.80023662417432</v>
      </c>
      <c r="B99">
        <v>28</v>
      </c>
      <c r="C99">
        <v>19</v>
      </c>
      <c r="D99">
        <v>15</v>
      </c>
      <c r="E99">
        <v>29</v>
      </c>
      <c r="F99">
        <v>9</v>
      </c>
      <c r="G99">
        <v>1.1450502508877896</v>
      </c>
      <c r="H99">
        <v>10</v>
      </c>
      <c r="I99">
        <v>8</v>
      </c>
      <c r="J99">
        <v>1.4</v>
      </c>
      <c r="K99">
        <v>511272487.94800246</v>
      </c>
      <c r="L99">
        <v>54510500</v>
      </c>
      <c r="M99">
        <v>79713594.166373312</v>
      </c>
      <c r="N99">
        <v>157698000</v>
      </c>
      <c r="O99">
        <v>15898948.16</v>
      </c>
      <c r="P99">
        <v>95.630538400000006</v>
      </c>
      <c r="Q99">
        <v>-1.133788691711479</v>
      </c>
      <c r="R99">
        <v>43.642876800000003</v>
      </c>
      <c r="S99">
        <v>780.77638200000001</v>
      </c>
      <c r="T99">
        <v>4.26477202E-13</v>
      </c>
      <c r="U99">
        <v>19.167031392524734</v>
      </c>
      <c r="V99">
        <v>100.934</v>
      </c>
      <c r="W99">
        <v>-239.74193085293228</v>
      </c>
      <c r="X99">
        <v>62.838875700000003</v>
      </c>
      <c r="Y99">
        <v>92.412849800000004</v>
      </c>
      <c r="Z99">
        <v>203.285</v>
      </c>
      <c r="AA99">
        <v>233.64579000000001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>
      <c r="A100">
        <v>910</v>
      </c>
      <c r="B100">
        <v>35</v>
      </c>
      <c r="C100">
        <v>19</v>
      </c>
      <c r="D100">
        <v>7.6410779439950129</v>
      </c>
      <c r="E100">
        <v>27</v>
      </c>
      <c r="F100">
        <v>14</v>
      </c>
      <c r="G100">
        <v>0.3</v>
      </c>
      <c r="H100">
        <v>24</v>
      </c>
      <c r="I100">
        <v>14</v>
      </c>
      <c r="J100">
        <v>1.4</v>
      </c>
      <c r="K100">
        <v>509656778.76889789</v>
      </c>
      <c r="L100">
        <v>54453300</v>
      </c>
      <c r="M100">
        <v>79674345.815155864</v>
      </c>
      <c r="N100">
        <v>155923000</v>
      </c>
      <c r="O100">
        <v>15892935.040000001</v>
      </c>
      <c r="P100">
        <v>94.426717199999999</v>
      </c>
      <c r="Q100">
        <v>-1.0795535861969212</v>
      </c>
      <c r="R100">
        <v>43.639680400000003</v>
      </c>
      <c r="S100">
        <v>779.811778</v>
      </c>
      <c r="T100">
        <v>3.4420258299999999E-16</v>
      </c>
      <c r="U100">
        <v>19.589048479349003</v>
      </c>
      <c r="V100">
        <v>100.934</v>
      </c>
      <c r="W100">
        <v>-238.54942601893589</v>
      </c>
      <c r="X100">
        <v>62.864445799999999</v>
      </c>
      <c r="Y100">
        <v>92.343245999999994</v>
      </c>
      <c r="Z100">
        <v>177.97</v>
      </c>
      <c r="AA100">
        <v>231.17686399999999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>
      <c r="A101">
        <v>939.23424603004071</v>
      </c>
      <c r="B101">
        <v>31</v>
      </c>
      <c r="C101">
        <v>19</v>
      </c>
      <c r="D101">
        <v>8.5687794475825054</v>
      </c>
      <c r="E101">
        <v>11</v>
      </c>
      <c r="F101">
        <v>5</v>
      </c>
      <c r="G101">
        <v>0.3</v>
      </c>
      <c r="H101">
        <v>12</v>
      </c>
      <c r="I101">
        <v>10</v>
      </c>
      <c r="J101">
        <v>0.3</v>
      </c>
      <c r="K101">
        <v>509318743.6574192</v>
      </c>
      <c r="L101">
        <v>54482700</v>
      </c>
      <c r="M101">
        <v>79723422.4236013</v>
      </c>
      <c r="N101">
        <v>157445000</v>
      </c>
      <c r="O101">
        <v>15897924</v>
      </c>
      <c r="P101">
        <v>93.712024799999995</v>
      </c>
      <c r="Q101">
        <v>-1.1605450108486814</v>
      </c>
      <c r="R101">
        <v>43.5511482</v>
      </c>
      <c r="S101">
        <v>780.64476400000001</v>
      </c>
      <c r="T101">
        <v>6.2882085199999998E-9</v>
      </c>
      <c r="U101">
        <v>19.678765029129899</v>
      </c>
      <c r="V101">
        <v>100.934</v>
      </c>
      <c r="W101">
        <v>-242.27090485227328</v>
      </c>
      <c r="X101">
        <v>62.801427500000003</v>
      </c>
      <c r="Y101">
        <v>92.392785900000007</v>
      </c>
      <c r="Z101">
        <v>144.29</v>
      </c>
      <c r="AA101">
        <v>237.78369499999999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>
      <c r="A102">
        <v>938.58873878502527</v>
      </c>
      <c r="B102">
        <v>27</v>
      </c>
      <c r="C102">
        <v>10</v>
      </c>
      <c r="D102">
        <v>3.5008755820585069</v>
      </c>
      <c r="E102">
        <v>16</v>
      </c>
      <c r="F102">
        <v>14</v>
      </c>
      <c r="G102">
        <v>0.3</v>
      </c>
      <c r="H102">
        <v>28</v>
      </c>
      <c r="I102">
        <v>14</v>
      </c>
      <c r="J102">
        <v>0.3</v>
      </c>
      <c r="K102">
        <v>508672975.85773504</v>
      </c>
      <c r="L102">
        <v>54474300</v>
      </c>
      <c r="M102">
        <v>79712712.517629266</v>
      </c>
      <c r="N102">
        <v>156856000</v>
      </c>
      <c r="O102">
        <v>15891173.280000001</v>
      </c>
      <c r="P102">
        <v>95.775316799999999</v>
      </c>
      <c r="Q102">
        <v>-1.11336034195474</v>
      </c>
      <c r="R102">
        <v>43.625155700000001</v>
      </c>
      <c r="S102">
        <v>780.625944</v>
      </c>
      <c r="T102">
        <v>5.1398683799999998E-9</v>
      </c>
      <c r="U102">
        <v>19.86793470451191</v>
      </c>
      <c r="V102">
        <v>100.934</v>
      </c>
      <c r="W102">
        <v>-235.73227795822822</v>
      </c>
      <c r="X102">
        <v>62.779857900000003</v>
      </c>
      <c r="Y102">
        <v>92.741265799999994</v>
      </c>
      <c r="Z102">
        <v>177.97</v>
      </c>
      <c r="AA102">
        <v>235.06658200000001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>
      <c r="A103">
        <v>943.58320524617261</v>
      </c>
      <c r="B103">
        <v>33</v>
      </c>
      <c r="C103">
        <v>19</v>
      </c>
      <c r="D103">
        <v>9.3015387704169221</v>
      </c>
      <c r="E103">
        <v>20</v>
      </c>
      <c r="F103">
        <v>14</v>
      </c>
      <c r="G103">
        <v>0.3</v>
      </c>
      <c r="H103">
        <v>29</v>
      </c>
      <c r="I103">
        <v>7</v>
      </c>
      <c r="J103">
        <v>0.3</v>
      </c>
      <c r="K103">
        <v>510437763.24454302</v>
      </c>
      <c r="L103">
        <v>54530700</v>
      </c>
      <c r="M103">
        <v>79718903.849030584</v>
      </c>
      <c r="N103">
        <v>157574000</v>
      </c>
      <c r="O103">
        <v>15896855.52</v>
      </c>
      <c r="P103">
        <v>93.450932100000003</v>
      </c>
      <c r="Q103">
        <v>-1.1594847671607171</v>
      </c>
      <c r="R103">
        <v>43.544652300000003</v>
      </c>
      <c r="S103">
        <v>780.21854800000006</v>
      </c>
      <c r="T103">
        <v>7.2061816100000002E-16</v>
      </c>
      <c r="U103">
        <v>19.494562169401007</v>
      </c>
      <c r="V103">
        <v>100.934</v>
      </c>
      <c r="W103">
        <v>-241.21475447497767</v>
      </c>
      <c r="X103">
        <v>62.763944799999997</v>
      </c>
      <c r="Y103">
        <v>92.298898100000002</v>
      </c>
      <c r="Z103">
        <v>144.29</v>
      </c>
      <c r="AA103">
        <v>233.83699100000001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>
      <c r="A104">
        <v>916.10478974881585</v>
      </c>
      <c r="B104">
        <v>27</v>
      </c>
      <c r="C104">
        <v>19</v>
      </c>
      <c r="D104">
        <v>1</v>
      </c>
      <c r="E104">
        <v>11</v>
      </c>
      <c r="F104">
        <v>5</v>
      </c>
      <c r="G104">
        <v>1.2</v>
      </c>
      <c r="H104">
        <v>24</v>
      </c>
      <c r="I104">
        <v>14</v>
      </c>
      <c r="J104">
        <v>1.4</v>
      </c>
      <c r="K104">
        <v>508353158.42237449</v>
      </c>
      <c r="L104">
        <v>54394300</v>
      </c>
      <c r="M104">
        <v>79681236.292126521</v>
      </c>
      <c r="N104">
        <v>153118000</v>
      </c>
      <c r="O104">
        <v>15890835.68</v>
      </c>
      <c r="P104">
        <v>97.381771400000005</v>
      </c>
      <c r="Q104">
        <v>-0.93140523053201685</v>
      </c>
      <c r="R104">
        <v>43.637582799999997</v>
      </c>
      <c r="S104">
        <v>779.53717499999993</v>
      </c>
      <c r="T104">
        <v>2.7019728599999998E-9</v>
      </c>
      <c r="U104">
        <v>19.772449931204779</v>
      </c>
      <c r="V104">
        <v>68.709999999999994</v>
      </c>
      <c r="W104">
        <v>-168.98596693515503</v>
      </c>
      <c r="X104">
        <v>63.1086788</v>
      </c>
      <c r="Y104">
        <v>95.099024</v>
      </c>
      <c r="Z104">
        <v>165.7</v>
      </c>
      <c r="AA104">
        <v>229.74169900000001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>
      <c r="A105">
        <v>943.30358031197432</v>
      </c>
      <c r="B105">
        <v>27</v>
      </c>
      <c r="C105">
        <v>18</v>
      </c>
      <c r="D105">
        <v>12.798071247806105</v>
      </c>
      <c r="E105">
        <v>22</v>
      </c>
      <c r="F105">
        <v>14</v>
      </c>
      <c r="G105">
        <v>0.3</v>
      </c>
      <c r="H105">
        <v>16</v>
      </c>
      <c r="I105">
        <v>14</v>
      </c>
      <c r="J105">
        <v>1.4</v>
      </c>
      <c r="K105">
        <v>510385764.68341148</v>
      </c>
      <c r="L105">
        <v>54503100</v>
      </c>
      <c r="M105">
        <v>79711796.769315496</v>
      </c>
      <c r="N105">
        <v>157598000</v>
      </c>
      <c r="O105">
        <v>15896890.32</v>
      </c>
      <c r="P105">
        <v>96.243506100000005</v>
      </c>
      <c r="Q105">
        <v>-1.128574966905771</v>
      </c>
      <c r="R105">
        <v>43.664057700000001</v>
      </c>
      <c r="S105">
        <v>780.27716399999997</v>
      </c>
      <c r="T105">
        <v>4.7392614799999996E-9</v>
      </c>
      <c r="U105">
        <v>19.818259211934485</v>
      </c>
      <c r="V105">
        <v>91.850000000000009</v>
      </c>
      <c r="W105">
        <v>-238.97955704935055</v>
      </c>
      <c r="X105">
        <v>62.837535000000003</v>
      </c>
      <c r="Y105">
        <v>92.458828199999999</v>
      </c>
      <c r="Z105">
        <v>180.98100000000002</v>
      </c>
      <c r="AA105">
        <v>233.62829099999999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>
      <c r="A106">
        <v>955.24661466494308</v>
      </c>
      <c r="B106">
        <v>38</v>
      </c>
      <c r="C106">
        <v>17</v>
      </c>
      <c r="D106">
        <v>12.756573260377339</v>
      </c>
      <c r="E106">
        <v>29</v>
      </c>
      <c r="F106">
        <v>5</v>
      </c>
      <c r="G106">
        <v>0.99868245165116221</v>
      </c>
      <c r="H106">
        <v>10</v>
      </c>
      <c r="I106">
        <v>8</v>
      </c>
      <c r="J106">
        <v>1.1835992929108259</v>
      </c>
      <c r="K106">
        <v>510597385.13624263</v>
      </c>
      <c r="L106">
        <v>54526300</v>
      </c>
      <c r="M106">
        <v>79728277.383045912</v>
      </c>
      <c r="N106">
        <v>158439000</v>
      </c>
      <c r="O106">
        <v>15405293.600000001</v>
      </c>
      <c r="P106">
        <v>96.222109799999998</v>
      </c>
      <c r="Q106">
        <v>-1.1648507818163418</v>
      </c>
      <c r="R106">
        <v>43.647969799999998</v>
      </c>
      <c r="S106">
        <v>780.282465</v>
      </c>
      <c r="T106">
        <v>5.9233684000000003E-10</v>
      </c>
      <c r="U106">
        <v>19.33213384655733</v>
      </c>
      <c r="V106">
        <v>100.934</v>
      </c>
      <c r="W106">
        <v>-238.71690223336839</v>
      </c>
      <c r="X106">
        <v>62.826039999999999</v>
      </c>
      <c r="Y106">
        <v>92.130054900000005</v>
      </c>
      <c r="Z106">
        <v>203.285</v>
      </c>
      <c r="AA106">
        <v>234.315122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>
      <c r="A107">
        <v>932.46323957020149</v>
      </c>
      <c r="B107">
        <v>27</v>
      </c>
      <c r="C107">
        <v>10</v>
      </c>
      <c r="D107">
        <v>1</v>
      </c>
      <c r="E107">
        <v>19</v>
      </c>
      <c r="F107">
        <v>5</v>
      </c>
      <c r="G107">
        <v>1.2</v>
      </c>
      <c r="H107">
        <v>27</v>
      </c>
      <c r="I107">
        <v>7</v>
      </c>
      <c r="J107">
        <v>0.3</v>
      </c>
      <c r="K107">
        <v>508362577.22209013</v>
      </c>
      <c r="L107">
        <v>54439000</v>
      </c>
      <c r="M107">
        <v>79706223.91325669</v>
      </c>
      <c r="N107">
        <v>154603000</v>
      </c>
      <c r="O107">
        <v>15887257.279999999</v>
      </c>
      <c r="P107">
        <v>97.659462500000004</v>
      </c>
      <c r="Q107">
        <v>-0.99379486151839713</v>
      </c>
      <c r="R107">
        <v>43.6232963</v>
      </c>
      <c r="S107">
        <v>780.59002600000008</v>
      </c>
      <c r="T107">
        <v>4.1992469500000001E-10</v>
      </c>
      <c r="U107">
        <v>19.446494492661149</v>
      </c>
      <c r="V107">
        <v>80.72</v>
      </c>
      <c r="W107">
        <v>-147.1898281469087</v>
      </c>
      <c r="X107">
        <v>63.009371299999998</v>
      </c>
      <c r="Y107">
        <v>94.886151600000005</v>
      </c>
      <c r="Z107">
        <v>180.98100000000002</v>
      </c>
      <c r="AA107">
        <v>234.89413400000001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>
      <c r="A108">
        <v>910</v>
      </c>
      <c r="B108">
        <v>27</v>
      </c>
      <c r="C108">
        <v>10</v>
      </c>
      <c r="D108">
        <v>1</v>
      </c>
      <c r="E108">
        <v>29</v>
      </c>
      <c r="F108">
        <v>5</v>
      </c>
      <c r="G108">
        <v>0.3</v>
      </c>
      <c r="H108">
        <v>10</v>
      </c>
      <c r="I108">
        <v>7</v>
      </c>
      <c r="J108">
        <v>0.3</v>
      </c>
      <c r="K108">
        <v>507844891.0607177</v>
      </c>
      <c r="L108">
        <v>54404100</v>
      </c>
      <c r="M108">
        <v>79689462.270187944</v>
      </c>
      <c r="N108">
        <v>153431000</v>
      </c>
      <c r="O108">
        <v>15893921.52</v>
      </c>
      <c r="P108">
        <v>98.073711799999998</v>
      </c>
      <c r="Q108">
        <v>-0.94199921180122914</v>
      </c>
      <c r="R108">
        <v>43.647024199999997</v>
      </c>
      <c r="S108">
        <v>780.61922299999992</v>
      </c>
      <c r="T108">
        <v>3.7584256899999998E-9</v>
      </c>
      <c r="U108">
        <v>19.886232955969263</v>
      </c>
      <c r="V108">
        <v>80.72</v>
      </c>
      <c r="W108">
        <v>-146.07796517351287</v>
      </c>
      <c r="X108">
        <v>63.035254500000001</v>
      </c>
      <c r="Y108">
        <v>94.900188099999994</v>
      </c>
      <c r="Z108">
        <v>180.98100000000002</v>
      </c>
      <c r="AA108">
        <v>236.611909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>
      <c r="A109">
        <v>918.33150655806617</v>
      </c>
      <c r="B109">
        <v>35</v>
      </c>
      <c r="C109">
        <v>19</v>
      </c>
      <c r="D109">
        <v>1</v>
      </c>
      <c r="E109">
        <v>19</v>
      </c>
      <c r="F109">
        <v>13</v>
      </c>
      <c r="G109">
        <v>0.3</v>
      </c>
      <c r="H109">
        <v>29</v>
      </c>
      <c r="I109">
        <v>14</v>
      </c>
      <c r="J109">
        <v>1.4</v>
      </c>
      <c r="K109">
        <v>508708409.97883743</v>
      </c>
      <c r="L109">
        <v>54433300</v>
      </c>
      <c r="M109">
        <v>79683632.684165165</v>
      </c>
      <c r="N109">
        <v>154872000</v>
      </c>
      <c r="O109">
        <v>15891424.16</v>
      </c>
      <c r="P109">
        <v>93.367025699999999</v>
      </c>
      <c r="Q109">
        <v>-1.0499565590862769</v>
      </c>
      <c r="R109">
        <v>43.504068099999998</v>
      </c>
      <c r="S109">
        <v>780.43364000000008</v>
      </c>
      <c r="T109">
        <v>3.1298997000000001E-13</v>
      </c>
      <c r="U109">
        <v>19.627173132626037</v>
      </c>
      <c r="V109">
        <v>80.72</v>
      </c>
      <c r="W109">
        <v>-155.65591781964241</v>
      </c>
      <c r="X109">
        <v>63.094937100000003</v>
      </c>
      <c r="Y109">
        <v>94.877729400000007</v>
      </c>
      <c r="Z109">
        <v>144.29</v>
      </c>
      <c r="AA109">
        <v>229.637066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>
      <c r="A110">
        <v>945.64357761303779</v>
      </c>
      <c r="B110">
        <v>27</v>
      </c>
      <c r="C110">
        <v>10</v>
      </c>
      <c r="D110">
        <v>1</v>
      </c>
      <c r="E110">
        <v>29</v>
      </c>
      <c r="F110">
        <v>5</v>
      </c>
      <c r="G110">
        <v>0.3</v>
      </c>
      <c r="H110">
        <v>10</v>
      </c>
      <c r="I110">
        <v>7</v>
      </c>
      <c r="J110">
        <v>0.3</v>
      </c>
      <c r="K110">
        <v>509655432.25287271</v>
      </c>
      <c r="L110">
        <v>54433300</v>
      </c>
      <c r="M110">
        <v>79683607.440556645</v>
      </c>
      <c r="N110">
        <v>154872000</v>
      </c>
      <c r="O110">
        <v>15897775.76</v>
      </c>
      <c r="P110">
        <v>99.280472500000002</v>
      </c>
      <c r="Q110">
        <v>-0.9809424518321066</v>
      </c>
      <c r="R110">
        <v>43.645820899999997</v>
      </c>
      <c r="S110">
        <v>780.695199</v>
      </c>
      <c r="T110">
        <v>3.7222099500000001E-9</v>
      </c>
      <c r="U110">
        <v>19.8994430919421</v>
      </c>
      <c r="V110">
        <v>80.72</v>
      </c>
      <c r="W110">
        <v>-146.31104043878551</v>
      </c>
      <c r="X110">
        <v>62.979128199999998</v>
      </c>
      <c r="Y110">
        <v>94.869525699999997</v>
      </c>
      <c r="Z110">
        <v>180.98100000000002</v>
      </c>
      <c r="AA110">
        <v>236.604838</v>
      </c>
      <c r="AB110">
        <v>100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>
      <c r="A111">
        <v>944.86320710744474</v>
      </c>
      <c r="B111">
        <v>34</v>
      </c>
      <c r="C111">
        <v>19</v>
      </c>
      <c r="D111">
        <v>7.4009413994182864</v>
      </c>
      <c r="E111">
        <v>23</v>
      </c>
      <c r="F111">
        <v>8</v>
      </c>
      <c r="G111">
        <v>1.2</v>
      </c>
      <c r="H111">
        <v>20</v>
      </c>
      <c r="I111">
        <v>9</v>
      </c>
      <c r="J111">
        <v>1.4</v>
      </c>
      <c r="K111">
        <v>510291067.76808882</v>
      </c>
      <c r="L111">
        <v>54508600</v>
      </c>
      <c r="M111">
        <v>79713593.98024343</v>
      </c>
      <c r="N111">
        <v>157582000</v>
      </c>
      <c r="O111">
        <v>15894697.6</v>
      </c>
      <c r="P111">
        <v>95.341453900000005</v>
      </c>
      <c r="Q111">
        <v>-1.1389315395670132</v>
      </c>
      <c r="R111">
        <v>43.639812599999999</v>
      </c>
      <c r="S111">
        <v>780.59083399999997</v>
      </c>
      <c r="T111">
        <v>6.1071984500000002E-13</v>
      </c>
      <c r="U111">
        <v>19.206874959307534</v>
      </c>
      <c r="V111">
        <v>100.934</v>
      </c>
      <c r="W111">
        <v>-238.69600617703418</v>
      </c>
      <c r="X111">
        <v>62.814730599999997</v>
      </c>
      <c r="Y111">
        <v>92.356818700000005</v>
      </c>
      <c r="Z111">
        <v>180.98100000000002</v>
      </c>
      <c r="AA111">
        <v>231.20326700000001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>
      <c r="A112">
        <v>934.35962592306089</v>
      </c>
      <c r="B112">
        <v>29</v>
      </c>
      <c r="C112">
        <v>14</v>
      </c>
      <c r="D112">
        <v>15</v>
      </c>
      <c r="E112">
        <v>27</v>
      </c>
      <c r="F112">
        <v>14</v>
      </c>
      <c r="G112">
        <v>1.2</v>
      </c>
      <c r="H112">
        <v>13</v>
      </c>
      <c r="I112">
        <v>7</v>
      </c>
      <c r="J112">
        <v>1.4</v>
      </c>
      <c r="K112">
        <v>510916113.02937627</v>
      </c>
      <c r="L112">
        <v>54484200</v>
      </c>
      <c r="M112">
        <v>79700211.724214688</v>
      </c>
      <c r="N112">
        <v>156906000</v>
      </c>
      <c r="O112">
        <v>15892614.48</v>
      </c>
      <c r="P112">
        <v>95.060018200000002</v>
      </c>
      <c r="Q112">
        <v>-1.1075812034671417</v>
      </c>
      <c r="R112">
        <v>43.640816899999997</v>
      </c>
      <c r="S112">
        <v>781.06149400000004</v>
      </c>
      <c r="T112">
        <v>1.6867932699999999E-18</v>
      </c>
      <c r="U112">
        <v>19.148144971004161</v>
      </c>
      <c r="V112">
        <v>100.934</v>
      </c>
      <c r="W112">
        <v>-239.13885345629907</v>
      </c>
      <c r="X112">
        <v>62.833397400000003</v>
      </c>
      <c r="Y112">
        <v>92.354410299999998</v>
      </c>
      <c r="Z112">
        <v>180.98100000000002</v>
      </c>
      <c r="AA112">
        <v>231.92855499999999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>
      <c r="A113">
        <v>938.67141478590008</v>
      </c>
      <c r="B113">
        <v>36</v>
      </c>
      <c r="C113">
        <v>10</v>
      </c>
      <c r="D113">
        <v>15</v>
      </c>
      <c r="E113">
        <v>29</v>
      </c>
      <c r="F113">
        <v>14</v>
      </c>
      <c r="G113">
        <v>0.3</v>
      </c>
      <c r="H113">
        <v>16</v>
      </c>
      <c r="I113">
        <v>14</v>
      </c>
      <c r="J113">
        <v>0.3</v>
      </c>
      <c r="K113">
        <v>511203168.84991848</v>
      </c>
      <c r="L113">
        <v>54484200</v>
      </c>
      <c r="M113">
        <v>79700229.122428104</v>
      </c>
      <c r="N113">
        <v>156906000</v>
      </c>
      <c r="O113">
        <v>15904271.119999999</v>
      </c>
      <c r="P113">
        <v>97.096762699999999</v>
      </c>
      <c r="Q113">
        <v>-1.08234113190501</v>
      </c>
      <c r="R113">
        <v>43.643794900000003</v>
      </c>
      <c r="S113">
        <v>780.14019499999995</v>
      </c>
      <c r="T113">
        <v>3.2421850199999998E-16</v>
      </c>
      <c r="U113">
        <v>19.695061757709002</v>
      </c>
      <c r="V113">
        <v>100.934</v>
      </c>
      <c r="W113">
        <v>-236.06789549325342</v>
      </c>
      <c r="X113">
        <v>62.724763899999999</v>
      </c>
      <c r="Y113">
        <v>92.105056899999994</v>
      </c>
      <c r="Z113">
        <v>177.97</v>
      </c>
      <c r="AA113">
        <v>241.52818600000001</v>
      </c>
      <c r="AB113">
        <v>100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>
      <c r="A114">
        <v>938.46019915717045</v>
      </c>
      <c r="B114">
        <v>28</v>
      </c>
      <c r="C114">
        <v>19</v>
      </c>
      <c r="D114">
        <v>8.7253655728853037</v>
      </c>
      <c r="E114">
        <v>25</v>
      </c>
      <c r="F114">
        <v>14</v>
      </c>
      <c r="G114">
        <v>1.2</v>
      </c>
      <c r="H114">
        <v>18</v>
      </c>
      <c r="I114">
        <v>7</v>
      </c>
      <c r="J114">
        <v>1.4</v>
      </c>
      <c r="K114">
        <v>511152907.81287283</v>
      </c>
      <c r="L114">
        <v>54484200</v>
      </c>
      <c r="M114">
        <v>79700202.955155179</v>
      </c>
      <c r="N114">
        <v>156906000</v>
      </c>
      <c r="O114">
        <v>15893625.279999999</v>
      </c>
      <c r="P114">
        <v>95.208522200000004</v>
      </c>
      <c r="Q114">
        <v>-1.1041652320441753</v>
      </c>
      <c r="R114">
        <v>43.639544800000003</v>
      </c>
      <c r="S114">
        <v>780.92402000000004</v>
      </c>
      <c r="T114">
        <v>8.8182303499999999E-13</v>
      </c>
      <c r="U114">
        <v>19.156013821919878</v>
      </c>
      <c r="V114">
        <v>91.850000000000009</v>
      </c>
      <c r="W114">
        <v>-239.90778076922763</v>
      </c>
      <c r="X114">
        <v>62.821900100000001</v>
      </c>
      <c r="Y114">
        <v>92.492734499999997</v>
      </c>
      <c r="Z114">
        <v>180.98100000000002</v>
      </c>
      <c r="AA114">
        <v>231.32999100000001</v>
      </c>
      <c r="AB114">
        <v>100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>
      <c r="A115">
        <v>941.22426310771095</v>
      </c>
      <c r="B115">
        <v>35</v>
      </c>
      <c r="C115">
        <v>19</v>
      </c>
      <c r="D115">
        <v>11.567116956321268</v>
      </c>
      <c r="E115">
        <v>26</v>
      </c>
      <c r="F115">
        <v>13</v>
      </c>
      <c r="G115">
        <v>1.2</v>
      </c>
      <c r="H115">
        <v>29</v>
      </c>
      <c r="I115">
        <v>13</v>
      </c>
      <c r="J115">
        <v>0.6949243711237505</v>
      </c>
      <c r="K115">
        <v>511190455.2908932</v>
      </c>
      <c r="L115">
        <v>54537100</v>
      </c>
      <c r="M115">
        <v>79708900.205733314</v>
      </c>
      <c r="N115">
        <v>157302000</v>
      </c>
      <c r="O115">
        <v>15894901.92</v>
      </c>
      <c r="P115">
        <v>95.2332842</v>
      </c>
      <c r="Q115">
        <v>-1.1195141684587631</v>
      </c>
      <c r="R115">
        <v>43.640805200000003</v>
      </c>
      <c r="S115">
        <v>781.00288499999999</v>
      </c>
      <c r="T115">
        <v>1.3878905599999999E-17</v>
      </c>
      <c r="U115">
        <v>19.1553142623989</v>
      </c>
      <c r="V115">
        <v>100.934</v>
      </c>
      <c r="W115">
        <v>-239.09823612674288</v>
      </c>
      <c r="X115">
        <v>62.820247100000003</v>
      </c>
      <c r="Y115">
        <v>92.232714400000006</v>
      </c>
      <c r="Z115">
        <v>180.98100000000002</v>
      </c>
      <c r="AA115">
        <v>231.49544900000001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 spans="1:40">
      <c r="A116">
        <v>943.24768576675342</v>
      </c>
      <c r="B116">
        <v>35</v>
      </c>
      <c r="C116">
        <v>18</v>
      </c>
      <c r="D116">
        <v>4.9203709201912922</v>
      </c>
      <c r="E116">
        <v>19</v>
      </c>
      <c r="F116">
        <v>5</v>
      </c>
      <c r="G116">
        <v>0.61523642965410519</v>
      </c>
      <c r="H116">
        <v>23</v>
      </c>
      <c r="I116">
        <v>14</v>
      </c>
      <c r="J116">
        <v>0.9075248473218176</v>
      </c>
      <c r="K116">
        <v>509449454.38435423</v>
      </c>
      <c r="L116">
        <v>54491200</v>
      </c>
      <c r="M116">
        <v>79711596.804240525</v>
      </c>
      <c r="N116">
        <v>157566000</v>
      </c>
      <c r="O116">
        <v>15892465.68</v>
      </c>
      <c r="P116">
        <v>95.618454999999997</v>
      </c>
      <c r="Q116">
        <v>-1.1416718928303917</v>
      </c>
      <c r="R116">
        <v>43.646265700000001</v>
      </c>
      <c r="S116">
        <v>779.98401699999999</v>
      </c>
      <c r="T116">
        <v>1.27970909E-9</v>
      </c>
      <c r="U116">
        <v>19.491731089353827</v>
      </c>
      <c r="V116">
        <v>100.934</v>
      </c>
      <c r="W116">
        <v>-237.90998069184727</v>
      </c>
      <c r="X116">
        <v>62.817937700000002</v>
      </c>
      <c r="Y116">
        <v>92.462536099999994</v>
      </c>
      <c r="Z116">
        <v>180.98100000000002</v>
      </c>
      <c r="AA116">
        <v>231.837625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 spans="1:40">
      <c r="A117">
        <v>929.29662619494991</v>
      </c>
      <c r="B117">
        <v>27</v>
      </c>
      <c r="C117">
        <v>12</v>
      </c>
      <c r="D117">
        <v>15</v>
      </c>
      <c r="E117">
        <v>27</v>
      </c>
      <c r="F117">
        <v>12</v>
      </c>
      <c r="G117">
        <v>1.1879890702411886</v>
      </c>
      <c r="H117">
        <v>10</v>
      </c>
      <c r="I117">
        <v>7</v>
      </c>
      <c r="J117">
        <v>1.3709379169621287</v>
      </c>
      <c r="K117">
        <v>510677812.5860889</v>
      </c>
      <c r="L117">
        <v>54477600</v>
      </c>
      <c r="M117">
        <v>79693920.042946696</v>
      </c>
      <c r="N117">
        <v>156708000</v>
      </c>
      <c r="O117">
        <v>15891227.199999999</v>
      </c>
      <c r="P117">
        <v>95.007536900000005</v>
      </c>
      <c r="Q117">
        <v>-1.1010027147114081</v>
      </c>
      <c r="R117">
        <v>43.641419800000001</v>
      </c>
      <c r="S117">
        <v>780.96282400000007</v>
      </c>
      <c r="T117">
        <v>1.03105386E-16</v>
      </c>
      <c r="U117">
        <v>19.144683227329391</v>
      </c>
      <c r="V117">
        <v>100.934</v>
      </c>
      <c r="W117">
        <v>-239.13911668010769</v>
      </c>
      <c r="X117">
        <v>62.852297900000003</v>
      </c>
      <c r="Y117">
        <v>92.422560700000005</v>
      </c>
      <c r="Z117">
        <v>203.285</v>
      </c>
      <c r="AA117">
        <v>233.021795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 spans="1:40">
      <c r="A118">
        <v>939.96303667174277</v>
      </c>
      <c r="B118">
        <v>34</v>
      </c>
      <c r="C118">
        <v>15</v>
      </c>
      <c r="D118">
        <v>2.4399626152192386</v>
      </c>
      <c r="E118">
        <v>10</v>
      </c>
      <c r="F118">
        <v>8</v>
      </c>
      <c r="G118">
        <v>0.7885011365537905</v>
      </c>
      <c r="H118">
        <v>19</v>
      </c>
      <c r="I118">
        <v>8</v>
      </c>
      <c r="J118">
        <v>0.3</v>
      </c>
      <c r="K118">
        <v>508592775.10943729</v>
      </c>
      <c r="L118">
        <v>54454300</v>
      </c>
      <c r="M118">
        <v>79710105.916387111</v>
      </c>
      <c r="N118">
        <v>158093000</v>
      </c>
      <c r="O118">
        <v>15890363.76</v>
      </c>
      <c r="P118">
        <v>89.830747400000007</v>
      </c>
      <c r="Q118">
        <v>-1.2494130744671588</v>
      </c>
      <c r="R118">
        <v>43.440474199999997</v>
      </c>
      <c r="S118">
        <v>780.56749500000001</v>
      </c>
      <c r="T118">
        <v>4.2521565599999996E-12</v>
      </c>
      <c r="U118">
        <v>18.857749668055575</v>
      </c>
      <c r="V118">
        <v>100.934</v>
      </c>
      <c r="W118">
        <v>-239.28913144683864</v>
      </c>
      <c r="X118">
        <v>62.805920499999999</v>
      </c>
      <c r="Y118">
        <v>92.801947499999997</v>
      </c>
      <c r="Z118">
        <v>100.934</v>
      </c>
      <c r="AA118">
        <v>231.48630299999999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</row>
    <row r="119" spans="1:40">
      <c r="A119">
        <v>923.33745818312843</v>
      </c>
      <c r="B119">
        <v>39</v>
      </c>
      <c r="C119">
        <v>10</v>
      </c>
      <c r="D119">
        <v>1</v>
      </c>
      <c r="E119">
        <v>26</v>
      </c>
      <c r="F119">
        <v>6</v>
      </c>
      <c r="G119">
        <v>1.2</v>
      </c>
      <c r="H119">
        <v>20</v>
      </c>
      <c r="I119">
        <v>14</v>
      </c>
      <c r="J119">
        <v>0.3</v>
      </c>
      <c r="K119">
        <v>508616870.7905851</v>
      </c>
      <c r="L119">
        <v>54465800</v>
      </c>
      <c r="M119">
        <v>79697933.413687468</v>
      </c>
      <c r="N119">
        <v>154896000</v>
      </c>
      <c r="O119">
        <v>15895021.360000001</v>
      </c>
      <c r="P119">
        <v>96.630756099999999</v>
      </c>
      <c r="Q119">
        <v>-1.0147487709445531</v>
      </c>
      <c r="R119">
        <v>43.597302399999997</v>
      </c>
      <c r="S119">
        <v>781.27159700000004</v>
      </c>
      <c r="T119">
        <v>4.1107312899999997E-11</v>
      </c>
      <c r="U119">
        <v>19.294264991463326</v>
      </c>
      <c r="V119">
        <v>80.72</v>
      </c>
      <c r="W119">
        <v>-138.52452942814193</v>
      </c>
      <c r="X119">
        <v>63.045944400000003</v>
      </c>
      <c r="Y119">
        <v>94.834801600000006</v>
      </c>
      <c r="Z119">
        <v>203.285</v>
      </c>
      <c r="AA119">
        <v>235.967704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>
      <c r="A120">
        <v>937.67966140365161</v>
      </c>
      <c r="B120">
        <v>35</v>
      </c>
      <c r="C120">
        <v>11</v>
      </c>
      <c r="D120">
        <v>1</v>
      </c>
      <c r="E120">
        <v>18</v>
      </c>
      <c r="F120">
        <v>6</v>
      </c>
      <c r="G120">
        <v>1.2</v>
      </c>
      <c r="H120">
        <v>28</v>
      </c>
      <c r="I120">
        <v>14</v>
      </c>
      <c r="J120">
        <v>0.3</v>
      </c>
      <c r="K120">
        <v>508739666.67784137</v>
      </c>
      <c r="L120">
        <v>54480200</v>
      </c>
      <c r="M120">
        <v>79711313.726651728</v>
      </c>
      <c r="N120">
        <v>155409000</v>
      </c>
      <c r="O120">
        <v>15889311.92</v>
      </c>
      <c r="P120">
        <v>97.141686399999998</v>
      </c>
      <c r="Q120">
        <v>-1.0312109487485812</v>
      </c>
      <c r="R120">
        <v>43.598358699999999</v>
      </c>
      <c r="S120">
        <v>780.93946700000004</v>
      </c>
      <c r="T120">
        <v>4.7232142199999997E-11</v>
      </c>
      <c r="U120">
        <v>19.394310355032953</v>
      </c>
      <c r="V120">
        <v>80.72</v>
      </c>
      <c r="W120">
        <v>-142.17759806649812</v>
      </c>
      <c r="X120">
        <v>63.019287900000002</v>
      </c>
      <c r="Y120">
        <v>94.813992999999996</v>
      </c>
      <c r="Z120">
        <v>180.98100000000002</v>
      </c>
      <c r="AA120">
        <v>235.15914000000001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>
      <c r="A121">
        <v>946.90978296486583</v>
      </c>
      <c r="B121">
        <v>32</v>
      </c>
      <c r="C121">
        <v>19</v>
      </c>
      <c r="D121">
        <v>9.8144431072109146</v>
      </c>
      <c r="E121">
        <v>19</v>
      </c>
      <c r="F121">
        <v>5</v>
      </c>
      <c r="G121">
        <v>0.88334222594083411</v>
      </c>
      <c r="H121">
        <v>15</v>
      </c>
      <c r="I121">
        <v>13</v>
      </c>
      <c r="J121">
        <v>1.1531315644795372</v>
      </c>
      <c r="K121">
        <v>509151193.28192824</v>
      </c>
      <c r="L121">
        <v>54480200</v>
      </c>
      <c r="M121">
        <v>79711288.713137552</v>
      </c>
      <c r="N121">
        <v>155409000</v>
      </c>
      <c r="O121">
        <v>15898995.199999999</v>
      </c>
      <c r="P121">
        <v>95.891630899999996</v>
      </c>
      <c r="Q121">
        <v>-1.0417405848073771</v>
      </c>
      <c r="R121">
        <v>43.6451858</v>
      </c>
      <c r="S121">
        <v>779.97917400000006</v>
      </c>
      <c r="T121">
        <v>7.6128467500000002E-10</v>
      </c>
      <c r="U121">
        <v>19.372646901948841</v>
      </c>
      <c r="V121">
        <v>100.934</v>
      </c>
      <c r="W121">
        <v>-238.60233014637731</v>
      </c>
      <c r="X121">
        <v>62.835207099999998</v>
      </c>
      <c r="Y121">
        <v>92.356644299999999</v>
      </c>
      <c r="Z121">
        <v>180.98100000000002</v>
      </c>
      <c r="AA121">
        <v>233.970877</v>
      </c>
      <c r="AB121">
        <v>100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>
      <c r="A122">
        <v>945.71660412841936</v>
      </c>
      <c r="B122">
        <v>37</v>
      </c>
      <c r="C122">
        <v>18</v>
      </c>
      <c r="D122">
        <v>5.5087282033593397</v>
      </c>
      <c r="E122">
        <v>26</v>
      </c>
      <c r="F122">
        <v>6</v>
      </c>
      <c r="G122">
        <v>1.0948395748174726</v>
      </c>
      <c r="H122">
        <v>22</v>
      </c>
      <c r="I122">
        <v>8</v>
      </c>
      <c r="J122">
        <v>1.1769418213841181</v>
      </c>
      <c r="K122">
        <v>510097446.51482368</v>
      </c>
      <c r="L122">
        <v>54509800</v>
      </c>
      <c r="M122">
        <v>79714792.524691314</v>
      </c>
      <c r="N122">
        <v>157653000</v>
      </c>
      <c r="O122">
        <v>15894190.16</v>
      </c>
      <c r="P122">
        <v>95.4563986</v>
      </c>
      <c r="Q122">
        <v>-1.1421649279446275</v>
      </c>
      <c r="R122">
        <v>43.642152099999997</v>
      </c>
      <c r="S122">
        <v>780.44060000000002</v>
      </c>
      <c r="T122">
        <v>5.48357886E-11</v>
      </c>
      <c r="U122">
        <v>19.276345210321765</v>
      </c>
      <c r="V122">
        <v>100.934</v>
      </c>
      <c r="W122">
        <v>-238.33532327015601</v>
      </c>
      <c r="X122">
        <v>62.813446999999996</v>
      </c>
      <c r="Y122">
        <v>92.377198399999997</v>
      </c>
      <c r="Z122">
        <v>203.285</v>
      </c>
      <c r="AA122">
        <v>231.302583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 spans="1:40">
      <c r="A123">
        <v>944.04081108644925</v>
      </c>
      <c r="B123">
        <v>37</v>
      </c>
      <c r="C123">
        <v>17</v>
      </c>
      <c r="D123">
        <v>7.2650213693106984</v>
      </c>
      <c r="E123">
        <v>21</v>
      </c>
      <c r="F123">
        <v>10</v>
      </c>
      <c r="G123">
        <v>1.2</v>
      </c>
      <c r="H123">
        <v>25</v>
      </c>
      <c r="I123">
        <v>10</v>
      </c>
      <c r="J123">
        <v>1.4</v>
      </c>
      <c r="K123">
        <v>510303944.90222496</v>
      </c>
      <c r="L123">
        <v>54507400</v>
      </c>
      <c r="M123">
        <v>79712595.387722269</v>
      </c>
      <c r="N123">
        <v>157543000</v>
      </c>
      <c r="O123">
        <v>15894150.24</v>
      </c>
      <c r="P123">
        <v>95.207322899999994</v>
      </c>
      <c r="Q123">
        <v>-1.1386916656133403</v>
      </c>
      <c r="R123">
        <v>43.6371933</v>
      </c>
      <c r="S123">
        <v>780.609328</v>
      </c>
      <c r="T123">
        <v>9.61784078E-15</v>
      </c>
      <c r="U123">
        <v>19.178700147457803</v>
      </c>
      <c r="V123">
        <v>100.934</v>
      </c>
      <c r="W123">
        <v>-238.722360163975</v>
      </c>
      <c r="X123">
        <v>62.815973700000001</v>
      </c>
      <c r="Y123">
        <v>92.282488999999998</v>
      </c>
      <c r="Z123">
        <v>180.98100000000002</v>
      </c>
      <c r="AA123">
        <v>230.76152999999999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</row>
    <row r="124" spans="1:40">
      <c r="A124">
        <v>938.28630957770122</v>
      </c>
      <c r="B124">
        <v>38</v>
      </c>
      <c r="C124">
        <v>18</v>
      </c>
      <c r="D124">
        <v>1</v>
      </c>
      <c r="E124">
        <v>19</v>
      </c>
      <c r="F124">
        <v>6</v>
      </c>
      <c r="G124">
        <v>0.3</v>
      </c>
      <c r="H124">
        <v>23</v>
      </c>
      <c r="I124">
        <v>11</v>
      </c>
      <c r="J124">
        <v>0.40011758013165982</v>
      </c>
      <c r="K124">
        <v>508382564.56679261</v>
      </c>
      <c r="L124">
        <v>54468900</v>
      </c>
      <c r="M124">
        <v>79705405.402372807</v>
      </c>
      <c r="N124">
        <v>155660000</v>
      </c>
      <c r="O124">
        <v>15887819.600000001</v>
      </c>
      <c r="P124">
        <v>97.031970599999994</v>
      </c>
      <c r="Q124">
        <v>-1.0468083056081097</v>
      </c>
      <c r="R124">
        <v>43.598986400000001</v>
      </c>
      <c r="S124">
        <v>780.82560000000001</v>
      </c>
      <c r="T124">
        <v>6.3239119499999997E-10</v>
      </c>
      <c r="U124">
        <v>19.953884682735463</v>
      </c>
      <c r="V124">
        <v>80.72</v>
      </c>
      <c r="W124">
        <v>-147.6232691229192</v>
      </c>
      <c r="X124">
        <v>63.070152899999997</v>
      </c>
      <c r="Y124">
        <v>94.8247918</v>
      </c>
      <c r="Z124">
        <v>177.97</v>
      </c>
      <c r="AA124">
        <v>233.106469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>
      <c r="A125">
        <v>934.9632821236936</v>
      </c>
      <c r="B125">
        <v>36</v>
      </c>
      <c r="C125">
        <v>17</v>
      </c>
      <c r="D125">
        <v>4.8936566270341091</v>
      </c>
      <c r="E125">
        <v>10</v>
      </c>
      <c r="F125">
        <v>8</v>
      </c>
      <c r="G125">
        <v>0.32838025609026217</v>
      </c>
      <c r="H125">
        <v>11</v>
      </c>
      <c r="I125">
        <v>9</v>
      </c>
      <c r="J125">
        <v>0.60647842739628333</v>
      </c>
      <c r="K125">
        <v>508968146.98308671</v>
      </c>
      <c r="L125">
        <v>54432800</v>
      </c>
      <c r="M125">
        <v>79699610.138207301</v>
      </c>
      <c r="N125">
        <v>159241000</v>
      </c>
      <c r="O125">
        <v>15889355.84</v>
      </c>
      <c r="P125">
        <v>85.159414299999995</v>
      </c>
      <c r="Q125">
        <v>-1.3755784897029142</v>
      </c>
      <c r="R125">
        <v>43.350993199999998</v>
      </c>
      <c r="S125">
        <v>781.87759599999993</v>
      </c>
      <c r="T125">
        <v>5.6691593400000002E-11</v>
      </c>
      <c r="U125">
        <v>18.927987614565239</v>
      </c>
      <c r="V125">
        <v>100.934</v>
      </c>
      <c r="W125">
        <v>-243.53931938412799</v>
      </c>
      <c r="X125">
        <v>62.952503299999996</v>
      </c>
      <c r="Y125">
        <v>92.511330099999995</v>
      </c>
      <c r="Z125">
        <v>100.934</v>
      </c>
      <c r="AA125">
        <v>229.94127399999999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</row>
    <row r="126" spans="1:40">
      <c r="A126">
        <v>941.89072271136911</v>
      </c>
      <c r="B126">
        <v>39</v>
      </c>
      <c r="C126">
        <v>10</v>
      </c>
      <c r="D126">
        <v>8.8057908409466457</v>
      </c>
      <c r="E126">
        <v>11</v>
      </c>
      <c r="F126">
        <v>9</v>
      </c>
      <c r="G126">
        <v>0.3</v>
      </c>
      <c r="H126">
        <v>16</v>
      </c>
      <c r="I126">
        <v>8</v>
      </c>
      <c r="J126">
        <v>1.369549199710105</v>
      </c>
      <c r="K126">
        <v>510260076.04532242</v>
      </c>
      <c r="L126">
        <v>54483700</v>
      </c>
      <c r="M126">
        <v>79708298.364567742</v>
      </c>
      <c r="N126">
        <v>158792000</v>
      </c>
      <c r="O126">
        <v>15893757.120000001</v>
      </c>
      <c r="P126">
        <v>85.085624199999998</v>
      </c>
      <c r="Q126">
        <v>-1.3405284153264032</v>
      </c>
      <c r="R126">
        <v>43.336274099999997</v>
      </c>
      <c r="S126">
        <v>782.47507400000006</v>
      </c>
      <c r="T126">
        <v>1.5981309999999999E-11</v>
      </c>
      <c r="U126">
        <v>19.064055319532734</v>
      </c>
      <c r="V126">
        <v>100.934</v>
      </c>
      <c r="W126">
        <v>-240.99024400487508</v>
      </c>
      <c r="X126">
        <v>62.825754000000003</v>
      </c>
      <c r="Y126">
        <v>92.211687999999995</v>
      </c>
      <c r="Z126">
        <v>100.934</v>
      </c>
      <c r="AA126">
        <v>226.79992300000001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>
      <c r="A127">
        <v>934.93785031808693</v>
      </c>
      <c r="B127">
        <v>28</v>
      </c>
      <c r="C127">
        <v>13</v>
      </c>
      <c r="D127">
        <v>8.7655621134062844</v>
      </c>
      <c r="E127">
        <v>10</v>
      </c>
      <c r="F127">
        <v>8</v>
      </c>
      <c r="G127">
        <v>0.3</v>
      </c>
      <c r="H127">
        <v>12</v>
      </c>
      <c r="I127">
        <v>9</v>
      </c>
      <c r="J127">
        <v>0.71810094704506178</v>
      </c>
      <c r="K127">
        <v>509526939.24150419</v>
      </c>
      <c r="L127">
        <v>54446500</v>
      </c>
      <c r="M127">
        <v>79699510.088695928</v>
      </c>
      <c r="N127">
        <v>158926000</v>
      </c>
      <c r="O127">
        <v>15890954.799999999</v>
      </c>
      <c r="P127">
        <v>84.783573099999998</v>
      </c>
      <c r="Q127">
        <v>-1.3600880636011723</v>
      </c>
      <c r="R127">
        <v>43.340298500000003</v>
      </c>
      <c r="S127">
        <v>782.29000400000007</v>
      </c>
      <c r="T127">
        <v>8.23820919E-11</v>
      </c>
      <c r="U127">
        <v>19.016592449434469</v>
      </c>
      <c r="V127">
        <v>100.934</v>
      </c>
      <c r="W127">
        <v>-242.85273306790512</v>
      </c>
      <c r="X127">
        <v>62.9099547</v>
      </c>
      <c r="Y127">
        <v>92.499966900000004</v>
      </c>
      <c r="Z127">
        <v>100.934</v>
      </c>
      <c r="AA127">
        <v>227.99359899999999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2414-8464-445F-8338-AD3C9DE4410D}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B0D4-5D93-4963-BF1D-711EFF60213D}">
  <dimension ref="A1:U87"/>
  <sheetViews>
    <sheetView topLeftCell="A64" workbookViewId="0">
      <selection activeCell="B86" sqref="B86"/>
    </sheetView>
  </sheetViews>
  <sheetFormatPr defaultRowHeight="16.5"/>
  <cols>
    <col min="1" max="1" width="24.75" bestFit="1" customWidth="1"/>
    <col min="13" max="13" width="24.75" bestFit="1" customWidth="1"/>
    <col min="15" max="15" width="15.625" bestFit="1" customWidth="1"/>
  </cols>
  <sheetData>
    <row r="1" spans="1:21" ht="33">
      <c r="A1" s="16" t="s">
        <v>101</v>
      </c>
      <c r="B1" s="16" t="s">
        <v>102</v>
      </c>
      <c r="C1" s="16" t="s">
        <v>103</v>
      </c>
      <c r="D1" s="16" t="s">
        <v>104</v>
      </c>
      <c r="E1" s="16" t="s">
        <v>105</v>
      </c>
      <c r="F1" s="16" t="s">
        <v>106</v>
      </c>
      <c r="G1" s="16" t="s">
        <v>107</v>
      </c>
      <c r="H1" s="16" t="s">
        <v>108</v>
      </c>
      <c r="I1" s="16" t="s">
        <v>109</v>
      </c>
      <c r="M1" s="6" t="s">
        <v>101</v>
      </c>
      <c r="N1" s="6" t="s">
        <v>102</v>
      </c>
      <c r="O1" s="6" t="s">
        <v>103</v>
      </c>
      <c r="P1" s="6" t="s">
        <v>104</v>
      </c>
      <c r="Q1" s="6" t="s">
        <v>105</v>
      </c>
      <c r="R1" s="6" t="s">
        <v>106</v>
      </c>
      <c r="S1" s="6" t="s">
        <v>107</v>
      </c>
      <c r="T1" s="6" t="s">
        <v>108</v>
      </c>
      <c r="U1" s="6" t="s">
        <v>109</v>
      </c>
    </row>
    <row r="2" spans="1:21">
      <c r="A2" s="17" t="s">
        <v>179</v>
      </c>
      <c r="B2" s="17">
        <v>1</v>
      </c>
      <c r="C2" s="17"/>
      <c r="D2" s="17"/>
      <c r="E2" s="17" t="s">
        <v>180</v>
      </c>
      <c r="F2" s="17" t="s">
        <v>181</v>
      </c>
      <c r="G2" s="17"/>
      <c r="H2" s="17"/>
      <c r="I2" s="17"/>
      <c r="L2" s="26" t="s">
        <v>186</v>
      </c>
      <c r="M2" t="s">
        <v>293</v>
      </c>
      <c r="N2">
        <v>43.599905499999998</v>
      </c>
      <c r="O2" t="s">
        <v>394</v>
      </c>
      <c r="P2" t="s">
        <v>393</v>
      </c>
      <c r="Q2" t="s">
        <v>294</v>
      </c>
      <c r="R2" t="s">
        <v>296</v>
      </c>
      <c r="S2" t="s">
        <v>112</v>
      </c>
      <c r="T2" t="s">
        <v>113</v>
      </c>
      <c r="U2" t="s">
        <v>114</v>
      </c>
    </row>
    <row r="3" spans="1:21">
      <c r="A3" s="17" t="s">
        <v>182</v>
      </c>
      <c r="B3" s="17">
        <v>1</v>
      </c>
      <c r="C3" s="17"/>
      <c r="D3" s="17"/>
      <c r="E3" s="17" t="s">
        <v>183</v>
      </c>
      <c r="F3" s="17" t="s">
        <v>181</v>
      </c>
      <c r="G3" s="17"/>
      <c r="H3" s="17"/>
      <c r="I3" s="17"/>
      <c r="L3" s="26" t="s">
        <v>187</v>
      </c>
      <c r="M3" t="s">
        <v>293</v>
      </c>
      <c r="N3">
        <v>0.78018144599999995</v>
      </c>
      <c r="P3" t="s">
        <v>393</v>
      </c>
      <c r="Q3" t="s">
        <v>294</v>
      </c>
      <c r="R3" t="s">
        <v>297</v>
      </c>
      <c r="S3" t="s">
        <v>112</v>
      </c>
      <c r="T3" t="s">
        <v>113</v>
      </c>
      <c r="U3" t="s">
        <v>114</v>
      </c>
    </row>
    <row r="4" spans="1:21">
      <c r="L4" s="26" t="s">
        <v>188</v>
      </c>
      <c r="M4" t="s">
        <v>293</v>
      </c>
      <c r="N4">
        <v>2.4231448900000001E-15</v>
      </c>
      <c r="P4" t="s">
        <v>393</v>
      </c>
      <c r="Q4" t="s">
        <v>294</v>
      </c>
      <c r="R4" t="s">
        <v>298</v>
      </c>
      <c r="S4" t="s">
        <v>112</v>
      </c>
      <c r="T4" t="s">
        <v>113</v>
      </c>
      <c r="U4" t="s">
        <v>114</v>
      </c>
    </row>
    <row r="5" spans="1:21">
      <c r="L5" s="26" t="s">
        <v>189</v>
      </c>
      <c r="N5">
        <f>SUM(B22:B30)*100</f>
        <v>19.126645115487882</v>
      </c>
      <c r="O5" t="s">
        <v>192</v>
      </c>
    </row>
    <row r="6" spans="1:21" ht="33">
      <c r="A6" s="6" t="s">
        <v>101</v>
      </c>
      <c r="B6" s="6" t="s">
        <v>102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L6" s="26" t="s">
        <v>190</v>
      </c>
      <c r="N6">
        <f>(FrzPt!L84-32)*5/9</f>
        <v>100.934</v>
      </c>
      <c r="O6" t="s">
        <v>193</v>
      </c>
    </row>
    <row r="7" spans="1:21">
      <c r="A7" t="s">
        <v>157</v>
      </c>
      <c r="B7">
        <v>938.64219477055997</v>
      </c>
      <c r="D7" t="s">
        <v>158</v>
      </c>
      <c r="E7" t="s">
        <v>159</v>
      </c>
      <c r="H7" t="s">
        <v>160</v>
      </c>
      <c r="I7" t="s">
        <v>161</v>
      </c>
      <c r="J7" s="18">
        <v>930</v>
      </c>
      <c r="L7" s="26" t="s">
        <v>191</v>
      </c>
      <c r="N7">
        <f>FrzPt!S87</f>
        <v>-237.33675636001851</v>
      </c>
      <c r="O7" t="s">
        <v>193</v>
      </c>
    </row>
    <row r="8" spans="1:21">
      <c r="A8" t="s">
        <v>162</v>
      </c>
      <c r="B8">
        <v>30</v>
      </c>
      <c r="D8" t="s">
        <v>158</v>
      </c>
      <c r="E8" t="s">
        <v>163</v>
      </c>
      <c r="H8" t="s">
        <v>164</v>
      </c>
      <c r="I8" t="s">
        <v>165</v>
      </c>
      <c r="J8" s="18">
        <v>30</v>
      </c>
      <c r="L8" s="26" t="s">
        <v>352</v>
      </c>
      <c r="N8">
        <f>DiesFlash!P2</f>
        <v>62.830337800000002</v>
      </c>
      <c r="O8" t="s">
        <v>356</v>
      </c>
    </row>
    <row r="9" spans="1:21">
      <c r="A9" t="s">
        <v>166</v>
      </c>
      <c r="B9">
        <v>10</v>
      </c>
      <c r="D9" t="s">
        <v>158</v>
      </c>
      <c r="E9" t="s">
        <v>167</v>
      </c>
      <c r="F9" t="s">
        <v>168</v>
      </c>
      <c r="H9" t="s">
        <v>164</v>
      </c>
      <c r="I9" t="s">
        <v>165</v>
      </c>
      <c r="J9" s="18">
        <v>15</v>
      </c>
      <c r="L9" s="26" t="s">
        <v>353</v>
      </c>
      <c r="N9">
        <f>DiesFlash!P3</f>
        <v>92.644659500000003</v>
      </c>
      <c r="O9" t="s">
        <v>356</v>
      </c>
    </row>
    <row r="10" spans="1:21">
      <c r="A10" t="s">
        <v>169</v>
      </c>
      <c r="B10">
        <v>4.1453563173000001</v>
      </c>
      <c r="D10" t="s">
        <v>158</v>
      </c>
      <c r="E10" t="s">
        <v>170</v>
      </c>
      <c r="H10" t="s">
        <v>164</v>
      </c>
      <c r="I10" t="s">
        <v>165</v>
      </c>
      <c r="J10" s="18">
        <v>2.95</v>
      </c>
      <c r="L10" s="26" t="s">
        <v>354</v>
      </c>
      <c r="N10">
        <f>(DiesFlash!L84-32)*5/9</f>
        <v>144.29</v>
      </c>
      <c r="O10" t="s">
        <v>356</v>
      </c>
    </row>
    <row r="11" spans="1:21">
      <c r="A11" t="s">
        <v>171</v>
      </c>
      <c r="B11">
        <v>16</v>
      </c>
      <c r="D11" t="s">
        <v>158</v>
      </c>
      <c r="E11" t="s">
        <v>163</v>
      </c>
      <c r="H11" t="s">
        <v>172</v>
      </c>
      <c r="I11" t="s">
        <v>165</v>
      </c>
      <c r="J11" s="18">
        <v>20</v>
      </c>
      <c r="L11" s="26" t="s">
        <v>355</v>
      </c>
      <c r="N11">
        <f>DiesFlash!P4</f>
        <v>231.703349</v>
      </c>
      <c r="O11" t="s">
        <v>356</v>
      </c>
    </row>
    <row r="12" spans="1:21">
      <c r="A12" t="s">
        <v>173</v>
      </c>
      <c r="B12">
        <v>11</v>
      </c>
      <c r="D12" t="s">
        <v>158</v>
      </c>
      <c r="E12" t="s">
        <v>167</v>
      </c>
      <c r="F12">
        <v>322</v>
      </c>
      <c r="H12" t="s">
        <v>172</v>
      </c>
      <c r="I12" t="s">
        <v>165</v>
      </c>
      <c r="J12" s="18">
        <v>10</v>
      </c>
    </row>
    <row r="13" spans="1:21">
      <c r="A13" t="s">
        <v>174</v>
      </c>
      <c r="B13">
        <v>1.0975169241</v>
      </c>
      <c r="D13" t="s">
        <v>158</v>
      </c>
      <c r="E13" t="s">
        <v>170</v>
      </c>
      <c r="H13" t="s">
        <v>172</v>
      </c>
      <c r="I13" t="s">
        <v>165</v>
      </c>
      <c r="J13" s="18">
        <v>0.56747700000000001</v>
      </c>
    </row>
    <row r="14" spans="1:21">
      <c r="A14" t="s">
        <v>175</v>
      </c>
      <c r="B14">
        <v>18</v>
      </c>
      <c r="D14" t="s">
        <v>158</v>
      </c>
      <c r="E14" t="s">
        <v>163</v>
      </c>
      <c r="H14" t="s">
        <v>176</v>
      </c>
      <c r="I14" t="s">
        <v>165</v>
      </c>
      <c r="J14" s="18">
        <v>20</v>
      </c>
    </row>
    <row r="15" spans="1:21">
      <c r="A15" t="s">
        <v>177</v>
      </c>
      <c r="B15">
        <v>7</v>
      </c>
      <c r="D15" t="s">
        <v>158</v>
      </c>
      <c r="E15" t="s">
        <v>167</v>
      </c>
      <c r="F15">
        <v>330</v>
      </c>
      <c r="H15" t="s">
        <v>176</v>
      </c>
      <c r="I15" t="s">
        <v>165</v>
      </c>
      <c r="J15" s="18">
        <v>12</v>
      </c>
    </row>
    <row r="16" spans="1:21">
      <c r="A16" t="s">
        <v>178</v>
      </c>
      <c r="B16">
        <v>0.75389198943000002</v>
      </c>
      <c r="D16" t="s">
        <v>158</v>
      </c>
      <c r="E16" t="s">
        <v>170</v>
      </c>
      <c r="H16" t="s">
        <v>176</v>
      </c>
      <c r="I16" t="s">
        <v>165</v>
      </c>
      <c r="J16" s="18">
        <v>1.4</v>
      </c>
    </row>
    <row r="21" spans="1:15" ht="33">
      <c r="A21" s="6" t="s">
        <v>101</v>
      </c>
      <c r="B21" s="6" t="s">
        <v>102</v>
      </c>
      <c r="C21" s="6" t="s">
        <v>103</v>
      </c>
      <c r="D21" s="6" t="s">
        <v>104</v>
      </c>
      <c r="E21" s="6" t="s">
        <v>105</v>
      </c>
      <c r="F21" s="6" t="s">
        <v>106</v>
      </c>
      <c r="G21" s="6" t="s">
        <v>107</v>
      </c>
      <c r="H21" s="6" t="s">
        <v>108</v>
      </c>
      <c r="I21" s="6" t="s">
        <v>109</v>
      </c>
    </row>
    <row r="22" spans="1:15">
      <c r="A22" t="s">
        <v>293</v>
      </c>
      <c r="B22">
        <v>0.15751895199999999</v>
      </c>
      <c r="D22" t="s">
        <v>393</v>
      </c>
      <c r="E22" t="s">
        <v>294</v>
      </c>
      <c r="F22" t="s">
        <v>295</v>
      </c>
      <c r="G22" t="s">
        <v>112</v>
      </c>
      <c r="H22" t="s">
        <v>113</v>
      </c>
      <c r="I22" t="s">
        <v>114</v>
      </c>
    </row>
    <row r="23" spans="1:15">
      <c r="A23" t="s">
        <v>293</v>
      </c>
      <c r="B23">
        <v>0</v>
      </c>
      <c r="D23" t="s">
        <v>393</v>
      </c>
      <c r="E23" t="s">
        <v>294</v>
      </c>
      <c r="F23" t="s">
        <v>295</v>
      </c>
      <c r="G23" t="s">
        <v>112</v>
      </c>
      <c r="H23" t="s">
        <v>113</v>
      </c>
      <c r="I23" t="s">
        <v>114</v>
      </c>
      <c r="M23" s="8" t="s">
        <v>21</v>
      </c>
      <c r="N23" s="8"/>
    </row>
    <row r="24" spans="1:15">
      <c r="A24" t="s">
        <v>293</v>
      </c>
      <c r="B24">
        <v>3.2720366700000003E-2</v>
      </c>
      <c r="D24" t="s">
        <v>393</v>
      </c>
      <c r="E24" t="s">
        <v>294</v>
      </c>
      <c r="F24" t="s">
        <v>295</v>
      </c>
      <c r="G24" t="s">
        <v>112</v>
      </c>
      <c r="H24" t="s">
        <v>113</v>
      </c>
      <c r="I24" t="s">
        <v>114</v>
      </c>
      <c r="M24" s="1" t="s">
        <v>1</v>
      </c>
      <c r="N24" s="8" t="s">
        <v>22</v>
      </c>
      <c r="O24" s="19">
        <f>Cost!D4</f>
        <v>166320404.12527263</v>
      </c>
    </row>
    <row r="25" spans="1:15">
      <c r="A25" t="s">
        <v>293</v>
      </c>
      <c r="B25">
        <v>3.08366453E-5</v>
      </c>
      <c r="D25" t="s">
        <v>393</v>
      </c>
      <c r="E25" t="s">
        <v>294</v>
      </c>
      <c r="F25" t="s">
        <v>295</v>
      </c>
      <c r="G25" t="s">
        <v>112</v>
      </c>
      <c r="H25" t="s">
        <v>113</v>
      </c>
      <c r="I25" t="s">
        <v>114</v>
      </c>
      <c r="M25" s="2" t="s">
        <v>2</v>
      </c>
      <c r="N25" s="8" t="s">
        <v>23</v>
      </c>
      <c r="O25" s="19">
        <f>Cost!D5</f>
        <v>0</v>
      </c>
    </row>
    <row r="26" spans="1:15">
      <c r="A26" t="s">
        <v>293</v>
      </c>
      <c r="B26">
        <v>4.5012857699999999E-7</v>
      </c>
      <c r="D26" t="s">
        <v>393</v>
      </c>
      <c r="E26" t="s">
        <v>294</v>
      </c>
      <c r="F26" t="s">
        <v>295</v>
      </c>
      <c r="G26" t="s">
        <v>112</v>
      </c>
      <c r="H26" t="s">
        <v>113</v>
      </c>
      <c r="I26" t="s">
        <v>114</v>
      </c>
      <c r="M26" s="3" t="s">
        <v>3</v>
      </c>
      <c r="N26" s="8" t="s">
        <v>23</v>
      </c>
      <c r="O26" s="19">
        <f>Cost!D6</f>
        <v>34004.597248066289</v>
      </c>
    </row>
    <row r="27" spans="1:15">
      <c r="A27" t="s">
        <v>293</v>
      </c>
      <c r="B27">
        <v>1.20717394E-16</v>
      </c>
      <c r="D27" t="s">
        <v>393</v>
      </c>
      <c r="E27" t="s">
        <v>294</v>
      </c>
      <c r="F27" t="s">
        <v>295</v>
      </c>
      <c r="G27" t="s">
        <v>112</v>
      </c>
      <c r="H27" t="s">
        <v>113</v>
      </c>
      <c r="I27" t="s">
        <v>114</v>
      </c>
      <c r="M27" s="4" t="s">
        <v>4</v>
      </c>
      <c r="N27" s="8" t="s">
        <v>23</v>
      </c>
      <c r="O27" s="19">
        <f>Cost!D7</f>
        <v>0</v>
      </c>
    </row>
    <row r="28" spans="1:15">
      <c r="A28" t="s">
        <v>293</v>
      </c>
      <c r="B28">
        <v>9.9584568100000007E-4</v>
      </c>
      <c r="D28" t="s">
        <v>393</v>
      </c>
      <c r="E28" t="s">
        <v>294</v>
      </c>
      <c r="F28" t="s">
        <v>295</v>
      </c>
      <c r="G28" t="s">
        <v>112</v>
      </c>
      <c r="H28" t="s">
        <v>113</v>
      </c>
      <c r="I28" t="s">
        <v>114</v>
      </c>
      <c r="M28" s="3" t="s">
        <v>5</v>
      </c>
      <c r="N28" s="8" t="s">
        <v>23</v>
      </c>
      <c r="O28" s="19">
        <f>Cost!D8</f>
        <v>15889637.76</v>
      </c>
    </row>
    <row r="29" spans="1:15">
      <c r="A29" t="s">
        <v>293</v>
      </c>
      <c r="B29">
        <v>1.72373372E-15</v>
      </c>
      <c r="D29" t="s">
        <v>393</v>
      </c>
      <c r="E29" t="s">
        <v>294</v>
      </c>
      <c r="F29" t="s">
        <v>295</v>
      </c>
      <c r="G29" t="s">
        <v>112</v>
      </c>
      <c r="H29" t="s">
        <v>113</v>
      </c>
      <c r="I29" t="s">
        <v>114</v>
      </c>
      <c r="M29" s="8" t="s">
        <v>377</v>
      </c>
      <c r="N29" s="8" t="s">
        <v>378</v>
      </c>
      <c r="O29">
        <f>B83</f>
        <v>211.62373400000001</v>
      </c>
    </row>
    <row r="30" spans="1:15">
      <c r="A30" t="s">
        <v>293</v>
      </c>
      <c r="B30">
        <v>8.2695917699999996E-20</v>
      </c>
      <c r="D30" t="s">
        <v>393</v>
      </c>
      <c r="E30" t="s">
        <v>294</v>
      </c>
      <c r="F30" t="s">
        <v>295</v>
      </c>
      <c r="G30" t="s">
        <v>112</v>
      </c>
      <c r="H30" t="s">
        <v>113</v>
      </c>
      <c r="I30" t="s">
        <v>114</v>
      </c>
    </row>
    <row r="34" spans="1:10" ht="33">
      <c r="A34" s="11" t="s">
        <v>101</v>
      </c>
      <c r="B34" s="11" t="s">
        <v>102</v>
      </c>
      <c r="C34" s="11" t="s">
        <v>103</v>
      </c>
      <c r="D34" s="11" t="s">
        <v>104</v>
      </c>
      <c r="E34" s="11" t="s">
        <v>105</v>
      </c>
      <c r="F34" s="11" t="s">
        <v>106</v>
      </c>
      <c r="G34" s="11" t="s">
        <v>107</v>
      </c>
      <c r="H34" s="11" t="s">
        <v>108</v>
      </c>
      <c r="I34" s="11" t="s">
        <v>109</v>
      </c>
    </row>
    <row r="35" spans="1:10">
      <c r="A35" s="12" t="s">
        <v>125</v>
      </c>
      <c r="B35" s="12">
        <v>1986.20472</v>
      </c>
      <c r="C35" s="12" t="s">
        <v>392</v>
      </c>
      <c r="D35" s="12" t="s">
        <v>393</v>
      </c>
      <c r="E35" s="12" t="s">
        <v>126</v>
      </c>
      <c r="F35" s="12"/>
      <c r="G35" s="12"/>
      <c r="H35" s="12" t="s">
        <v>127</v>
      </c>
      <c r="I35" s="12" t="s">
        <v>128</v>
      </c>
    </row>
    <row r="36" spans="1:10">
      <c r="A36" s="12" t="s">
        <v>110</v>
      </c>
      <c r="B36" s="12">
        <v>226.53825699999999</v>
      </c>
      <c r="C36" s="12" t="s">
        <v>378</v>
      </c>
      <c r="D36" s="12" t="s">
        <v>393</v>
      </c>
      <c r="E36" s="12" t="s">
        <v>111</v>
      </c>
      <c r="F36" s="12" t="s">
        <v>112</v>
      </c>
      <c r="G36" s="12"/>
      <c r="H36" s="12" t="s">
        <v>113</v>
      </c>
      <c r="I36" s="12" t="s">
        <v>114</v>
      </c>
    </row>
    <row r="37" spans="1:10">
      <c r="A37" s="12" t="s">
        <v>115</v>
      </c>
      <c r="B37" s="12">
        <v>6654.7636400000001</v>
      </c>
      <c r="C37" s="12" t="s">
        <v>395</v>
      </c>
      <c r="D37" s="12" t="s">
        <v>393</v>
      </c>
      <c r="E37" s="12" t="s">
        <v>116</v>
      </c>
      <c r="F37" s="12" t="s">
        <v>112</v>
      </c>
      <c r="G37" s="12"/>
      <c r="H37" s="12">
        <v>510</v>
      </c>
      <c r="I37" s="12" t="s">
        <v>114</v>
      </c>
    </row>
    <row r="38" spans="1:10">
      <c r="A38" s="12" t="s">
        <v>117</v>
      </c>
      <c r="B38" s="12">
        <v>829.00636499999996</v>
      </c>
      <c r="C38" s="12" t="s">
        <v>378</v>
      </c>
      <c r="D38" s="12" t="s">
        <v>393</v>
      </c>
      <c r="E38" s="12" t="s">
        <v>118</v>
      </c>
      <c r="F38" s="12" t="s">
        <v>112</v>
      </c>
      <c r="G38" s="12"/>
      <c r="H38" s="12">
        <v>200</v>
      </c>
      <c r="I38" s="12" t="s">
        <v>114</v>
      </c>
    </row>
    <row r="39" spans="1:10">
      <c r="A39" s="12" t="s">
        <v>119</v>
      </c>
      <c r="B39" s="12">
        <v>165519.715</v>
      </c>
      <c r="C39" s="12" t="s">
        <v>378</v>
      </c>
      <c r="D39" s="12" t="s">
        <v>393</v>
      </c>
      <c r="E39" s="12" t="s">
        <v>111</v>
      </c>
      <c r="F39" s="12" t="s">
        <v>112</v>
      </c>
      <c r="G39" s="12"/>
      <c r="H39" s="12">
        <v>404</v>
      </c>
      <c r="I39" s="12" t="s">
        <v>114</v>
      </c>
    </row>
    <row r="40" spans="1:10">
      <c r="A40" s="12" t="s">
        <v>120</v>
      </c>
      <c r="B40" s="12">
        <v>446452.16800000001</v>
      </c>
      <c r="C40" s="12" t="s">
        <v>395</v>
      </c>
      <c r="D40" s="12" t="s">
        <v>393</v>
      </c>
      <c r="E40" s="12" t="s">
        <v>116</v>
      </c>
      <c r="F40" s="12" t="s">
        <v>112</v>
      </c>
      <c r="G40" s="12"/>
      <c r="H40" s="12" t="s">
        <v>121</v>
      </c>
      <c r="I40" s="12" t="s">
        <v>114</v>
      </c>
    </row>
    <row r="41" spans="1:10">
      <c r="A41" s="12" t="s">
        <v>122</v>
      </c>
      <c r="B41" s="12">
        <v>9236.3253199999999</v>
      </c>
      <c r="C41" s="12" t="s">
        <v>378</v>
      </c>
      <c r="D41" s="12" t="s">
        <v>393</v>
      </c>
      <c r="E41" s="12" t="s">
        <v>111</v>
      </c>
      <c r="F41" s="12" t="s">
        <v>112</v>
      </c>
      <c r="G41" s="12"/>
      <c r="H41" s="12">
        <v>255</v>
      </c>
      <c r="I41" s="12" t="s">
        <v>114</v>
      </c>
    </row>
    <row r="42" spans="1:10">
      <c r="A42" s="12" t="s">
        <v>123</v>
      </c>
      <c r="B42" s="12">
        <v>8512.4489799999992</v>
      </c>
      <c r="C42" s="12" t="s">
        <v>378</v>
      </c>
      <c r="D42" s="12" t="s">
        <v>393</v>
      </c>
      <c r="E42" s="12" t="s">
        <v>111</v>
      </c>
      <c r="F42" s="12" t="s">
        <v>112</v>
      </c>
      <c r="G42" s="12"/>
      <c r="H42" s="12">
        <v>210</v>
      </c>
      <c r="I42" s="12" t="s">
        <v>114</v>
      </c>
    </row>
    <row r="43" spans="1:10">
      <c r="A43" s="12" t="s">
        <v>124</v>
      </c>
      <c r="B43" s="12">
        <v>42495.300999999999</v>
      </c>
      <c r="C43" s="12" t="s">
        <v>378</v>
      </c>
      <c r="D43" s="12" t="s">
        <v>393</v>
      </c>
      <c r="E43" s="12" t="s">
        <v>111</v>
      </c>
      <c r="F43" s="12" t="s">
        <v>112</v>
      </c>
      <c r="G43" s="12"/>
      <c r="H43" s="12">
        <v>272</v>
      </c>
      <c r="I43" s="12" t="s">
        <v>114</v>
      </c>
    </row>
    <row r="45" spans="1:10">
      <c r="A45" t="s">
        <v>314</v>
      </c>
    </row>
    <row r="46" spans="1:10" ht="33">
      <c r="A46" s="25" t="s">
        <v>11</v>
      </c>
      <c r="B46" s="25" t="s">
        <v>12</v>
      </c>
      <c r="C46" s="25" t="s">
        <v>13</v>
      </c>
      <c r="D46" s="25" t="s">
        <v>14</v>
      </c>
      <c r="E46" s="25" t="s">
        <v>15</v>
      </c>
      <c r="F46" s="25" t="s">
        <v>16</v>
      </c>
      <c r="G46" s="25" t="s">
        <v>17</v>
      </c>
      <c r="H46" s="25" t="s">
        <v>18</v>
      </c>
      <c r="I46" s="25" t="s">
        <v>19</v>
      </c>
    </row>
    <row r="47" spans="1:10">
      <c r="A47" t="s">
        <v>299</v>
      </c>
      <c r="B47">
        <v>4.1453234999999998E-2</v>
      </c>
      <c r="D47" t="s">
        <v>20</v>
      </c>
      <c r="E47" t="s">
        <v>300</v>
      </c>
      <c r="F47">
        <v>1</v>
      </c>
      <c r="G47" t="s">
        <v>26</v>
      </c>
      <c r="H47" t="s">
        <v>301</v>
      </c>
      <c r="I47" t="s">
        <v>302</v>
      </c>
      <c r="J47" s="24">
        <v>4.1453234999999998E-2</v>
      </c>
    </row>
    <row r="48" spans="1:10">
      <c r="A48" t="s">
        <v>299</v>
      </c>
      <c r="B48">
        <v>4.0554754999999998E-2</v>
      </c>
      <c r="D48" t="s">
        <v>20</v>
      </c>
      <c r="E48" t="s">
        <v>300</v>
      </c>
      <c r="F48">
        <v>1</v>
      </c>
      <c r="G48" t="s">
        <v>29</v>
      </c>
      <c r="H48" t="s">
        <v>301</v>
      </c>
      <c r="I48" t="s">
        <v>302</v>
      </c>
      <c r="J48" s="24">
        <v>4.0554754999999998E-2</v>
      </c>
    </row>
    <row r="49" spans="1:10">
      <c r="A49" t="s">
        <v>299</v>
      </c>
      <c r="B49">
        <v>7.1700881999999994E-2</v>
      </c>
      <c r="D49" t="s">
        <v>20</v>
      </c>
      <c r="E49" t="s">
        <v>300</v>
      </c>
      <c r="F49">
        <v>1</v>
      </c>
      <c r="G49" t="s">
        <v>28</v>
      </c>
      <c r="H49" t="s">
        <v>301</v>
      </c>
      <c r="I49" t="s">
        <v>302</v>
      </c>
      <c r="J49" s="24">
        <v>7.1700881999999994E-2</v>
      </c>
    </row>
    <row r="50" spans="1:10">
      <c r="A50" t="s">
        <v>299</v>
      </c>
      <c r="B50">
        <v>2.9348836E-2</v>
      </c>
      <c r="D50" t="s">
        <v>20</v>
      </c>
      <c r="E50" t="s">
        <v>300</v>
      </c>
      <c r="F50">
        <v>1</v>
      </c>
      <c r="G50" t="s">
        <v>27</v>
      </c>
      <c r="H50" t="s">
        <v>301</v>
      </c>
      <c r="I50" t="s">
        <v>302</v>
      </c>
      <c r="J50" s="24">
        <v>2.9348836E-2</v>
      </c>
    </row>
    <row r="51" spans="1:10">
      <c r="A51" t="s">
        <v>299</v>
      </c>
      <c r="B51">
        <v>1.9435118000000001E-2</v>
      </c>
      <c r="D51" t="s">
        <v>20</v>
      </c>
      <c r="E51" t="s">
        <v>300</v>
      </c>
      <c r="F51">
        <v>1</v>
      </c>
      <c r="G51" t="s">
        <v>30</v>
      </c>
      <c r="H51" t="s">
        <v>301</v>
      </c>
      <c r="I51" t="s">
        <v>302</v>
      </c>
      <c r="J51" s="24">
        <v>1.9435118000000001E-2</v>
      </c>
    </row>
    <row r="52" spans="1:10">
      <c r="A52" t="s">
        <v>299</v>
      </c>
      <c r="B52">
        <v>2.3586365000000001E-2</v>
      </c>
      <c r="D52" t="s">
        <v>20</v>
      </c>
      <c r="E52" t="s">
        <v>300</v>
      </c>
      <c r="F52">
        <v>1</v>
      </c>
      <c r="G52" t="s">
        <v>31</v>
      </c>
      <c r="H52" t="s">
        <v>301</v>
      </c>
      <c r="I52" t="s">
        <v>302</v>
      </c>
      <c r="J52" s="24">
        <v>2.3586365000000001E-2</v>
      </c>
    </row>
    <row r="53" spans="1:10">
      <c r="A53" t="s">
        <v>299</v>
      </c>
      <c r="B53">
        <v>6.3366910999999998E-2</v>
      </c>
      <c r="D53" t="s">
        <v>20</v>
      </c>
      <c r="E53" t="s">
        <v>300</v>
      </c>
      <c r="F53">
        <v>1</v>
      </c>
      <c r="G53" t="s">
        <v>32</v>
      </c>
      <c r="H53" t="s">
        <v>301</v>
      </c>
      <c r="I53" t="s">
        <v>302</v>
      </c>
      <c r="J53" s="24">
        <v>6.3366910999999998E-2</v>
      </c>
    </row>
    <row r="54" spans="1:10">
      <c r="A54" t="s">
        <v>299</v>
      </c>
      <c r="B54">
        <v>2.9201459999999999E-2</v>
      </c>
      <c r="D54" t="s">
        <v>20</v>
      </c>
      <c r="E54" t="s">
        <v>300</v>
      </c>
      <c r="F54">
        <v>1</v>
      </c>
      <c r="G54" t="s">
        <v>34</v>
      </c>
      <c r="H54" t="s">
        <v>301</v>
      </c>
      <c r="I54" t="s">
        <v>302</v>
      </c>
      <c r="J54" s="24">
        <v>2.9201459999999999E-2</v>
      </c>
    </row>
    <row r="55" spans="1:10">
      <c r="A55" t="s">
        <v>299</v>
      </c>
      <c r="B55">
        <v>8.4194690000000006E-3</v>
      </c>
      <c r="D55" t="s">
        <v>20</v>
      </c>
      <c r="E55" t="s">
        <v>300</v>
      </c>
      <c r="F55">
        <v>1</v>
      </c>
      <c r="G55" t="s">
        <v>35</v>
      </c>
      <c r="H55" t="s">
        <v>301</v>
      </c>
      <c r="I55" t="s">
        <v>302</v>
      </c>
      <c r="J55" s="24">
        <v>8.4194690000000006E-3</v>
      </c>
    </row>
    <row r="56" spans="1:10">
      <c r="A56" t="s">
        <v>299</v>
      </c>
      <c r="B56">
        <v>6.3789859999999997E-3</v>
      </c>
      <c r="D56" t="s">
        <v>20</v>
      </c>
      <c r="E56" t="s">
        <v>300</v>
      </c>
      <c r="F56">
        <v>1</v>
      </c>
      <c r="G56" t="s">
        <v>33</v>
      </c>
      <c r="H56" t="s">
        <v>301</v>
      </c>
      <c r="I56" t="s">
        <v>302</v>
      </c>
      <c r="J56" s="24">
        <v>6.3789859999999997E-3</v>
      </c>
    </row>
    <row r="57" spans="1:10">
      <c r="A57" t="s">
        <v>299</v>
      </c>
      <c r="B57">
        <v>1.4863687E-2</v>
      </c>
      <c r="D57" t="s">
        <v>20</v>
      </c>
      <c r="E57" t="s">
        <v>300</v>
      </c>
      <c r="F57">
        <v>1</v>
      </c>
      <c r="G57" t="s">
        <v>36</v>
      </c>
      <c r="H57" t="s">
        <v>301</v>
      </c>
      <c r="I57" t="s">
        <v>302</v>
      </c>
      <c r="J57" s="24">
        <v>1.4863687E-2</v>
      </c>
    </row>
    <row r="58" spans="1:10">
      <c r="A58" t="s">
        <v>299</v>
      </c>
      <c r="B58">
        <v>3.137103E-3</v>
      </c>
      <c r="D58" t="s">
        <v>20</v>
      </c>
      <c r="E58" t="s">
        <v>300</v>
      </c>
      <c r="F58">
        <v>1</v>
      </c>
      <c r="G58" t="s">
        <v>37</v>
      </c>
      <c r="H58" t="s">
        <v>301</v>
      </c>
      <c r="I58" t="s">
        <v>302</v>
      </c>
      <c r="J58" s="24">
        <v>3.137103E-3</v>
      </c>
    </row>
    <row r="59" spans="1:10">
      <c r="A59" t="s">
        <v>299</v>
      </c>
      <c r="B59">
        <v>3.7026600000000001E-4</v>
      </c>
      <c r="D59" t="s">
        <v>20</v>
      </c>
      <c r="E59" t="s">
        <v>300</v>
      </c>
      <c r="F59">
        <v>1</v>
      </c>
      <c r="G59" t="s">
        <v>38</v>
      </c>
      <c r="H59" t="s">
        <v>301</v>
      </c>
      <c r="I59" t="s">
        <v>302</v>
      </c>
      <c r="J59" s="24">
        <v>3.7026600000000001E-4</v>
      </c>
    </row>
    <row r="60" spans="1:10">
      <c r="A60" t="s">
        <v>299</v>
      </c>
      <c r="B60">
        <v>8.6960900000000003E-5</v>
      </c>
      <c r="D60" t="s">
        <v>20</v>
      </c>
      <c r="E60" t="s">
        <v>300</v>
      </c>
      <c r="F60">
        <v>1</v>
      </c>
      <c r="G60" t="s">
        <v>39</v>
      </c>
      <c r="H60" t="s">
        <v>301</v>
      </c>
      <c r="I60" t="s">
        <v>302</v>
      </c>
      <c r="J60" s="24">
        <v>8.6960900000000003E-5</v>
      </c>
    </row>
    <row r="62" spans="1:10" s="27" customFormat="1">
      <c r="A62" s="27" t="s">
        <v>316</v>
      </c>
    </row>
    <row r="63" spans="1:10" ht="33">
      <c r="A63" s="28" t="s">
        <v>101</v>
      </c>
      <c r="B63" s="28" t="s">
        <v>102</v>
      </c>
      <c r="C63" s="28" t="s">
        <v>103</v>
      </c>
      <c r="D63" s="28" t="s">
        <v>104</v>
      </c>
      <c r="E63" s="28" t="s">
        <v>105</v>
      </c>
      <c r="F63" s="28" t="s">
        <v>106</v>
      </c>
      <c r="G63" s="28" t="s">
        <v>107</v>
      </c>
      <c r="H63" s="28" t="s">
        <v>108</v>
      </c>
      <c r="I63" s="28" t="s">
        <v>109</v>
      </c>
    </row>
    <row r="64" spans="1:10">
      <c r="A64" s="29" t="s">
        <v>317</v>
      </c>
      <c r="B64" s="29">
        <v>2.2000000000000002</v>
      </c>
      <c r="C64" s="29"/>
      <c r="D64" s="29" t="s">
        <v>158</v>
      </c>
      <c r="E64" s="29" t="s">
        <v>318</v>
      </c>
      <c r="F64" s="29" t="s">
        <v>281</v>
      </c>
      <c r="G64" s="29" t="s">
        <v>112</v>
      </c>
      <c r="H64" s="29" t="s">
        <v>319</v>
      </c>
      <c r="I64" s="29" t="s">
        <v>320</v>
      </c>
    </row>
    <row r="65" spans="1:9">
      <c r="A65" s="29" t="s">
        <v>317</v>
      </c>
      <c r="B65" s="29">
        <v>0</v>
      </c>
      <c r="C65" s="29"/>
      <c r="D65" s="29" t="s">
        <v>158</v>
      </c>
      <c r="E65" s="29" t="s">
        <v>318</v>
      </c>
      <c r="F65" s="29" t="s">
        <v>321</v>
      </c>
      <c r="G65" s="29" t="s">
        <v>112</v>
      </c>
      <c r="H65" s="29" t="s">
        <v>319</v>
      </c>
      <c r="I65" s="29" t="s">
        <v>320</v>
      </c>
    </row>
    <row r="66" spans="1:9">
      <c r="A66" s="29" t="s">
        <v>317</v>
      </c>
      <c r="B66" s="29">
        <v>0</v>
      </c>
      <c r="C66" s="29"/>
      <c r="D66" s="29" t="s">
        <v>158</v>
      </c>
      <c r="E66" s="29" t="s">
        <v>318</v>
      </c>
      <c r="F66" s="29" t="s">
        <v>324</v>
      </c>
      <c r="G66" s="29" t="s">
        <v>112</v>
      </c>
      <c r="H66" s="29" t="s">
        <v>319</v>
      </c>
      <c r="I66" s="29" t="s">
        <v>320</v>
      </c>
    </row>
    <row r="67" spans="1:9">
      <c r="A67" s="29" t="s">
        <v>317</v>
      </c>
      <c r="B67" s="29">
        <v>0</v>
      </c>
      <c r="C67" s="29"/>
      <c r="D67" s="29" t="s">
        <v>158</v>
      </c>
      <c r="E67" s="29" t="s">
        <v>318</v>
      </c>
      <c r="F67" s="29" t="s">
        <v>325</v>
      </c>
      <c r="G67" s="29" t="s">
        <v>112</v>
      </c>
      <c r="H67" s="29" t="s">
        <v>319</v>
      </c>
      <c r="I67" s="29" t="s">
        <v>320</v>
      </c>
    </row>
    <row r="68" spans="1:9">
      <c r="A68" s="29" t="s">
        <v>317</v>
      </c>
      <c r="B68" s="29">
        <v>1.8</v>
      </c>
      <c r="C68" s="29"/>
      <c r="D68" s="29" t="s">
        <v>158</v>
      </c>
      <c r="E68" s="29" t="s">
        <v>318</v>
      </c>
      <c r="F68" s="29" t="s">
        <v>265</v>
      </c>
      <c r="G68" s="29" t="s">
        <v>112</v>
      </c>
      <c r="H68" s="29" t="s">
        <v>319</v>
      </c>
      <c r="I68" s="29" t="s">
        <v>320</v>
      </c>
    </row>
    <row r="69" spans="1:9">
      <c r="A69" s="29" t="s">
        <v>317</v>
      </c>
      <c r="B69" s="29">
        <v>0</v>
      </c>
      <c r="C69" s="29"/>
      <c r="D69" s="29" t="s">
        <v>158</v>
      </c>
      <c r="E69" s="29" t="s">
        <v>318</v>
      </c>
      <c r="F69" s="29" t="s">
        <v>326</v>
      </c>
      <c r="G69" s="29" t="s">
        <v>112</v>
      </c>
      <c r="H69" s="29" t="s">
        <v>319</v>
      </c>
      <c r="I69" s="29" t="s">
        <v>320</v>
      </c>
    </row>
    <row r="70" spans="1:9">
      <c r="A70" s="29" t="s">
        <v>317</v>
      </c>
      <c r="B70" s="29">
        <v>2.4</v>
      </c>
      <c r="C70" s="29"/>
      <c r="D70" s="29" t="s">
        <v>158</v>
      </c>
      <c r="E70" s="29" t="s">
        <v>318</v>
      </c>
      <c r="F70" s="29" t="s">
        <v>267</v>
      </c>
      <c r="G70" s="29" t="s">
        <v>112</v>
      </c>
      <c r="H70" s="29" t="s">
        <v>319</v>
      </c>
      <c r="I70" s="29" t="s">
        <v>320</v>
      </c>
    </row>
    <row r="71" spans="1:9">
      <c r="A71" s="29" t="s">
        <v>317</v>
      </c>
      <c r="B71" s="29">
        <v>0</v>
      </c>
      <c r="C71" s="29"/>
      <c r="D71" s="29" t="s">
        <v>158</v>
      </c>
      <c r="E71" s="29" t="s">
        <v>318</v>
      </c>
      <c r="F71" s="29" t="s">
        <v>327</v>
      </c>
      <c r="G71" s="29" t="s">
        <v>112</v>
      </c>
      <c r="H71" s="29" t="s">
        <v>319</v>
      </c>
      <c r="I71" s="29" t="s">
        <v>320</v>
      </c>
    </row>
    <row r="72" spans="1:9">
      <c r="A72" s="29" t="s">
        <v>317</v>
      </c>
      <c r="B72" s="29">
        <v>0</v>
      </c>
      <c r="C72" s="29"/>
      <c r="D72" s="29" t="s">
        <v>158</v>
      </c>
      <c r="E72" s="29" t="s">
        <v>318</v>
      </c>
      <c r="F72" s="29" t="s">
        <v>328</v>
      </c>
      <c r="G72" s="29" t="s">
        <v>112</v>
      </c>
      <c r="H72" s="29" t="s">
        <v>319</v>
      </c>
      <c r="I72" s="29" t="s">
        <v>320</v>
      </c>
    </row>
    <row r="73" spans="1:9">
      <c r="A73" s="29" t="s">
        <v>317</v>
      </c>
      <c r="B73" s="29">
        <v>0</v>
      </c>
      <c r="C73" s="29"/>
      <c r="D73" s="29" t="s">
        <v>158</v>
      </c>
      <c r="E73" s="29" t="s">
        <v>318</v>
      </c>
      <c r="F73" s="29" t="s">
        <v>329</v>
      </c>
      <c r="G73" s="29" t="s">
        <v>112</v>
      </c>
      <c r="H73" s="29" t="s">
        <v>319</v>
      </c>
      <c r="I73" s="29" t="s">
        <v>320</v>
      </c>
    </row>
    <row r="74" spans="1:9">
      <c r="A74" s="29" t="s">
        <v>317</v>
      </c>
      <c r="B74" s="29">
        <v>3.5</v>
      </c>
      <c r="C74" s="29"/>
      <c r="D74" s="29" t="s">
        <v>158</v>
      </c>
      <c r="E74" s="29" t="s">
        <v>318</v>
      </c>
      <c r="F74" s="29" t="s">
        <v>271</v>
      </c>
      <c r="G74" s="29" t="s">
        <v>112</v>
      </c>
      <c r="H74" s="29" t="s">
        <v>319</v>
      </c>
      <c r="I74" s="29" t="s">
        <v>320</v>
      </c>
    </row>
    <row r="75" spans="1:9">
      <c r="A75" s="29" t="s">
        <v>317</v>
      </c>
      <c r="B75" s="29">
        <v>0</v>
      </c>
      <c r="C75" s="29"/>
      <c r="D75" s="29" t="s">
        <v>158</v>
      </c>
      <c r="E75" s="29" t="s">
        <v>318</v>
      </c>
      <c r="F75" s="29" t="s">
        <v>331</v>
      </c>
      <c r="G75" s="29" t="s">
        <v>112</v>
      </c>
      <c r="H75" s="29" t="s">
        <v>319</v>
      </c>
      <c r="I75" s="29" t="s">
        <v>320</v>
      </c>
    </row>
    <row r="76" spans="1:9">
      <c r="A76" s="29" t="s">
        <v>317</v>
      </c>
      <c r="B76" s="29">
        <v>0</v>
      </c>
      <c r="C76" s="29"/>
      <c r="D76" s="29" t="s">
        <v>158</v>
      </c>
      <c r="E76" s="29" t="s">
        <v>318</v>
      </c>
      <c r="F76" s="29" t="s">
        <v>333</v>
      </c>
      <c r="G76" s="29" t="s">
        <v>112</v>
      </c>
      <c r="H76" s="29" t="s">
        <v>319</v>
      </c>
      <c r="I76" s="29" t="s">
        <v>320</v>
      </c>
    </row>
    <row r="77" spans="1:9">
      <c r="A77" s="29" t="s">
        <v>317</v>
      </c>
      <c r="B77" s="29">
        <v>0</v>
      </c>
      <c r="C77" s="29"/>
      <c r="D77" s="29" t="s">
        <v>158</v>
      </c>
      <c r="E77" s="29" t="s">
        <v>318</v>
      </c>
      <c r="F77" s="29" t="s">
        <v>272</v>
      </c>
      <c r="G77" s="29" t="s">
        <v>112</v>
      </c>
      <c r="H77" s="29" t="s">
        <v>319</v>
      </c>
      <c r="I77" s="29" t="s">
        <v>320</v>
      </c>
    </row>
    <row r="78" spans="1:9">
      <c r="A78" s="29" t="s">
        <v>317</v>
      </c>
      <c r="B78" s="29">
        <v>0</v>
      </c>
      <c r="C78" s="29"/>
      <c r="D78" s="29" t="s">
        <v>158</v>
      </c>
      <c r="E78" s="29" t="s">
        <v>318</v>
      </c>
      <c r="F78" s="29" t="s">
        <v>335</v>
      </c>
      <c r="G78" s="29" t="s">
        <v>112</v>
      </c>
      <c r="H78" s="29" t="s">
        <v>319</v>
      </c>
      <c r="I78" s="29" t="s">
        <v>320</v>
      </c>
    </row>
    <row r="79" spans="1:9">
      <c r="A79" s="29" t="s">
        <v>317</v>
      </c>
      <c r="B79" s="29">
        <v>1.3</v>
      </c>
      <c r="C79" s="29"/>
      <c r="D79" s="29" t="s">
        <v>158</v>
      </c>
      <c r="E79" s="29" t="s">
        <v>318</v>
      </c>
      <c r="F79" s="29" t="s">
        <v>337</v>
      </c>
      <c r="G79" s="29" t="s">
        <v>112</v>
      </c>
      <c r="H79" s="29" t="s">
        <v>319</v>
      </c>
      <c r="I79" s="29" t="s">
        <v>320</v>
      </c>
    </row>
    <row r="81" spans="1:13" ht="33">
      <c r="A81" s="28" t="s">
        <v>101</v>
      </c>
      <c r="B81" s="28" t="s">
        <v>102</v>
      </c>
      <c r="C81" s="28" t="s">
        <v>103</v>
      </c>
      <c r="D81" s="28" t="s">
        <v>104</v>
      </c>
      <c r="E81" s="28" t="s">
        <v>105</v>
      </c>
      <c r="F81" s="28" t="s">
        <v>106</v>
      </c>
      <c r="G81" s="28" t="s">
        <v>107</v>
      </c>
      <c r="H81" s="28" t="s">
        <v>108</v>
      </c>
      <c r="I81" s="28" t="s">
        <v>109</v>
      </c>
    </row>
    <row r="82" spans="1:13">
      <c r="A82" s="29" t="s">
        <v>384</v>
      </c>
      <c r="B82" s="29">
        <v>145.23279299999999</v>
      </c>
      <c r="C82" s="29" t="s">
        <v>378</v>
      </c>
      <c r="D82" s="29" t="s">
        <v>393</v>
      </c>
      <c r="E82" s="29" t="s">
        <v>118</v>
      </c>
      <c r="F82" s="29" t="s">
        <v>112</v>
      </c>
      <c r="G82" s="29"/>
      <c r="H82" s="29" t="s">
        <v>374</v>
      </c>
      <c r="I82" s="29" t="s">
        <v>114</v>
      </c>
      <c r="J82" t="s">
        <v>379</v>
      </c>
    </row>
    <row r="83" spans="1:13">
      <c r="A83" s="29" t="s">
        <v>385</v>
      </c>
      <c r="B83" s="29">
        <v>211.62373400000001</v>
      </c>
      <c r="C83" s="29" t="s">
        <v>378</v>
      </c>
      <c r="D83" s="29" t="s">
        <v>393</v>
      </c>
      <c r="E83" s="29" t="s">
        <v>118</v>
      </c>
      <c r="F83" s="29" t="s">
        <v>112</v>
      </c>
      <c r="G83" s="29"/>
      <c r="H83" s="29" t="s">
        <v>113</v>
      </c>
      <c r="I83" s="29" t="s">
        <v>114</v>
      </c>
      <c r="J83" t="s">
        <v>380</v>
      </c>
    </row>
    <row r="84" spans="1:13" ht="33">
      <c r="A84" s="29" t="s">
        <v>386</v>
      </c>
      <c r="B84" s="29">
        <v>94.327428400000002</v>
      </c>
      <c r="C84" s="29" t="s">
        <v>378</v>
      </c>
      <c r="D84" s="29" t="s">
        <v>393</v>
      </c>
      <c r="E84" s="29" t="s">
        <v>118</v>
      </c>
      <c r="F84" s="29" t="s">
        <v>112</v>
      </c>
      <c r="G84" s="29"/>
      <c r="H84" s="29" t="s">
        <v>366</v>
      </c>
      <c r="I84" s="29" t="s">
        <v>114</v>
      </c>
      <c r="M84" s="25" t="s">
        <v>381</v>
      </c>
    </row>
    <row r="85" spans="1:13">
      <c r="A85" s="29" t="s">
        <v>388</v>
      </c>
      <c r="B85" s="29">
        <v>0.87</v>
      </c>
      <c r="C85" s="29" t="s">
        <v>389</v>
      </c>
      <c r="D85" s="29" t="s">
        <v>158</v>
      </c>
      <c r="E85" s="29" t="s">
        <v>390</v>
      </c>
      <c r="F85" s="29" t="s">
        <v>374</v>
      </c>
      <c r="G85" s="29"/>
      <c r="H85" s="29" t="s">
        <v>391</v>
      </c>
      <c r="I85" s="29" t="s">
        <v>128</v>
      </c>
      <c r="M85" t="s">
        <v>383</v>
      </c>
    </row>
    <row r="86" spans="1:13">
      <c r="A86" s="29" t="s">
        <v>388</v>
      </c>
      <c r="B86" s="29">
        <v>0</v>
      </c>
      <c r="C86" s="29" t="s">
        <v>389</v>
      </c>
      <c r="D86" s="29" t="s">
        <v>158</v>
      </c>
      <c r="E86" s="29" t="s">
        <v>390</v>
      </c>
      <c r="F86" s="29" t="s">
        <v>113</v>
      </c>
      <c r="G86" s="29"/>
      <c r="H86" s="29" t="s">
        <v>391</v>
      </c>
      <c r="I86" s="29" t="s">
        <v>128</v>
      </c>
      <c r="M86" t="s">
        <v>387</v>
      </c>
    </row>
    <row r="87" spans="1:13">
      <c r="A87" s="29" t="s">
        <v>388</v>
      </c>
      <c r="B87" s="29">
        <v>0.99</v>
      </c>
      <c r="C87" s="29" t="s">
        <v>389</v>
      </c>
      <c r="D87" s="29" t="s">
        <v>158</v>
      </c>
      <c r="E87" s="29" t="s">
        <v>390</v>
      </c>
      <c r="F87" s="29" t="s">
        <v>366</v>
      </c>
      <c r="G87" s="29"/>
      <c r="H87" s="29" t="s">
        <v>391</v>
      </c>
      <c r="I87" s="29" t="s">
        <v>128</v>
      </c>
      <c r="M87" t="s">
        <v>382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8BB9-0A85-4287-86A8-F923FF8E9DCA}">
  <dimension ref="A1:AG87"/>
  <sheetViews>
    <sheetView zoomScale="55" zoomScaleNormal="55" workbookViewId="0">
      <selection activeCell="S88" sqref="S88"/>
    </sheetView>
  </sheetViews>
  <sheetFormatPr defaultRowHeight="16.5"/>
  <cols>
    <col min="19" max="19" width="39.875" bestFit="1" customWidth="1"/>
    <col min="20" max="20" width="19" bestFit="1" customWidth="1"/>
    <col min="21" max="21" width="18.75" bestFit="1" customWidth="1"/>
    <col min="22" max="22" width="13.625" bestFit="1" customWidth="1"/>
    <col min="24" max="24" width="22.125" bestFit="1" customWidth="1"/>
    <col min="26" max="26" width="13.25" bestFit="1" customWidth="1"/>
    <col min="28" max="28" width="12.375" customWidth="1"/>
  </cols>
  <sheetData>
    <row r="1" spans="1:19" ht="33">
      <c r="A1" s="28" t="s">
        <v>101</v>
      </c>
      <c r="B1" s="28" t="s">
        <v>102</v>
      </c>
      <c r="C1" s="28" t="s">
        <v>103</v>
      </c>
      <c r="D1" s="28" t="s">
        <v>104</v>
      </c>
      <c r="E1" s="28" t="s">
        <v>105</v>
      </c>
      <c r="F1" s="28" t="s">
        <v>106</v>
      </c>
      <c r="G1" s="28" t="s">
        <v>107</v>
      </c>
      <c r="H1" s="28" t="s">
        <v>108</v>
      </c>
      <c r="I1" s="28" t="s">
        <v>109</v>
      </c>
      <c r="K1" s="23" t="s">
        <v>184</v>
      </c>
      <c r="P1" s="30"/>
      <c r="Q1" s="31" t="s">
        <v>303</v>
      </c>
      <c r="R1" s="31"/>
      <c r="S1" s="31"/>
    </row>
    <row r="2" spans="1:19">
      <c r="A2" s="29" t="s">
        <v>221</v>
      </c>
      <c r="B2" s="29">
        <v>0</v>
      </c>
      <c r="C2" s="29"/>
      <c r="D2" s="29" t="s">
        <v>393</v>
      </c>
      <c r="E2" s="29" t="s">
        <v>222</v>
      </c>
      <c r="F2" s="29" t="s">
        <v>112</v>
      </c>
      <c r="G2" s="29" t="s">
        <v>223</v>
      </c>
      <c r="H2" s="29" t="s">
        <v>113</v>
      </c>
      <c r="I2" s="29" t="s">
        <v>114</v>
      </c>
      <c r="K2" s="22">
        <v>212</v>
      </c>
      <c r="L2" t="b">
        <f>IF(FrzPt!B2&gt;0.0001, K2, FALSE)</f>
        <v>0</v>
      </c>
      <c r="P2" s="32"/>
      <c r="Q2" s="29" t="s">
        <v>304</v>
      </c>
      <c r="R2" s="29"/>
      <c r="S2" s="27"/>
    </row>
    <row r="3" spans="1:19">
      <c r="A3" s="29" t="s">
        <v>221</v>
      </c>
      <c r="B3" s="29">
        <v>0</v>
      </c>
      <c r="C3" s="29"/>
      <c r="D3" s="29" t="s">
        <v>393</v>
      </c>
      <c r="E3" s="29" t="s">
        <v>222</v>
      </c>
      <c r="F3" s="29" t="s">
        <v>112</v>
      </c>
      <c r="G3" s="29" t="s">
        <v>224</v>
      </c>
      <c r="H3" s="29" t="s">
        <v>113</v>
      </c>
      <c r="I3" s="29" t="s">
        <v>114</v>
      </c>
      <c r="K3" s="22">
        <v>-422.96799999999899</v>
      </c>
      <c r="L3" s="22" t="b">
        <f>IF(FrzPt!B3&gt;0.0001, K3, FALSE)</f>
        <v>0</v>
      </c>
      <c r="P3" s="32" t="s">
        <v>305</v>
      </c>
      <c r="Q3" s="29" t="s">
        <v>40</v>
      </c>
      <c r="R3" s="33" t="s">
        <v>306</v>
      </c>
      <c r="S3" s="34" t="s">
        <v>306</v>
      </c>
    </row>
    <row r="4" spans="1:19">
      <c r="A4" s="29" t="s">
        <v>221</v>
      </c>
      <c r="B4" s="29">
        <v>0</v>
      </c>
      <c r="C4" s="29"/>
      <c r="D4" s="29" t="s">
        <v>393</v>
      </c>
      <c r="E4" s="29" t="s">
        <v>222</v>
      </c>
      <c r="F4" s="29" t="s">
        <v>112</v>
      </c>
      <c r="G4" s="29" t="s">
        <v>225</v>
      </c>
      <c r="H4" s="29" t="s">
        <v>113</v>
      </c>
      <c r="I4" s="29" t="s">
        <v>114</v>
      </c>
      <c r="K4" s="22">
        <v>-297.33159999999901</v>
      </c>
      <c r="L4" s="22" t="b">
        <f>IF(FrzPt!B4&gt;0.0001, K4, FALSE)</f>
        <v>0</v>
      </c>
      <c r="P4" s="32"/>
      <c r="Q4" s="29" t="s">
        <v>46</v>
      </c>
      <c r="R4" s="33"/>
      <c r="S4" s="34"/>
    </row>
    <row r="5" spans="1:19">
      <c r="A5" s="29" t="s">
        <v>221</v>
      </c>
      <c r="B5" s="29">
        <v>0</v>
      </c>
      <c r="C5" s="29"/>
      <c r="D5" s="29" t="s">
        <v>393</v>
      </c>
      <c r="E5" s="29" t="s">
        <v>222</v>
      </c>
      <c r="F5" s="29" t="s">
        <v>112</v>
      </c>
      <c r="G5" s="29" t="s">
        <v>226</v>
      </c>
      <c r="H5" s="29" t="s">
        <v>113</v>
      </c>
      <c r="I5" s="29" t="s">
        <v>114</v>
      </c>
      <c r="K5" s="22">
        <v>-320.45079999999899</v>
      </c>
      <c r="L5" s="22" t="b">
        <f>IF(FrzPt!B5&gt;0.0001, K5, FALSE)</f>
        <v>0</v>
      </c>
      <c r="P5" s="32"/>
      <c r="Q5" s="29" t="s">
        <v>42</v>
      </c>
      <c r="R5" s="33"/>
      <c r="S5" s="34"/>
    </row>
    <row r="6" spans="1:19">
      <c r="A6" s="29" t="s">
        <v>221</v>
      </c>
      <c r="B6" s="29">
        <v>0</v>
      </c>
      <c r="C6" s="29"/>
      <c r="D6" s="29" t="s">
        <v>393</v>
      </c>
      <c r="E6" s="29" t="s">
        <v>222</v>
      </c>
      <c r="F6" s="29" t="s">
        <v>112</v>
      </c>
      <c r="G6" s="29" t="s">
        <v>227</v>
      </c>
      <c r="H6" s="29" t="s">
        <v>113</v>
      </c>
      <c r="I6" s="29" t="s">
        <v>114</v>
      </c>
      <c r="K6" s="22">
        <v>-302.56599999999901</v>
      </c>
      <c r="L6" s="22" t="b">
        <f>IF(FrzPt!B6&gt;0.0001, K6, FALSE)</f>
        <v>0</v>
      </c>
      <c r="P6" s="32"/>
      <c r="Q6" s="29" t="s">
        <v>44</v>
      </c>
      <c r="R6" s="33"/>
      <c r="S6" s="34"/>
    </row>
    <row r="7" spans="1:19">
      <c r="A7" s="29" t="s">
        <v>221</v>
      </c>
      <c r="B7" s="29">
        <v>0</v>
      </c>
      <c r="C7" s="29"/>
      <c r="D7" s="29" t="s">
        <v>393</v>
      </c>
      <c r="E7" s="29" t="s">
        <v>222</v>
      </c>
      <c r="F7" s="29" t="s">
        <v>112</v>
      </c>
      <c r="G7" s="29" t="s">
        <v>228</v>
      </c>
      <c r="H7" s="29" t="s">
        <v>113</v>
      </c>
      <c r="I7" s="29" t="s">
        <v>114</v>
      </c>
      <c r="K7" s="22">
        <v>-312.60999999999899</v>
      </c>
      <c r="L7" s="22" t="b">
        <f>IF(FrzPt!B7&gt;0.0001, K7, FALSE)</f>
        <v>0</v>
      </c>
      <c r="P7" s="32"/>
      <c r="Q7" s="29" t="s">
        <v>63</v>
      </c>
      <c r="R7" s="33"/>
      <c r="S7" s="34"/>
    </row>
    <row r="8" spans="1:19">
      <c r="A8" s="29" t="s">
        <v>221</v>
      </c>
      <c r="B8" s="29">
        <v>0</v>
      </c>
      <c r="C8" s="29"/>
      <c r="D8" s="29" t="s">
        <v>393</v>
      </c>
      <c r="E8" s="29" t="s">
        <v>222</v>
      </c>
      <c r="F8" s="29" t="s">
        <v>112</v>
      </c>
      <c r="G8" s="29" t="s">
        <v>229</v>
      </c>
      <c r="H8" s="29" t="s">
        <v>113</v>
      </c>
      <c r="I8" s="29" t="s">
        <v>114</v>
      </c>
      <c r="K8" s="22">
        <v>-109.21</v>
      </c>
      <c r="L8" s="22" t="b">
        <f>IF(FrzPt!B8&gt;0.0001, K8, FALSE)</f>
        <v>0</v>
      </c>
      <c r="P8" s="32"/>
      <c r="Q8" s="29" t="s">
        <v>45</v>
      </c>
      <c r="R8" s="33"/>
      <c r="S8" s="35" t="s">
        <v>156</v>
      </c>
    </row>
    <row r="9" spans="1:19">
      <c r="A9" s="29" t="s">
        <v>221</v>
      </c>
      <c r="B9" s="29">
        <v>0</v>
      </c>
      <c r="C9" s="29"/>
      <c r="D9" s="29" t="s">
        <v>393</v>
      </c>
      <c r="E9" s="29" t="s">
        <v>222</v>
      </c>
      <c r="F9" s="29" t="s">
        <v>112</v>
      </c>
      <c r="G9" s="29" t="s">
        <v>230</v>
      </c>
      <c r="H9" s="29" t="s">
        <v>113</v>
      </c>
      <c r="I9" s="29" t="s">
        <v>114</v>
      </c>
      <c r="K9" s="22">
        <v>-258.66399999999902</v>
      </c>
      <c r="L9" s="22" t="b">
        <f>IF(FrzPt!B9&gt;0.0001, K9, FALSE)</f>
        <v>0</v>
      </c>
      <c r="P9" s="32"/>
      <c r="Q9" s="29" t="s">
        <v>65</v>
      </c>
      <c r="R9" s="33"/>
      <c r="S9" s="35"/>
    </row>
    <row r="10" spans="1:19">
      <c r="A10" s="29" t="s">
        <v>221</v>
      </c>
      <c r="B10" s="29">
        <v>0</v>
      </c>
      <c r="C10" s="29"/>
      <c r="D10" s="29" t="s">
        <v>393</v>
      </c>
      <c r="E10" s="29" t="s">
        <v>222</v>
      </c>
      <c r="F10" s="29" t="s">
        <v>112</v>
      </c>
      <c r="G10" s="29" t="s">
        <v>231</v>
      </c>
      <c r="H10" s="29" t="s">
        <v>113</v>
      </c>
      <c r="I10" s="29" t="s">
        <v>114</v>
      </c>
      <c r="K10" s="22">
        <v>-127.444</v>
      </c>
      <c r="L10" s="22" t="b">
        <f>IF(FrzPt!B10&gt;0.0001, K10, FALSE)</f>
        <v>0</v>
      </c>
      <c r="P10" s="32"/>
      <c r="Q10" s="29" t="s">
        <v>50</v>
      </c>
      <c r="R10" s="33"/>
      <c r="S10" s="35"/>
    </row>
    <row r="11" spans="1:19">
      <c r="A11" s="29" t="s">
        <v>221</v>
      </c>
      <c r="B11" s="29">
        <v>0</v>
      </c>
      <c r="C11" s="29"/>
      <c r="D11" s="29" t="s">
        <v>393</v>
      </c>
      <c r="E11" s="29" t="s">
        <v>222</v>
      </c>
      <c r="F11" s="29" t="s">
        <v>112</v>
      </c>
      <c r="G11" s="29" t="s">
        <v>232</v>
      </c>
      <c r="H11" s="29" t="s">
        <v>113</v>
      </c>
      <c r="I11" s="29" t="s">
        <v>114</v>
      </c>
      <c r="K11" s="22">
        <v>-43.797999999999597</v>
      </c>
      <c r="L11" s="22" t="b">
        <f>IF(FrzPt!B11&gt;0.0001, K11, FALSE)</f>
        <v>0</v>
      </c>
      <c r="P11" s="32"/>
      <c r="Q11" s="29" t="s">
        <v>64</v>
      </c>
      <c r="R11" s="36" t="s">
        <v>307</v>
      </c>
      <c r="S11" s="35"/>
    </row>
    <row r="12" spans="1:19">
      <c r="A12" s="29" t="s">
        <v>221</v>
      </c>
      <c r="B12" s="29">
        <v>0</v>
      </c>
      <c r="C12" s="29"/>
      <c r="D12" s="29" t="s">
        <v>393</v>
      </c>
      <c r="E12" s="29" t="s">
        <v>222</v>
      </c>
      <c r="F12" s="29" t="s">
        <v>112</v>
      </c>
      <c r="G12" s="29" t="s">
        <v>233</v>
      </c>
      <c r="H12" s="29" t="s">
        <v>113</v>
      </c>
      <c r="I12" s="29" t="s">
        <v>114</v>
      </c>
      <c r="K12" s="22">
        <v>31.1180000000004</v>
      </c>
      <c r="L12" s="22" t="b">
        <f>IF(FrzPt!B12&gt;0.0001, K12, FALSE)</f>
        <v>0</v>
      </c>
      <c r="P12" s="32"/>
      <c r="Q12" s="29" t="s">
        <v>43</v>
      </c>
      <c r="R12" s="36"/>
      <c r="S12" s="35"/>
    </row>
    <row r="13" spans="1:19">
      <c r="A13" s="29" t="s">
        <v>221</v>
      </c>
      <c r="B13" s="29">
        <v>0</v>
      </c>
      <c r="C13" s="29"/>
      <c r="D13" s="29" t="s">
        <v>393</v>
      </c>
      <c r="E13" s="29" t="s">
        <v>222</v>
      </c>
      <c r="F13" s="29" t="s">
        <v>112</v>
      </c>
      <c r="G13" s="29" t="s">
        <v>234</v>
      </c>
      <c r="H13" s="29" t="s">
        <v>113</v>
      </c>
      <c r="I13" s="29" t="s">
        <v>114</v>
      </c>
      <c r="K13" s="22">
        <v>-154.731999999999</v>
      </c>
      <c r="L13" s="22" t="b">
        <f>IF(FrzPt!B13&gt;0.0001, K13, FALSE)</f>
        <v>0</v>
      </c>
      <c r="P13" s="32"/>
      <c r="Q13" s="29" t="s">
        <v>38</v>
      </c>
      <c r="R13" s="36"/>
      <c r="S13" s="35"/>
    </row>
    <row r="14" spans="1:19">
      <c r="A14" s="29" t="s">
        <v>221</v>
      </c>
      <c r="B14" s="29">
        <v>0</v>
      </c>
      <c r="C14" s="29"/>
      <c r="D14" s="29" t="s">
        <v>393</v>
      </c>
      <c r="E14" s="29" t="s">
        <v>222</v>
      </c>
      <c r="F14" s="29" t="s">
        <v>112</v>
      </c>
      <c r="G14" s="29" t="s">
        <v>235</v>
      </c>
      <c r="H14" s="29" t="s">
        <v>113</v>
      </c>
      <c r="I14" s="29" t="s">
        <v>114</v>
      </c>
      <c r="K14" s="22">
        <v>-53.859999999999602</v>
      </c>
      <c r="L14" s="22" t="b">
        <f>IF(FrzPt!B14&gt;0.0001, K14, FALSE)</f>
        <v>0</v>
      </c>
      <c r="P14" s="32"/>
      <c r="Q14" s="29" t="s">
        <v>55</v>
      </c>
      <c r="R14" s="36"/>
      <c r="S14" s="35"/>
    </row>
    <row r="15" spans="1:19">
      <c r="A15" s="29" t="s">
        <v>221</v>
      </c>
      <c r="B15" s="29">
        <v>0</v>
      </c>
      <c r="C15" s="29"/>
      <c r="D15" s="29" t="s">
        <v>393</v>
      </c>
      <c r="E15" s="29" t="s">
        <v>222</v>
      </c>
      <c r="F15" s="29" t="s">
        <v>112</v>
      </c>
      <c r="G15" s="29" t="s">
        <v>236</v>
      </c>
      <c r="H15" s="29" t="s">
        <v>113</v>
      </c>
      <c r="I15" s="29" t="s">
        <v>114</v>
      </c>
      <c r="K15" s="22">
        <v>20.768000000000399</v>
      </c>
      <c r="L15" s="22" t="b">
        <f>IF(FrzPt!B15&gt;0.0001, K15, FALSE)</f>
        <v>0</v>
      </c>
      <c r="P15" s="32"/>
      <c r="Q15" s="29" t="s">
        <v>51</v>
      </c>
      <c r="R15" s="36"/>
      <c r="S15" s="35"/>
    </row>
    <row r="16" spans="1:19">
      <c r="A16" s="29" t="s">
        <v>221</v>
      </c>
      <c r="B16" s="29">
        <v>0</v>
      </c>
      <c r="C16" s="29"/>
      <c r="D16" s="29" t="s">
        <v>393</v>
      </c>
      <c r="E16" s="29" t="s">
        <v>222</v>
      </c>
      <c r="F16" s="29" t="s">
        <v>112</v>
      </c>
      <c r="G16" s="29" t="s">
        <v>237</v>
      </c>
      <c r="H16" s="29" t="s">
        <v>113</v>
      </c>
      <c r="I16" s="29" t="s">
        <v>114</v>
      </c>
      <c r="K16" s="22">
        <v>13.9640000000004</v>
      </c>
      <c r="L16" s="22" t="b">
        <f>IF(FrzPt!B16&gt;0.0001, K16, FALSE)</f>
        <v>0</v>
      </c>
      <c r="P16" s="32"/>
      <c r="Q16" s="29" t="s">
        <v>47</v>
      </c>
      <c r="R16" s="36"/>
      <c r="S16" s="35"/>
    </row>
    <row r="17" spans="1:19">
      <c r="A17" s="29" t="s">
        <v>221</v>
      </c>
      <c r="B17" s="29">
        <v>0</v>
      </c>
      <c r="C17" s="29"/>
      <c r="D17" s="29" t="s">
        <v>393</v>
      </c>
      <c r="E17" s="29" t="s">
        <v>222</v>
      </c>
      <c r="F17" s="29" t="s">
        <v>112</v>
      </c>
      <c r="G17" s="29" t="s">
        <v>238</v>
      </c>
      <c r="H17" s="29" t="s">
        <v>113</v>
      </c>
      <c r="I17" s="29" t="s">
        <v>114</v>
      </c>
      <c r="K17" s="22">
        <v>69.800000000000196</v>
      </c>
      <c r="L17" s="22" t="b">
        <f>IF(FrzPt!B17&gt;0.0001, K17, FALSE)</f>
        <v>0</v>
      </c>
      <c r="P17" s="32"/>
      <c r="Q17" s="29" t="s">
        <v>60</v>
      </c>
      <c r="R17" s="36"/>
      <c r="S17" s="37" t="s">
        <v>307</v>
      </c>
    </row>
    <row r="18" spans="1:19">
      <c r="A18" s="29" t="s">
        <v>221</v>
      </c>
      <c r="B18" s="29">
        <v>3.1836150400000002E-5</v>
      </c>
      <c r="C18" s="29"/>
      <c r="D18" s="29" t="s">
        <v>393</v>
      </c>
      <c r="E18" s="29" t="s">
        <v>222</v>
      </c>
      <c r="F18" s="29" t="s">
        <v>112</v>
      </c>
      <c r="G18" s="29" t="s">
        <v>239</v>
      </c>
      <c r="H18" s="29" t="s">
        <v>113</v>
      </c>
      <c r="I18" s="29" t="s">
        <v>114</v>
      </c>
      <c r="K18" s="22">
        <v>341.42</v>
      </c>
      <c r="L18" s="22" t="b">
        <f>IF(FrzPt!B18&gt;0.0001, K18, FALSE)</f>
        <v>0</v>
      </c>
      <c r="P18" s="32"/>
      <c r="Q18" s="29" t="s">
        <v>49</v>
      </c>
      <c r="R18" s="36"/>
      <c r="S18" s="37"/>
    </row>
    <row r="19" spans="1:19">
      <c r="A19" s="29" t="s">
        <v>221</v>
      </c>
      <c r="B19" s="29">
        <v>1.9427568000000001E-14</v>
      </c>
      <c r="C19" s="29"/>
      <c r="D19" s="29" t="s">
        <v>393</v>
      </c>
      <c r="E19" s="29" t="s">
        <v>222</v>
      </c>
      <c r="F19" s="29" t="s">
        <v>112</v>
      </c>
      <c r="G19" s="29" t="s">
        <v>240</v>
      </c>
      <c r="H19" s="29" t="s">
        <v>113</v>
      </c>
      <c r="I19" s="29" t="s">
        <v>114</v>
      </c>
      <c r="K19" s="22">
        <v>544.73</v>
      </c>
      <c r="L19" s="22" t="b">
        <f>IF(FrzPt!B19&gt;0.0001, K19, FALSE)</f>
        <v>0</v>
      </c>
      <c r="P19" s="32"/>
      <c r="Q19" s="29" t="s">
        <v>41</v>
      </c>
      <c r="R19" s="36"/>
      <c r="S19" s="37"/>
    </row>
    <row r="20" spans="1:19">
      <c r="A20" s="29" t="s">
        <v>221</v>
      </c>
      <c r="B20" s="29">
        <v>4.0703746099999999E-5</v>
      </c>
      <c r="C20" s="29"/>
      <c r="D20" s="29" t="s">
        <v>393</v>
      </c>
      <c r="E20" s="29" t="s">
        <v>222</v>
      </c>
      <c r="F20" s="29" t="s">
        <v>112</v>
      </c>
      <c r="G20" s="29" t="s">
        <v>241</v>
      </c>
      <c r="H20" s="29" t="s">
        <v>113</v>
      </c>
      <c r="I20" s="29" t="s">
        <v>114</v>
      </c>
      <c r="K20" s="22">
        <v>293.89999999999998</v>
      </c>
      <c r="L20" s="22" t="b">
        <f>IF(FrzPt!B20&gt;0.0001, K20, FALSE)</f>
        <v>0</v>
      </c>
      <c r="P20" s="32"/>
      <c r="Q20" s="29" t="s">
        <v>56</v>
      </c>
      <c r="R20" s="36"/>
      <c r="S20" s="37"/>
    </row>
    <row r="21" spans="1:19">
      <c r="A21" s="29" t="s">
        <v>221</v>
      </c>
      <c r="B21" s="29">
        <v>6.9303603899999999E-11</v>
      </c>
      <c r="C21" s="29"/>
      <c r="D21" s="29" t="s">
        <v>393</v>
      </c>
      <c r="E21" s="29" t="s">
        <v>222</v>
      </c>
      <c r="F21" s="29" t="s">
        <v>112</v>
      </c>
      <c r="G21" s="29" t="s">
        <v>242</v>
      </c>
      <c r="H21" s="29" t="s">
        <v>113</v>
      </c>
      <c r="I21" s="29" t="s">
        <v>114</v>
      </c>
      <c r="K21" s="22">
        <v>546.89</v>
      </c>
      <c r="L21" s="22" t="b">
        <f>IF(FrzPt!B21&gt;0.0001, K21, FALSE)</f>
        <v>0</v>
      </c>
      <c r="P21" s="32"/>
      <c r="Q21" s="29" t="s">
        <v>48</v>
      </c>
      <c r="R21" s="36"/>
      <c r="S21" s="37"/>
    </row>
    <row r="22" spans="1:19">
      <c r="A22" s="29" t="s">
        <v>221</v>
      </c>
      <c r="B22" s="29">
        <v>6.8794226200000002E-12</v>
      </c>
      <c r="C22" s="29"/>
      <c r="D22" s="29" t="s">
        <v>393</v>
      </c>
      <c r="E22" s="29" t="s">
        <v>222</v>
      </c>
      <c r="F22" s="29" t="s">
        <v>112</v>
      </c>
      <c r="G22" s="29" t="s">
        <v>243</v>
      </c>
      <c r="H22" s="29" t="s">
        <v>113</v>
      </c>
      <c r="I22" s="29" t="s">
        <v>114</v>
      </c>
      <c r="K22" s="22">
        <v>510.8</v>
      </c>
      <c r="L22" s="22" t="b">
        <f>IF(FrzPt!B22&gt;0.0001, K22, FALSE)</f>
        <v>0</v>
      </c>
      <c r="P22" s="32"/>
      <c r="Q22" s="29" t="s">
        <v>58</v>
      </c>
      <c r="R22" s="36"/>
      <c r="S22" s="37"/>
    </row>
    <row r="23" spans="1:19">
      <c r="A23" s="29" t="s">
        <v>221</v>
      </c>
      <c r="B23" s="29">
        <v>6.6764727800000002E-25</v>
      </c>
      <c r="C23" s="29"/>
      <c r="D23" s="29" t="s">
        <v>393</v>
      </c>
      <c r="E23" s="29" t="s">
        <v>222</v>
      </c>
      <c r="F23" s="29" t="s">
        <v>112</v>
      </c>
      <c r="G23" s="29" t="s">
        <v>244</v>
      </c>
      <c r="H23" s="29" t="s">
        <v>113</v>
      </c>
      <c r="I23" s="29" t="s">
        <v>114</v>
      </c>
      <c r="K23" s="22">
        <v>704.93</v>
      </c>
      <c r="L23" s="22" t="b">
        <f>IF(FrzPt!B23&gt;0.0001, K23, FALSE)</f>
        <v>0</v>
      </c>
      <c r="P23" s="32"/>
      <c r="Q23" s="29" t="s">
        <v>54</v>
      </c>
      <c r="R23" s="36"/>
      <c r="S23" s="37"/>
    </row>
    <row r="24" spans="1:19">
      <c r="A24" s="29" t="s">
        <v>221</v>
      </c>
      <c r="B24" s="29">
        <v>0</v>
      </c>
      <c r="C24" s="29"/>
      <c r="D24" s="29" t="s">
        <v>393</v>
      </c>
      <c r="E24" s="29" t="s">
        <v>222</v>
      </c>
      <c r="F24" s="29" t="s">
        <v>112</v>
      </c>
      <c r="G24" s="29" t="s">
        <v>245</v>
      </c>
      <c r="H24" s="29" t="s">
        <v>113</v>
      </c>
      <c r="I24" s="29" t="s">
        <v>114</v>
      </c>
      <c r="K24" s="22">
        <v>1160.33</v>
      </c>
      <c r="L24" s="22" t="b">
        <f>IF(FrzPt!B24&gt;0.0001, K24, FALSE)</f>
        <v>0</v>
      </c>
      <c r="P24" s="32"/>
      <c r="Q24" s="29" t="s">
        <v>57</v>
      </c>
      <c r="R24" s="36"/>
      <c r="S24" s="37"/>
    </row>
    <row r="25" spans="1:19">
      <c r="A25" s="29" t="s">
        <v>221</v>
      </c>
      <c r="B25" s="29">
        <v>3.0340783299999999E-28</v>
      </c>
      <c r="C25" s="29"/>
      <c r="D25" s="29" t="s">
        <v>393</v>
      </c>
      <c r="E25" s="29" t="s">
        <v>222</v>
      </c>
      <c r="F25" s="29" t="s">
        <v>112</v>
      </c>
      <c r="G25" s="29" t="s">
        <v>246</v>
      </c>
      <c r="H25" s="29" t="s">
        <v>113</v>
      </c>
      <c r="I25" s="29" t="s">
        <v>114</v>
      </c>
      <c r="K25" s="22">
        <v>701.33</v>
      </c>
      <c r="L25" s="22" t="b">
        <f>IF(FrzPt!B25&gt;0.0001, K25, FALSE)</f>
        <v>0</v>
      </c>
      <c r="P25" s="32"/>
      <c r="Q25" s="29" t="s">
        <v>59</v>
      </c>
      <c r="R25" s="38" t="s">
        <v>308</v>
      </c>
      <c r="S25" s="36" t="s">
        <v>309</v>
      </c>
    </row>
    <row r="26" spans="1:19">
      <c r="A26" s="29" t="s">
        <v>221</v>
      </c>
      <c r="B26" s="29">
        <v>1.9888382899999998E-30</v>
      </c>
      <c r="C26" s="29"/>
      <c r="D26" s="29" t="s">
        <v>393</v>
      </c>
      <c r="E26" s="29" t="s">
        <v>222</v>
      </c>
      <c r="F26" s="29" t="s">
        <v>112</v>
      </c>
      <c r="G26" s="29" t="s">
        <v>247</v>
      </c>
      <c r="H26" s="29" t="s">
        <v>113</v>
      </c>
      <c r="I26" s="29" t="s">
        <v>114</v>
      </c>
      <c r="K26" s="22">
        <v>742.73</v>
      </c>
      <c r="L26" s="22" t="b">
        <f>IF(FrzPt!B26&gt;0.0001, K26, FALSE)</f>
        <v>0</v>
      </c>
      <c r="P26" s="32"/>
      <c r="Q26" s="29" t="s">
        <v>62</v>
      </c>
      <c r="R26" s="38"/>
      <c r="S26" s="29" t="s">
        <v>310</v>
      </c>
    </row>
    <row r="27" spans="1:19">
      <c r="A27" s="29" t="s">
        <v>221</v>
      </c>
      <c r="B27" s="29">
        <v>3.4654202399999999E-13</v>
      </c>
      <c r="C27" s="29"/>
      <c r="D27" s="29" t="s">
        <v>393</v>
      </c>
      <c r="E27" s="29" t="s">
        <v>222</v>
      </c>
      <c r="F27" s="29" t="s">
        <v>112</v>
      </c>
      <c r="G27" s="29" t="s">
        <v>248</v>
      </c>
      <c r="H27" s="29" t="s">
        <v>113</v>
      </c>
      <c r="I27" s="29" t="s">
        <v>114</v>
      </c>
      <c r="K27" s="22">
        <v>545.28800000000001</v>
      </c>
      <c r="L27" s="22" t="b">
        <f>IF(FrzPt!B27&gt;0.0001, K27, FALSE)</f>
        <v>0</v>
      </c>
      <c r="P27" s="32"/>
      <c r="Q27" s="29" t="s">
        <v>52</v>
      </c>
      <c r="R27" s="38"/>
      <c r="S27" s="29" t="s">
        <v>311</v>
      </c>
    </row>
    <row r="28" spans="1:19">
      <c r="A28" s="29" t="s">
        <v>221</v>
      </c>
      <c r="B28" s="29">
        <v>0</v>
      </c>
      <c r="C28" s="29"/>
      <c r="D28" s="29" t="s">
        <v>393</v>
      </c>
      <c r="E28" s="29" t="s">
        <v>222</v>
      </c>
      <c r="F28" s="29" t="s">
        <v>112</v>
      </c>
      <c r="G28" s="29" t="s">
        <v>249</v>
      </c>
      <c r="H28" s="29" t="s">
        <v>113</v>
      </c>
      <c r="I28" s="29" t="s">
        <v>114</v>
      </c>
      <c r="K28" s="22">
        <v>1198.4000000000001</v>
      </c>
      <c r="L28" s="22" t="b">
        <f>IF(FrzPt!B28&gt;0.0001, K28, FALSE)</f>
        <v>0</v>
      </c>
      <c r="P28" s="32"/>
      <c r="Q28" s="29" t="s">
        <v>53</v>
      </c>
      <c r="R28" s="38"/>
      <c r="S28" s="29" t="s">
        <v>312</v>
      </c>
    </row>
    <row r="29" spans="1:19">
      <c r="A29" s="29" t="s">
        <v>221</v>
      </c>
      <c r="B29" s="29">
        <v>0</v>
      </c>
      <c r="C29" s="29"/>
      <c r="D29" s="29" t="s">
        <v>393</v>
      </c>
      <c r="E29" s="29" t="s">
        <v>222</v>
      </c>
      <c r="F29" s="29" t="s">
        <v>112</v>
      </c>
      <c r="G29" s="29" t="s">
        <v>250</v>
      </c>
      <c r="H29" s="29" t="s">
        <v>113</v>
      </c>
      <c r="I29" s="29" t="s">
        <v>114</v>
      </c>
      <c r="K29" s="22">
        <v>1172.4000000000001</v>
      </c>
      <c r="L29" s="22" t="b">
        <f>IF(FrzPt!B29&gt;0.0001, K29, FALSE)</f>
        <v>0</v>
      </c>
      <c r="P29" s="32"/>
      <c r="Q29" s="29" t="s">
        <v>61</v>
      </c>
      <c r="R29" s="38"/>
      <c r="S29" s="29" t="s">
        <v>313</v>
      </c>
    </row>
    <row r="30" spans="1:19">
      <c r="A30" s="29" t="s">
        <v>221</v>
      </c>
      <c r="B30" s="29">
        <v>1.3264337599999999E-3</v>
      </c>
      <c r="C30" s="29"/>
      <c r="D30" s="29" t="s">
        <v>393</v>
      </c>
      <c r="E30" s="29" t="s">
        <v>222</v>
      </c>
      <c r="F30" s="29" t="s">
        <v>112</v>
      </c>
      <c r="G30" s="29" t="s">
        <v>251</v>
      </c>
      <c r="H30" s="29" t="s">
        <v>113</v>
      </c>
      <c r="I30" s="29" t="s">
        <v>114</v>
      </c>
      <c r="K30" s="22">
        <v>338.99</v>
      </c>
      <c r="L30" s="22">
        <f>IF(FrzPt!B30&gt;0.0001, K30, FALSE)</f>
        <v>338.99</v>
      </c>
    </row>
    <row r="31" spans="1:19">
      <c r="A31" s="29" t="s">
        <v>221</v>
      </c>
      <c r="B31" s="29">
        <v>1.3926773600000001E-14</v>
      </c>
      <c r="C31" s="29"/>
      <c r="D31" s="29" t="s">
        <v>393</v>
      </c>
      <c r="E31" s="29" t="s">
        <v>222</v>
      </c>
      <c r="F31" s="29" t="s">
        <v>112</v>
      </c>
      <c r="G31" s="29" t="s">
        <v>252</v>
      </c>
      <c r="H31" s="29" t="s">
        <v>113</v>
      </c>
      <c r="I31" s="29" t="s">
        <v>114</v>
      </c>
      <c r="K31" s="22">
        <v>628.62620000000004</v>
      </c>
      <c r="L31" s="22" t="b">
        <f>IF(FrzPt!B31&gt;0.0001, K31, FALSE)</f>
        <v>0</v>
      </c>
    </row>
    <row r="32" spans="1:19">
      <c r="A32" s="29" t="s">
        <v>221</v>
      </c>
      <c r="B32" s="29">
        <v>0</v>
      </c>
      <c r="C32" s="29"/>
      <c r="D32" s="29" t="s">
        <v>393</v>
      </c>
      <c r="E32" s="29" t="s">
        <v>222</v>
      </c>
      <c r="F32" s="29" t="s">
        <v>112</v>
      </c>
      <c r="G32" s="29" t="s">
        <v>253</v>
      </c>
      <c r="H32" s="29" t="s">
        <v>113</v>
      </c>
      <c r="I32" s="29" t="s">
        <v>114</v>
      </c>
      <c r="K32" s="22">
        <v>832.41319999999996</v>
      </c>
      <c r="L32" s="22" t="b">
        <f>IF(FrzPt!B32&gt;0.0001, K32, FALSE)</f>
        <v>0</v>
      </c>
    </row>
    <row r="33" spans="1:31">
      <c r="A33" s="29" t="s">
        <v>221</v>
      </c>
      <c r="B33" s="29">
        <v>0</v>
      </c>
      <c r="C33" s="29"/>
      <c r="D33" s="29" t="s">
        <v>393</v>
      </c>
      <c r="E33" s="29" t="s">
        <v>222</v>
      </c>
      <c r="F33" s="29" t="s">
        <v>112</v>
      </c>
      <c r="G33" s="29" t="s">
        <v>193</v>
      </c>
      <c r="H33" s="29" t="s">
        <v>113</v>
      </c>
      <c r="I33" s="29" t="s">
        <v>114</v>
      </c>
      <c r="K33" s="22"/>
      <c r="L33" s="22" t="b">
        <f>IF(FrzPt!B33&gt;0.0001, K33, FALSE)</f>
        <v>0</v>
      </c>
      <c r="Q33" s="9"/>
      <c r="R33" s="9"/>
      <c r="S33" s="9" t="s">
        <v>66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29" t="s">
        <v>221</v>
      </c>
      <c r="B34" s="29">
        <v>0</v>
      </c>
      <c r="C34" s="29"/>
      <c r="D34" s="29" t="s">
        <v>393</v>
      </c>
      <c r="E34" s="29" t="s">
        <v>222</v>
      </c>
      <c r="F34" s="29" t="s">
        <v>112</v>
      </c>
      <c r="G34" s="29" t="s">
        <v>254</v>
      </c>
      <c r="H34" s="29" t="s">
        <v>113</v>
      </c>
      <c r="I34" s="29" t="s">
        <v>114</v>
      </c>
      <c r="K34" s="22">
        <v>4046.09</v>
      </c>
      <c r="L34" s="22" t="b">
        <f>IF(FrzPt!B34&gt;0.0001, K34, FALSE)</f>
        <v>0</v>
      </c>
      <c r="Q34" s="9"/>
      <c r="R34" s="9"/>
      <c r="S34" s="9">
        <v>7</v>
      </c>
      <c r="T34" s="9">
        <v>8</v>
      </c>
      <c r="U34" s="9">
        <v>9</v>
      </c>
      <c r="V34" s="9">
        <v>10</v>
      </c>
      <c r="W34" s="9">
        <v>11</v>
      </c>
      <c r="X34" s="9">
        <v>12</v>
      </c>
      <c r="Y34" s="9">
        <v>13</v>
      </c>
      <c r="Z34" s="9">
        <v>14</v>
      </c>
      <c r="AA34" s="9">
        <v>15</v>
      </c>
      <c r="AB34" s="9">
        <v>16</v>
      </c>
      <c r="AC34" s="9">
        <v>17</v>
      </c>
      <c r="AD34" s="9">
        <v>18</v>
      </c>
      <c r="AE34" s="9">
        <v>19</v>
      </c>
    </row>
    <row r="35" spans="1:31">
      <c r="A35" s="29" t="s">
        <v>221</v>
      </c>
      <c r="B35" s="29">
        <v>0</v>
      </c>
      <c r="C35" s="29"/>
      <c r="D35" s="29" t="s">
        <v>393</v>
      </c>
      <c r="E35" s="29" t="s">
        <v>222</v>
      </c>
      <c r="F35" s="29" t="s">
        <v>112</v>
      </c>
      <c r="G35" s="29" t="s">
        <v>255</v>
      </c>
      <c r="H35" s="29" t="s">
        <v>113</v>
      </c>
      <c r="I35" s="29" t="s">
        <v>114</v>
      </c>
      <c r="K35" s="22">
        <v>4046.09</v>
      </c>
      <c r="L35" s="22" t="b">
        <f>IF(FrzPt!B35&gt;0.0001, K35, FALSE)</f>
        <v>0</v>
      </c>
      <c r="Q35" s="9" t="s">
        <v>67</v>
      </c>
      <c r="R35" s="9">
        <v>1</v>
      </c>
      <c r="S35" s="9"/>
      <c r="T35" s="9" t="s">
        <v>65</v>
      </c>
      <c r="U35" s="9" t="s">
        <v>64</v>
      </c>
      <c r="V35" s="9"/>
      <c r="W35" s="9"/>
      <c r="X35" s="9" t="s">
        <v>41</v>
      </c>
      <c r="Y35" s="9"/>
      <c r="Z35" s="9"/>
      <c r="AA35" s="9"/>
      <c r="AB35" s="9"/>
      <c r="AC35" s="9"/>
      <c r="AD35" s="9"/>
      <c r="AE35" s="9"/>
    </row>
    <row r="36" spans="1:31">
      <c r="A36" s="29" t="s">
        <v>221</v>
      </c>
      <c r="B36" s="29">
        <v>1.6349205300000001E-5</v>
      </c>
      <c r="C36" s="29"/>
      <c r="D36" s="29" t="s">
        <v>393</v>
      </c>
      <c r="E36" s="29" t="s">
        <v>222</v>
      </c>
      <c r="F36" s="29" t="s">
        <v>112</v>
      </c>
      <c r="G36" s="29" t="s">
        <v>256</v>
      </c>
      <c r="H36" s="29" t="s">
        <v>113</v>
      </c>
      <c r="I36" s="29" t="s">
        <v>114</v>
      </c>
      <c r="K36" s="22">
        <v>325.88600000000002</v>
      </c>
      <c r="L36" s="22" t="b">
        <f>IF(FrzPt!B36&gt;0.0001, K36, FALSE)</f>
        <v>0</v>
      </c>
      <c r="Q36" s="9"/>
      <c r="R36" s="9">
        <v>2</v>
      </c>
      <c r="S36" s="9" t="s">
        <v>42</v>
      </c>
      <c r="T36" s="9"/>
      <c r="U36" s="9"/>
      <c r="V36" s="9" t="s">
        <v>43</v>
      </c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29" t="s">
        <v>221</v>
      </c>
      <c r="B37" s="29">
        <v>1.7638673599999999E-6</v>
      </c>
      <c r="C37" s="29"/>
      <c r="D37" s="29" t="s">
        <v>393</v>
      </c>
      <c r="E37" s="29" t="s">
        <v>222</v>
      </c>
      <c r="F37" s="29" t="s">
        <v>112</v>
      </c>
      <c r="G37" s="29" t="s">
        <v>257</v>
      </c>
      <c r="H37" s="29" t="s">
        <v>113</v>
      </c>
      <c r="I37" s="29" t="s">
        <v>114</v>
      </c>
      <c r="K37" s="22">
        <v>369.68</v>
      </c>
      <c r="L37" s="22" t="b">
        <f>IF(FrzPt!B37&gt;0.0001, K37, FALSE)</f>
        <v>0</v>
      </c>
      <c r="Q37" s="9"/>
      <c r="R37" s="9">
        <v>3</v>
      </c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29" t="s">
        <v>221</v>
      </c>
      <c r="B38" s="29">
        <v>0</v>
      </c>
      <c r="C38" s="29"/>
      <c r="D38" s="29" t="s">
        <v>393</v>
      </c>
      <c r="E38" s="29" t="s">
        <v>222</v>
      </c>
      <c r="F38" s="29" t="s">
        <v>112</v>
      </c>
      <c r="G38" s="29" t="s">
        <v>258</v>
      </c>
      <c r="H38" s="29" t="s">
        <v>113</v>
      </c>
      <c r="I38" s="29" t="s">
        <v>114</v>
      </c>
      <c r="K38" s="22">
        <v>360.71600000000001</v>
      </c>
      <c r="L38" s="22" t="b">
        <f>IF(FrzPt!B38&gt;0.0001, K38, FALSE)</f>
        <v>0</v>
      </c>
      <c r="Q38" s="9"/>
      <c r="R38" s="9">
        <v>4</v>
      </c>
      <c r="S38" s="9" t="s">
        <v>347</v>
      </c>
      <c r="T38" s="9"/>
      <c r="U38" s="9"/>
      <c r="V38" s="9" t="s">
        <v>47</v>
      </c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29" t="s">
        <v>221</v>
      </c>
      <c r="B39" s="29">
        <v>0</v>
      </c>
      <c r="C39" s="29"/>
      <c r="D39" s="29" t="s">
        <v>393</v>
      </c>
      <c r="E39" s="29" t="s">
        <v>222</v>
      </c>
      <c r="F39" s="29" t="s">
        <v>112</v>
      </c>
      <c r="G39" s="29" t="s">
        <v>259</v>
      </c>
      <c r="H39" s="29" t="s">
        <v>113</v>
      </c>
      <c r="I39" s="29" t="s">
        <v>114</v>
      </c>
      <c r="K39" s="22">
        <v>650.92999999999995</v>
      </c>
      <c r="L39" s="22" t="b">
        <f>IF(FrzPt!B39&gt;0.0001, K39, FALSE)</f>
        <v>0</v>
      </c>
      <c r="Q39" s="9"/>
      <c r="R39" s="9">
        <v>5</v>
      </c>
      <c r="S39" s="9" t="s">
        <v>346</v>
      </c>
      <c r="T39" s="9" t="s">
        <v>345</v>
      </c>
      <c r="U39" s="9"/>
      <c r="V39" s="9" t="s">
        <v>60</v>
      </c>
      <c r="W39" s="9"/>
      <c r="X39" s="9"/>
      <c r="Y39" s="9"/>
      <c r="Z39" s="9"/>
      <c r="AA39" s="9"/>
      <c r="AB39" s="9"/>
      <c r="AC39" s="9"/>
      <c r="AD39" s="9"/>
      <c r="AE39" s="9"/>
    </row>
    <row r="40" spans="1:31">
      <c r="A40" s="29" t="s">
        <v>221</v>
      </c>
      <c r="B40" s="29">
        <v>0</v>
      </c>
      <c r="C40" s="29"/>
      <c r="D40" s="29" t="s">
        <v>393</v>
      </c>
      <c r="E40" s="29" t="s">
        <v>222</v>
      </c>
      <c r="F40" s="29" t="s">
        <v>112</v>
      </c>
      <c r="G40" s="29" t="s">
        <v>260</v>
      </c>
      <c r="H40" s="29" t="s">
        <v>113</v>
      </c>
      <c r="I40" s="29" t="s">
        <v>114</v>
      </c>
      <c r="K40" s="22">
        <v>814.55</v>
      </c>
      <c r="L40" s="22" t="b">
        <f>IF(FrzPt!B40&gt;0.0001, K40, FALSE)</f>
        <v>0</v>
      </c>
      <c r="Q40" s="9"/>
      <c r="R40" s="9">
        <v>6</v>
      </c>
      <c r="S40" s="9"/>
      <c r="T40" s="9"/>
      <c r="U40" s="9"/>
      <c r="V40" s="9"/>
      <c r="W40" s="9"/>
      <c r="X40" s="9" t="s">
        <v>68</v>
      </c>
      <c r="Y40" s="9"/>
      <c r="Z40" s="9"/>
      <c r="AA40" s="9"/>
      <c r="AB40" s="13" t="s">
        <v>69</v>
      </c>
      <c r="AC40" s="9"/>
      <c r="AD40" s="9"/>
      <c r="AE40" s="9"/>
    </row>
    <row r="41" spans="1:31">
      <c r="A41" s="29" t="s">
        <v>221</v>
      </c>
      <c r="B41" s="29">
        <v>4.6767224699999996E-10</v>
      </c>
      <c r="C41" s="29"/>
      <c r="D41" s="29" t="s">
        <v>393</v>
      </c>
      <c r="E41" s="29" t="s">
        <v>222</v>
      </c>
      <c r="F41" s="29" t="s">
        <v>112</v>
      </c>
      <c r="G41" s="29" t="s">
        <v>261</v>
      </c>
      <c r="H41" s="29" t="s">
        <v>113</v>
      </c>
      <c r="I41" s="29" t="s">
        <v>114</v>
      </c>
      <c r="K41" s="22">
        <v>155.678</v>
      </c>
      <c r="L41" s="22" t="b">
        <f>IF(FrzPt!B41&gt;0.0001, K41, FALSE)</f>
        <v>0</v>
      </c>
      <c r="Q41" s="9"/>
      <c r="R41" s="9">
        <v>7</v>
      </c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>
      <c r="A42" s="29" t="s">
        <v>221</v>
      </c>
      <c r="B42" s="29">
        <v>2.8531580800000001E-2</v>
      </c>
      <c r="C42" s="29"/>
      <c r="D42" s="29" t="s">
        <v>393</v>
      </c>
      <c r="E42" s="29" t="s">
        <v>222</v>
      </c>
      <c r="F42" s="29" t="s">
        <v>112</v>
      </c>
      <c r="G42" s="29" t="s">
        <v>262</v>
      </c>
      <c r="H42" s="29" t="s">
        <v>113</v>
      </c>
      <c r="I42" s="29" t="s">
        <v>114</v>
      </c>
      <c r="K42" s="22">
        <v>421.34</v>
      </c>
      <c r="L42" s="22">
        <f>IF(FrzPt!B42&gt;0.0001, K42, FALSE)</f>
        <v>421.34</v>
      </c>
      <c r="Q42" s="9"/>
      <c r="R42" s="9">
        <v>8</v>
      </c>
      <c r="S42" s="9" t="s">
        <v>348</v>
      </c>
      <c r="T42" s="9" t="s">
        <v>349</v>
      </c>
      <c r="U42" s="9" t="s">
        <v>351</v>
      </c>
      <c r="V42" s="9" t="s">
        <v>51</v>
      </c>
      <c r="W42" s="9"/>
      <c r="X42" s="9" t="s">
        <v>350</v>
      </c>
      <c r="Y42" s="9"/>
      <c r="Z42" s="9"/>
      <c r="AA42" s="9"/>
      <c r="AB42" s="9"/>
      <c r="AC42" s="9"/>
      <c r="AD42" s="9"/>
      <c r="AE42" s="9"/>
    </row>
    <row r="43" spans="1:31">
      <c r="A43" s="29" t="s">
        <v>221</v>
      </c>
      <c r="B43" s="29">
        <v>1.9990156099999998E-5</v>
      </c>
      <c r="C43" s="29"/>
      <c r="D43" s="29" t="s">
        <v>393</v>
      </c>
      <c r="E43" s="29" t="s">
        <v>222</v>
      </c>
      <c r="F43" s="29" t="s">
        <v>112</v>
      </c>
      <c r="G43" s="29" t="s">
        <v>263</v>
      </c>
      <c r="H43" s="29" t="s">
        <v>113</v>
      </c>
      <c r="I43" s="29" t="s">
        <v>114</v>
      </c>
      <c r="K43" s="22">
        <v>197.33</v>
      </c>
      <c r="L43" s="22" t="b">
        <f>IF(FrzPt!B43&gt;0.0001, K43, FALSE)</f>
        <v>0</v>
      </c>
      <c r="Q43" s="9"/>
      <c r="R43" s="9">
        <v>9</v>
      </c>
      <c r="S43" s="9"/>
      <c r="T43" s="9"/>
      <c r="U43" s="9"/>
      <c r="V43" s="9"/>
      <c r="W43" s="9"/>
      <c r="X43" s="13" t="s">
        <v>70</v>
      </c>
      <c r="Y43" s="9"/>
      <c r="Z43" s="9" t="s">
        <v>54</v>
      </c>
      <c r="AA43" s="9"/>
      <c r="AB43" s="13" t="s">
        <v>59</v>
      </c>
      <c r="AC43" s="9"/>
      <c r="AD43" s="9"/>
      <c r="AE43" s="9"/>
    </row>
    <row r="44" spans="1:31">
      <c r="A44" s="29" t="s">
        <v>221</v>
      </c>
      <c r="B44" s="29">
        <v>0.137929895</v>
      </c>
      <c r="C44" s="29"/>
      <c r="D44" s="29" t="s">
        <v>393</v>
      </c>
      <c r="E44" s="29" t="s">
        <v>222</v>
      </c>
      <c r="F44" s="29" t="s">
        <v>112</v>
      </c>
      <c r="G44" s="29" t="s">
        <v>264</v>
      </c>
      <c r="H44" s="29" t="s">
        <v>113</v>
      </c>
      <c r="I44" s="29" t="s">
        <v>114</v>
      </c>
      <c r="K44" s="22">
        <v>330.26</v>
      </c>
      <c r="L44" s="22">
        <f>IF(FrzPt!B44&gt;0.0001, K44, FALSE)</f>
        <v>330.26</v>
      </c>
      <c r="Q44" s="9"/>
      <c r="R44" s="9">
        <v>10</v>
      </c>
      <c r="S44" s="9"/>
      <c r="T44" s="9"/>
      <c r="U44" s="9" t="s">
        <v>71</v>
      </c>
      <c r="V44" s="9"/>
      <c r="W44" s="9"/>
      <c r="X44" s="9"/>
      <c r="Y44" s="9"/>
      <c r="Z44" s="9"/>
      <c r="AA44" s="9"/>
      <c r="AB44" s="13" t="s">
        <v>57</v>
      </c>
      <c r="AC44" s="9"/>
      <c r="AD44" s="9"/>
      <c r="AE44" s="9"/>
    </row>
    <row r="45" spans="1:31">
      <c r="A45" s="29" t="s">
        <v>221</v>
      </c>
      <c r="B45" s="29">
        <v>3.1620370100000003E-2</v>
      </c>
      <c r="C45" s="29"/>
      <c r="D45" s="29" t="s">
        <v>393</v>
      </c>
      <c r="E45" s="29" t="s">
        <v>222</v>
      </c>
      <c r="F45" s="29" t="s">
        <v>112</v>
      </c>
      <c r="G45" s="29" t="s">
        <v>265</v>
      </c>
      <c r="H45" s="29" t="s">
        <v>113</v>
      </c>
      <c r="I45" s="29" t="s">
        <v>114</v>
      </c>
      <c r="K45" s="22">
        <v>218.24600000000001</v>
      </c>
      <c r="L45" s="22">
        <f>IF(FrzPt!B45&gt;0.0001, K45, FALSE)</f>
        <v>218.24600000000001</v>
      </c>
      <c r="Q45" s="9"/>
      <c r="R45" s="9"/>
      <c r="S45" s="12"/>
      <c r="T45" s="12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>
      <c r="A46" s="29" t="s">
        <v>221</v>
      </c>
      <c r="B46" s="29">
        <v>0.114128312</v>
      </c>
      <c r="C46" s="29"/>
      <c r="D46" s="29" t="s">
        <v>393</v>
      </c>
      <c r="E46" s="29" t="s">
        <v>222</v>
      </c>
      <c r="F46" s="29" t="s">
        <v>112</v>
      </c>
      <c r="G46" s="29" t="s">
        <v>266</v>
      </c>
      <c r="H46" s="29" t="s">
        <v>113</v>
      </c>
      <c r="I46" s="29" t="s">
        <v>114</v>
      </c>
      <c r="K46" s="22">
        <v>250.7396</v>
      </c>
      <c r="L46" s="22">
        <f>IF(FrzPt!B46&gt;0.0001, K46, FALSE)</f>
        <v>250.7396</v>
      </c>
      <c r="Q46" s="9"/>
      <c r="R46" s="9"/>
      <c r="S46" s="9">
        <v>7</v>
      </c>
      <c r="T46" s="9">
        <v>8</v>
      </c>
      <c r="U46" s="9">
        <v>9</v>
      </c>
      <c r="V46" s="9">
        <v>10</v>
      </c>
      <c r="W46" s="9">
        <v>11</v>
      </c>
      <c r="X46" s="9">
        <v>12</v>
      </c>
      <c r="Y46" s="9">
        <v>13</v>
      </c>
      <c r="Z46" s="9">
        <v>14</v>
      </c>
      <c r="AA46" s="9">
        <v>15</v>
      </c>
      <c r="AB46" s="9">
        <v>16</v>
      </c>
      <c r="AC46" s="9">
        <v>17</v>
      </c>
      <c r="AD46" s="9">
        <v>18</v>
      </c>
      <c r="AE46" s="9">
        <v>19</v>
      </c>
    </row>
    <row r="47" spans="1:31">
      <c r="A47" s="29" t="s">
        <v>221</v>
      </c>
      <c r="B47" s="29">
        <v>5.53845418E-7</v>
      </c>
      <c r="C47" s="29"/>
      <c r="D47" s="29" t="s">
        <v>393</v>
      </c>
      <c r="E47" s="29" t="s">
        <v>222</v>
      </c>
      <c r="F47" s="29" t="s">
        <v>112</v>
      </c>
      <c r="G47" s="29" t="s">
        <v>267</v>
      </c>
      <c r="H47" s="29" t="s">
        <v>113</v>
      </c>
      <c r="I47" s="29" t="s">
        <v>114</v>
      </c>
      <c r="K47" s="22">
        <v>177.29599999999999</v>
      </c>
      <c r="L47" s="22" t="b">
        <f>IF(FrzPt!B47&gt;0.0001, K47, FALSE)</f>
        <v>0</v>
      </c>
      <c r="Q47" s="9"/>
      <c r="R47" s="9">
        <v>1</v>
      </c>
      <c r="S47" s="9"/>
      <c r="T47" s="9">
        <f>B69</f>
        <v>0.10524167600000001</v>
      </c>
      <c r="U47" s="9">
        <f>B68</f>
        <v>0.19147323099999999</v>
      </c>
      <c r="V47" s="9"/>
      <c r="W47" s="9"/>
      <c r="X47" s="9">
        <f>B42</f>
        <v>2.8531580800000001E-2</v>
      </c>
      <c r="Y47" s="9"/>
      <c r="Z47" s="9"/>
      <c r="AA47" s="9"/>
      <c r="AB47" s="9"/>
      <c r="AC47" s="9"/>
      <c r="AD47" s="9"/>
      <c r="AE47" s="9"/>
    </row>
    <row r="48" spans="1:31">
      <c r="A48" s="29" t="s">
        <v>221</v>
      </c>
      <c r="B48" s="29">
        <v>7.8656627100000001E-2</v>
      </c>
      <c r="C48" s="29"/>
      <c r="D48" s="29" t="s">
        <v>393</v>
      </c>
      <c r="E48" s="29" t="s">
        <v>222</v>
      </c>
      <c r="F48" s="29" t="s">
        <v>112</v>
      </c>
      <c r="G48" s="29" t="s">
        <v>268</v>
      </c>
      <c r="H48" s="29" t="s">
        <v>113</v>
      </c>
      <c r="I48" s="29" t="s">
        <v>114</v>
      </c>
      <c r="K48" s="22">
        <v>357.76580000000001</v>
      </c>
      <c r="L48" s="22">
        <f>IF(FrzPt!B48&gt;0.0001, K48, FALSE)</f>
        <v>357.76580000000001</v>
      </c>
      <c r="Q48" s="9"/>
      <c r="R48" s="9">
        <v>2</v>
      </c>
      <c r="S48" s="9">
        <f>B43</f>
        <v>1.9990156099999998E-5</v>
      </c>
      <c r="T48" s="9"/>
      <c r="U48" s="9"/>
      <c r="V48" s="9">
        <f>B44</f>
        <v>0.137929895</v>
      </c>
      <c r="W48" s="9"/>
      <c r="X48" s="9"/>
      <c r="Y48" s="9"/>
      <c r="Z48" s="9"/>
      <c r="AA48" s="9"/>
      <c r="AB48" s="9"/>
      <c r="AC48" s="9"/>
      <c r="AD48" s="9"/>
      <c r="AE48" s="9"/>
    </row>
    <row r="49" spans="1:33">
      <c r="A49" s="29" t="s">
        <v>221</v>
      </c>
      <c r="B49" s="29">
        <v>3.9859694900000002E-5</v>
      </c>
      <c r="C49" s="29"/>
      <c r="D49" s="29" t="s">
        <v>393</v>
      </c>
      <c r="E49" s="29" t="s">
        <v>222</v>
      </c>
      <c r="F49" s="29" t="s">
        <v>112</v>
      </c>
      <c r="G49" s="29" t="s">
        <v>269</v>
      </c>
      <c r="H49" s="29" t="s">
        <v>113</v>
      </c>
      <c r="I49" s="29" t="s">
        <v>114</v>
      </c>
      <c r="K49" s="22">
        <v>462.27199999999999</v>
      </c>
      <c r="L49" s="22" t="b">
        <f>IF(FrzPt!B49&gt;0.0001, K49, FALSE)</f>
        <v>0</v>
      </c>
      <c r="Q49" s="9"/>
      <c r="R49" s="9">
        <v>3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spans="1:33">
      <c r="A50" s="29" t="s">
        <v>221</v>
      </c>
      <c r="B50" s="29">
        <v>4.34739684E-2</v>
      </c>
      <c r="C50" s="29"/>
      <c r="D50" s="29" t="s">
        <v>393</v>
      </c>
      <c r="E50" s="29" t="s">
        <v>222</v>
      </c>
      <c r="F50" s="29" t="s">
        <v>112</v>
      </c>
      <c r="G50" s="29" t="s">
        <v>270</v>
      </c>
      <c r="H50" s="29" t="s">
        <v>113</v>
      </c>
      <c r="I50" s="29" t="s">
        <v>114</v>
      </c>
      <c r="K50" s="22">
        <v>397.91300000000001</v>
      </c>
      <c r="L50" s="22">
        <f>IF(FrzPt!B50&gt;0.0001, K50, FALSE)</f>
        <v>397.91300000000001</v>
      </c>
      <c r="Q50" s="9"/>
      <c r="R50" s="9">
        <v>4</v>
      </c>
      <c r="S50" s="9">
        <f>B45+B67+B76+B77</f>
        <v>7.4750651299999998E-2</v>
      </c>
      <c r="T50" s="9"/>
      <c r="U50" s="9"/>
      <c r="V50" s="9">
        <f>+B48</f>
        <v>7.8656627100000001E-2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spans="1:33">
      <c r="A51" s="29" t="s">
        <v>221</v>
      </c>
      <c r="B51" s="29">
        <v>0.17841343300000001</v>
      </c>
      <c r="C51" s="29"/>
      <c r="D51" s="29" t="s">
        <v>393</v>
      </c>
      <c r="E51" s="29" t="s">
        <v>222</v>
      </c>
      <c r="F51" s="29" t="s">
        <v>112</v>
      </c>
      <c r="G51" s="29" t="s">
        <v>271</v>
      </c>
      <c r="H51" s="29" t="s">
        <v>113</v>
      </c>
      <c r="I51" s="29" t="s">
        <v>114</v>
      </c>
      <c r="K51" s="22">
        <v>291.72199999999998</v>
      </c>
      <c r="L51" s="22">
        <f>IF(FrzPt!B51&gt;0.0001, K51, FALSE)</f>
        <v>291.72199999999998</v>
      </c>
      <c r="Q51" s="9"/>
      <c r="R51" s="9">
        <v>5</v>
      </c>
      <c r="S51" s="9">
        <f>+B72</f>
        <v>0</v>
      </c>
      <c r="T51" s="9">
        <f>+B46+B74</f>
        <v>0.114128312</v>
      </c>
      <c r="U51" s="9"/>
      <c r="V51" s="9">
        <v>0</v>
      </c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spans="1:33">
      <c r="A52" s="29" t="s">
        <v>221</v>
      </c>
      <c r="B52" s="29">
        <v>0</v>
      </c>
      <c r="C52" s="29"/>
      <c r="D52" s="29" t="s">
        <v>393</v>
      </c>
      <c r="E52" s="29" t="s">
        <v>222</v>
      </c>
      <c r="F52" s="29" t="s">
        <v>112</v>
      </c>
      <c r="G52" s="29" t="s">
        <v>272</v>
      </c>
      <c r="H52" s="29" t="s">
        <v>113</v>
      </c>
      <c r="I52" s="29" t="s">
        <v>114</v>
      </c>
      <c r="K52" s="22">
        <v>378.14</v>
      </c>
      <c r="L52" s="22" t="b">
        <f>IF(FrzPt!B52&gt;0.0001, K52, FALSE)</f>
        <v>0</v>
      </c>
      <c r="Q52" s="9"/>
      <c r="R52" s="9">
        <v>6</v>
      </c>
      <c r="S52" s="9"/>
      <c r="T52" s="9"/>
      <c r="U52" s="9"/>
      <c r="V52" s="9"/>
      <c r="W52" s="9"/>
      <c r="X52" s="9">
        <f>+B49+B50</f>
        <v>4.3513828094900002E-2</v>
      </c>
      <c r="Y52" s="9"/>
      <c r="Z52" s="9"/>
      <c r="AA52" s="9"/>
      <c r="AB52" s="13"/>
      <c r="AC52" s="9"/>
      <c r="AD52" s="9"/>
      <c r="AE52" s="9"/>
      <c r="AF52" s="9"/>
      <c r="AG52" s="9"/>
    </row>
    <row r="53" spans="1:33">
      <c r="A53" s="29" t="s">
        <v>221</v>
      </c>
      <c r="B53" s="29">
        <v>1.70177744E-16</v>
      </c>
      <c r="C53" s="29"/>
      <c r="D53" s="29" t="s">
        <v>393</v>
      </c>
      <c r="E53" s="29" t="s">
        <v>222</v>
      </c>
      <c r="F53" s="29" t="s">
        <v>112</v>
      </c>
      <c r="G53" s="29" t="s">
        <v>273</v>
      </c>
      <c r="H53" s="29" t="s">
        <v>113</v>
      </c>
      <c r="I53" s="29" t="s">
        <v>114</v>
      </c>
      <c r="K53" s="22">
        <v>670.91</v>
      </c>
      <c r="L53" s="22" t="b">
        <f>IF(FrzPt!B53&gt;0.0001, K53, FALSE)</f>
        <v>0</v>
      </c>
      <c r="Q53" s="9"/>
      <c r="R53" s="9">
        <v>7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spans="1:33">
      <c r="A54" s="29" t="s">
        <v>221</v>
      </c>
      <c r="B54" s="29">
        <v>1.26265394E-19</v>
      </c>
      <c r="C54" s="29"/>
      <c r="D54" s="29" t="s">
        <v>393</v>
      </c>
      <c r="E54" s="29" t="s">
        <v>222</v>
      </c>
      <c r="F54" s="29" t="s">
        <v>112</v>
      </c>
      <c r="G54" s="29" t="s">
        <v>274</v>
      </c>
      <c r="H54" s="29" t="s">
        <v>113</v>
      </c>
      <c r="I54" s="29" t="s">
        <v>114</v>
      </c>
      <c r="K54" s="22">
        <v>742.64</v>
      </c>
      <c r="L54" s="22" t="b">
        <f>IF(FrzPt!B54&gt;0.0001, K54, FALSE)</f>
        <v>0</v>
      </c>
      <c r="Q54" s="9"/>
      <c r="R54" s="9">
        <v>8</v>
      </c>
      <c r="S54" s="9">
        <f>+B79</f>
        <v>0</v>
      </c>
      <c r="T54" s="9">
        <f>+B51+B80</f>
        <v>0.17841343300000001</v>
      </c>
      <c r="U54" s="9">
        <f>+B30+B82</f>
        <v>5.6748994499999997E-3</v>
      </c>
      <c r="V54" s="9">
        <f>+B52</f>
        <v>0</v>
      </c>
      <c r="W54" s="9"/>
      <c r="X54" s="9">
        <f>+B81</f>
        <v>0</v>
      </c>
      <c r="Y54" s="9"/>
      <c r="Z54" s="9"/>
      <c r="AA54" s="9"/>
      <c r="AB54" s="9"/>
      <c r="AC54" s="9"/>
      <c r="AD54" s="9"/>
      <c r="AE54" s="9"/>
      <c r="AF54" s="9"/>
      <c r="AG54" s="9"/>
    </row>
    <row r="55" spans="1:33">
      <c r="A55" s="29" t="s">
        <v>221</v>
      </c>
      <c r="B55" s="29">
        <v>5.9366415199999996E-10</v>
      </c>
      <c r="C55" s="29"/>
      <c r="D55" s="29" t="s">
        <v>393</v>
      </c>
      <c r="E55" s="29" t="s">
        <v>222</v>
      </c>
      <c r="F55" s="29" t="s">
        <v>112</v>
      </c>
      <c r="G55" s="29" t="s">
        <v>275</v>
      </c>
      <c r="H55" s="29" t="s">
        <v>113</v>
      </c>
      <c r="I55" s="29" t="s">
        <v>114</v>
      </c>
      <c r="K55" s="22">
        <v>536.9</v>
      </c>
      <c r="L55" s="22" t="b">
        <f>IF(FrzPt!B55&gt;0.0001, K55, FALSE)</f>
        <v>0</v>
      </c>
      <c r="Q55" s="9"/>
      <c r="R55" s="9">
        <v>9</v>
      </c>
      <c r="S55" s="9"/>
      <c r="T55" s="9"/>
      <c r="U55" s="9"/>
      <c r="V55" s="9"/>
      <c r="W55" s="9"/>
      <c r="X55" s="13">
        <f>+B57+B59</f>
        <v>4.0863585759999999E-5</v>
      </c>
      <c r="Y55" s="9"/>
      <c r="Z55" s="9">
        <f>+B55</f>
        <v>5.9366415199999996E-10</v>
      </c>
      <c r="AA55" s="9"/>
      <c r="AB55" s="13">
        <f>+B60</f>
        <v>2.42573706E-15</v>
      </c>
      <c r="AC55" s="9"/>
      <c r="AD55" s="9"/>
      <c r="AE55" s="9"/>
      <c r="AF55" s="9"/>
      <c r="AG55" s="9"/>
    </row>
    <row r="56" spans="1:33">
      <c r="A56" s="29" t="s">
        <v>221</v>
      </c>
      <c r="B56" s="29">
        <v>4.0291875099999999E-2</v>
      </c>
      <c r="C56" s="29"/>
      <c r="D56" s="29" t="s">
        <v>393</v>
      </c>
      <c r="E56" s="29" t="s">
        <v>222</v>
      </c>
      <c r="F56" s="29" t="s">
        <v>112</v>
      </c>
      <c r="G56" s="29" t="s">
        <v>276</v>
      </c>
      <c r="H56" s="29" t="s">
        <v>113</v>
      </c>
      <c r="I56" s="29" t="s">
        <v>114</v>
      </c>
      <c r="K56" s="22">
        <v>352.346</v>
      </c>
      <c r="L56" s="22">
        <f>IF(FrzPt!B56&gt;0.0001, K56, FALSE)</f>
        <v>352.346</v>
      </c>
      <c r="Q56" s="9"/>
      <c r="R56" s="9">
        <v>10</v>
      </c>
      <c r="S56" s="9"/>
      <c r="T56" s="9"/>
      <c r="U56" s="9">
        <f>+B56</f>
        <v>4.0291875099999999E-2</v>
      </c>
      <c r="V56" s="9"/>
      <c r="W56" s="9"/>
      <c r="X56" s="9"/>
      <c r="Y56" s="9"/>
      <c r="Z56" s="9"/>
      <c r="AA56" s="9"/>
      <c r="AB56" s="13">
        <f>+B58</f>
        <v>4.1055947299999998E-14</v>
      </c>
      <c r="AC56" s="9"/>
      <c r="AD56" s="9"/>
      <c r="AE56" s="9"/>
      <c r="AF56" s="9"/>
      <c r="AG56" s="9"/>
    </row>
    <row r="57" spans="1:33">
      <c r="A57" s="29" t="s">
        <v>221</v>
      </c>
      <c r="B57" s="29">
        <v>4.02824598E-5</v>
      </c>
      <c r="C57" s="29"/>
      <c r="D57" s="29" t="s">
        <v>393</v>
      </c>
      <c r="E57" s="29" t="s">
        <v>222</v>
      </c>
      <c r="F57" s="29" t="s">
        <v>112</v>
      </c>
      <c r="G57" s="29" t="s">
        <v>277</v>
      </c>
      <c r="H57" s="29" t="s">
        <v>113</v>
      </c>
      <c r="I57" s="29" t="s">
        <v>114</v>
      </c>
      <c r="K57" s="22">
        <v>456.53</v>
      </c>
      <c r="L57" s="22" t="b">
        <f>IF(FrzPt!B57&gt;0.0001, K57, FALSE)</f>
        <v>0</v>
      </c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spans="1:33">
      <c r="A58" s="29" t="s">
        <v>221</v>
      </c>
      <c r="B58" s="29">
        <v>4.1055947299999998E-14</v>
      </c>
      <c r="C58" s="29"/>
      <c r="D58" s="29" t="s">
        <v>393</v>
      </c>
      <c r="E58" s="29" t="s">
        <v>222</v>
      </c>
      <c r="F58" s="29" t="s">
        <v>112</v>
      </c>
      <c r="G58" s="29" t="s">
        <v>278</v>
      </c>
      <c r="H58" s="29" t="s">
        <v>113</v>
      </c>
      <c r="I58" s="29" t="s">
        <v>114</v>
      </c>
      <c r="K58" s="22">
        <v>590.44100000000003</v>
      </c>
      <c r="L58" s="22" t="b">
        <f>IF(FrzPt!B58&gt;0.0001, K58, FALSE)</f>
        <v>0</v>
      </c>
      <c r="Q58" s="9"/>
      <c r="R58" s="9"/>
      <c r="S58" s="9">
        <f>SUMIF(S62:AE71, "&lt;&gt;", S47:AE56)</f>
        <v>0.99862599959466414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spans="1:33">
      <c r="A59" s="29" t="s">
        <v>221</v>
      </c>
      <c r="B59" s="29">
        <v>5.8112595999999997E-7</v>
      </c>
      <c r="C59" s="29"/>
      <c r="D59" s="29" t="s">
        <v>393</v>
      </c>
      <c r="E59" s="29" t="s">
        <v>222</v>
      </c>
      <c r="F59" s="29" t="s">
        <v>112</v>
      </c>
      <c r="G59" s="29" t="s">
        <v>279</v>
      </c>
      <c r="H59" s="29" t="s">
        <v>113</v>
      </c>
      <c r="I59" s="29" t="s">
        <v>114</v>
      </c>
      <c r="K59" s="22">
        <v>505.4</v>
      </c>
      <c r="L59" s="22" t="b">
        <f>IF(FrzPt!B59&gt;0.0001, K59, FALSE)</f>
        <v>0</v>
      </c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spans="1:33">
      <c r="A60" s="29" t="s">
        <v>221</v>
      </c>
      <c r="B60" s="29">
        <v>2.42573706E-15</v>
      </c>
      <c r="C60" s="29"/>
      <c r="D60" s="29" t="s">
        <v>393</v>
      </c>
      <c r="E60" s="29" t="s">
        <v>222</v>
      </c>
      <c r="F60" s="29" t="s">
        <v>112</v>
      </c>
      <c r="G60" s="29" t="s">
        <v>280</v>
      </c>
      <c r="H60" s="29" t="s">
        <v>113</v>
      </c>
      <c r="I60" s="29" t="s">
        <v>114</v>
      </c>
      <c r="K60" s="22">
        <v>633.20000000000005</v>
      </c>
      <c r="L60" s="22" t="b">
        <f>IF(FrzPt!B60&gt;0.0001, K60, FALSE)</f>
        <v>0</v>
      </c>
      <c r="Q60" s="9"/>
      <c r="R60" s="9"/>
      <c r="S60" s="12"/>
      <c r="T60" s="12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spans="1:33">
      <c r="A61" s="29" t="s">
        <v>221</v>
      </c>
      <c r="B61" s="29">
        <v>1.2419303200000001E-3</v>
      </c>
      <c r="C61" s="29"/>
      <c r="D61" s="29" t="s">
        <v>393</v>
      </c>
      <c r="E61" s="29" t="s">
        <v>222</v>
      </c>
      <c r="F61" s="29" t="s">
        <v>112</v>
      </c>
      <c r="G61" s="29" t="s">
        <v>281</v>
      </c>
      <c r="H61" s="29" t="s">
        <v>113</v>
      </c>
      <c r="I61" s="29" t="s">
        <v>114</v>
      </c>
      <c r="K61" s="22">
        <v>450.5</v>
      </c>
      <c r="L61" s="22">
        <f>IF(FrzPt!B61&gt;0.0001, K61, FALSE)</f>
        <v>450.5</v>
      </c>
      <c r="Q61" s="9" t="s">
        <v>72</v>
      </c>
      <c r="R61" s="9" t="s">
        <v>67</v>
      </c>
      <c r="S61" s="9" t="s">
        <v>73</v>
      </c>
      <c r="T61" s="9" t="s">
        <v>74</v>
      </c>
      <c r="U61" s="9" t="s">
        <v>75</v>
      </c>
      <c r="V61" s="9" t="s">
        <v>76</v>
      </c>
      <c r="W61" s="9" t="s">
        <v>77</v>
      </c>
      <c r="X61" s="9" t="s">
        <v>78</v>
      </c>
      <c r="Y61" s="9" t="s">
        <v>79</v>
      </c>
      <c r="Z61" s="9" t="s">
        <v>80</v>
      </c>
      <c r="AA61" s="9" t="s">
        <v>81</v>
      </c>
      <c r="AB61" s="9" t="s">
        <v>82</v>
      </c>
      <c r="AC61" s="9" t="s">
        <v>83</v>
      </c>
      <c r="AD61" s="9" t="s">
        <v>84</v>
      </c>
      <c r="AE61" s="9" t="s">
        <v>85</v>
      </c>
      <c r="AF61" s="9"/>
      <c r="AG61" s="9" t="s">
        <v>86</v>
      </c>
    </row>
    <row r="62" spans="1:33">
      <c r="A62" s="29" t="s">
        <v>221</v>
      </c>
      <c r="B62" s="29">
        <v>0</v>
      </c>
      <c r="C62" s="29"/>
      <c r="D62" s="29" t="s">
        <v>393</v>
      </c>
      <c r="E62" s="29" t="s">
        <v>222</v>
      </c>
      <c r="F62" s="29" t="s">
        <v>112</v>
      </c>
      <c r="G62" s="29" t="s">
        <v>282</v>
      </c>
      <c r="H62" s="29" t="s">
        <v>113</v>
      </c>
      <c r="I62" s="29" t="s">
        <v>114</v>
      </c>
      <c r="K62" s="22">
        <v>99.194000000000401</v>
      </c>
      <c r="L62" s="22" t="b">
        <f>IF(FrzPt!B62&gt;0.0001, K62, FALSE)</f>
        <v>0</v>
      </c>
      <c r="Q62" s="9"/>
      <c r="R62" s="9" t="s">
        <v>87</v>
      </c>
      <c r="S62" s="9">
        <v>-91</v>
      </c>
      <c r="T62" s="9">
        <v>-56.8</v>
      </c>
      <c r="U62" s="9">
        <v>-51</v>
      </c>
      <c r="V62" s="9">
        <v>-30</v>
      </c>
      <c r="W62" s="9">
        <v>-25.6</v>
      </c>
      <c r="X62" s="9">
        <v>-12</v>
      </c>
      <c r="Y62" s="9">
        <v>-5.5</v>
      </c>
      <c r="Z62" s="9">
        <v>5.9</v>
      </c>
      <c r="AA62" s="9">
        <v>10</v>
      </c>
      <c r="AB62" s="9">
        <v>18.2</v>
      </c>
      <c r="AC62" s="9">
        <v>22</v>
      </c>
      <c r="AD62" s="9">
        <v>28</v>
      </c>
      <c r="AE62" s="9">
        <v>30</v>
      </c>
      <c r="AF62" s="9"/>
      <c r="AG62" s="9">
        <v>3.02</v>
      </c>
    </row>
    <row r="63" spans="1:33">
      <c r="A63" s="29" t="s">
        <v>221</v>
      </c>
      <c r="B63" s="29">
        <v>0</v>
      </c>
      <c r="C63" s="29"/>
      <c r="D63" s="29" t="s">
        <v>393</v>
      </c>
      <c r="E63" s="29" t="s">
        <v>222</v>
      </c>
      <c r="F63" s="29" t="s">
        <v>112</v>
      </c>
      <c r="G63" s="29" t="s">
        <v>283</v>
      </c>
      <c r="H63" s="29" t="s">
        <v>113</v>
      </c>
      <c r="I63" s="29" t="s">
        <v>114</v>
      </c>
      <c r="K63" s="22">
        <v>96.9080000000003</v>
      </c>
      <c r="L63" s="22" t="b">
        <f>IF(FrzPt!B63&gt;0.0001, K63, FALSE)</f>
        <v>0</v>
      </c>
      <c r="Q63" s="9"/>
      <c r="R63" s="9" t="s">
        <v>88</v>
      </c>
      <c r="S63" s="9">
        <v>-136.9</v>
      </c>
      <c r="T63" s="9">
        <v>-117.6</v>
      </c>
      <c r="U63" s="9">
        <v>-100.3</v>
      </c>
      <c r="V63" s="9">
        <v>-86.5</v>
      </c>
      <c r="W63" s="9">
        <v>-74</v>
      </c>
      <c r="X63" s="9">
        <v>-60.8</v>
      </c>
      <c r="Y63" s="9">
        <v>-51.8</v>
      </c>
      <c r="Z63" s="9">
        <v>-32</v>
      </c>
      <c r="AA63" s="9">
        <v>-22.5</v>
      </c>
      <c r="AB63" s="9">
        <v>-24</v>
      </c>
      <c r="AC63" s="9">
        <v>-8.1999999999999993</v>
      </c>
      <c r="AD63" s="9">
        <v>-2.9</v>
      </c>
      <c r="AE63" s="9">
        <v>-1.7</v>
      </c>
      <c r="AF63" s="9"/>
      <c r="AG63" s="9">
        <v>2.2200000000000002</v>
      </c>
    </row>
    <row r="64" spans="1:33">
      <c r="A64" s="29" t="s">
        <v>221</v>
      </c>
      <c r="B64" s="29">
        <v>0</v>
      </c>
      <c r="C64" s="29"/>
      <c r="D64" s="29" t="s">
        <v>393</v>
      </c>
      <c r="E64" s="29" t="s">
        <v>222</v>
      </c>
      <c r="F64" s="29" t="s">
        <v>112</v>
      </c>
      <c r="G64" s="29" t="s">
        <v>284</v>
      </c>
      <c r="H64" s="29" t="s">
        <v>113</v>
      </c>
      <c r="I64" s="29" t="s">
        <v>114</v>
      </c>
      <c r="K64" s="22">
        <v>-76.629999999999498</v>
      </c>
      <c r="L64" s="22" t="b">
        <f>IF(FrzPt!B64&gt;0.0001, K64, FALSE)</f>
        <v>0</v>
      </c>
      <c r="Q64" s="9"/>
      <c r="R64" s="9" t="s">
        <v>89</v>
      </c>
      <c r="S64" s="9">
        <v>-126</v>
      </c>
      <c r="T64" s="9">
        <v>-112.7</v>
      </c>
      <c r="U64" s="9">
        <v>-111.2</v>
      </c>
      <c r="V64" s="9">
        <v>-53.9</v>
      </c>
      <c r="W64" s="9">
        <v>-69.2</v>
      </c>
      <c r="X64" s="9">
        <v>-57.3</v>
      </c>
      <c r="Y64" s="9">
        <v>-57</v>
      </c>
      <c r="Z64" s="9">
        <v>-57</v>
      </c>
      <c r="AA64" s="9">
        <v>-10.1</v>
      </c>
      <c r="AB64" s="9">
        <v>-3.7</v>
      </c>
      <c r="AC64" s="9">
        <v>3.7</v>
      </c>
      <c r="AD64" s="9">
        <v>-46.5</v>
      </c>
      <c r="AE64" s="9">
        <v>-10.3</v>
      </c>
      <c r="AF64" s="9"/>
      <c r="AG64" s="9">
        <v>-1.75</v>
      </c>
    </row>
    <row r="65" spans="1:33">
      <c r="A65" s="29" t="s">
        <v>221</v>
      </c>
      <c r="B65" s="29">
        <v>6.9665568199999998E-31</v>
      </c>
      <c r="C65" s="29"/>
      <c r="D65" s="29" t="s">
        <v>393</v>
      </c>
      <c r="E65" s="29" t="s">
        <v>222</v>
      </c>
      <c r="F65" s="29" t="s">
        <v>112</v>
      </c>
      <c r="G65" s="29" t="s">
        <v>285</v>
      </c>
      <c r="H65" s="29" t="s">
        <v>113</v>
      </c>
      <c r="I65" s="29" t="s">
        <v>114</v>
      </c>
      <c r="K65" s="22">
        <v>1100.7392</v>
      </c>
      <c r="L65" s="22" t="b">
        <f>IF(FrzPt!B65&gt;0.0001, K65, FALSE)</f>
        <v>0</v>
      </c>
      <c r="Q65" s="9"/>
      <c r="R65" s="9" t="s">
        <v>90</v>
      </c>
      <c r="S65" s="9">
        <v>-126.6</v>
      </c>
      <c r="T65" s="9">
        <v>-115</v>
      </c>
      <c r="U65" s="9">
        <v>-97.6</v>
      </c>
      <c r="V65" s="9">
        <v>-74.7</v>
      </c>
      <c r="W65" s="9">
        <v>-65.3</v>
      </c>
      <c r="X65" s="9">
        <v>-43</v>
      </c>
      <c r="Y65" s="9">
        <v>-30.5</v>
      </c>
      <c r="Z65" s="9">
        <v>-24.4</v>
      </c>
      <c r="AA65" s="9">
        <v>-16.2</v>
      </c>
      <c r="AB65" s="9"/>
      <c r="AC65" s="9"/>
      <c r="AD65" s="9"/>
      <c r="AE65" s="9"/>
      <c r="AF65" s="9"/>
      <c r="AG65" s="9">
        <v>-1.41</v>
      </c>
    </row>
    <row r="66" spans="1:33">
      <c r="A66" s="29" t="s">
        <v>221</v>
      </c>
      <c r="B66" s="29">
        <v>2.2448810099999999E-21</v>
      </c>
      <c r="C66" s="29"/>
      <c r="D66" s="29" t="s">
        <v>393</v>
      </c>
      <c r="E66" s="29" t="s">
        <v>222</v>
      </c>
      <c r="F66" s="29" t="s">
        <v>112</v>
      </c>
      <c r="G66" s="29" t="s">
        <v>286</v>
      </c>
      <c r="H66" s="29" t="s">
        <v>113</v>
      </c>
      <c r="I66" s="29" t="s">
        <v>114</v>
      </c>
      <c r="K66" s="22">
        <v>666.41</v>
      </c>
      <c r="L66" s="22" t="b">
        <f>IF(FrzPt!B66&gt;0.0001, K66, FALSE)</f>
        <v>0</v>
      </c>
      <c r="Q66" s="9"/>
      <c r="R66" s="9" t="s">
        <v>91</v>
      </c>
      <c r="S66" s="9">
        <v>-110.1</v>
      </c>
      <c r="T66" s="9">
        <v>-66.099999999999994</v>
      </c>
      <c r="U66" s="9">
        <v>-94.7</v>
      </c>
      <c r="V66" s="9">
        <v>-85.3</v>
      </c>
      <c r="W66" s="9">
        <v>-52.7</v>
      </c>
      <c r="X66" s="9">
        <v>-23.1</v>
      </c>
      <c r="Y66" s="9">
        <v>-35.4</v>
      </c>
      <c r="Z66" s="9">
        <v>-18.8</v>
      </c>
      <c r="AA66" s="9">
        <v>-60.5</v>
      </c>
      <c r="AB66" s="9">
        <v>-9.6</v>
      </c>
      <c r="AC66" s="9"/>
      <c r="AD66" s="9"/>
      <c r="AE66" s="9"/>
      <c r="AF66" s="9"/>
      <c r="AG66" s="9">
        <v>2.6</v>
      </c>
    </row>
    <row r="67" spans="1:33">
      <c r="A67" s="29" t="s">
        <v>221</v>
      </c>
      <c r="B67" s="29">
        <v>4.3130281200000002E-2</v>
      </c>
      <c r="C67" s="29"/>
      <c r="D67" s="29" t="s">
        <v>393</v>
      </c>
      <c r="E67" s="29" t="s">
        <v>222</v>
      </c>
      <c r="F67" s="29" t="s">
        <v>112</v>
      </c>
      <c r="G67" s="29" t="s">
        <v>287</v>
      </c>
      <c r="H67" s="29" t="s">
        <v>113</v>
      </c>
      <c r="I67" s="29" t="s">
        <v>114</v>
      </c>
      <c r="K67" s="22">
        <v>213.68119999999999</v>
      </c>
      <c r="L67" s="22">
        <f>IF(FrzPt!B67&gt;0.0001, K67, FALSE)</f>
        <v>213.68119999999999</v>
      </c>
      <c r="Q67" s="9"/>
      <c r="R67" s="9" t="s">
        <v>92</v>
      </c>
      <c r="S67" s="9"/>
      <c r="T67" s="9">
        <v>-93</v>
      </c>
      <c r="U67" s="9">
        <v>-30</v>
      </c>
      <c r="V67" s="9">
        <v>-36.700000000000003</v>
      </c>
      <c r="W67" s="9">
        <v>-45.3</v>
      </c>
      <c r="X67" s="9">
        <v>-19</v>
      </c>
      <c r="Y67" s="9">
        <v>-66.599999999999994</v>
      </c>
      <c r="Z67" s="9">
        <v>-55.9</v>
      </c>
      <c r="AA67" s="9">
        <v>-23.7</v>
      </c>
      <c r="AB67" s="9"/>
      <c r="AC67" s="9"/>
      <c r="AD67" s="9"/>
      <c r="AE67" s="9"/>
      <c r="AF67" s="9"/>
      <c r="AG67" s="9">
        <v>3.31</v>
      </c>
    </row>
    <row r="68" spans="1:33">
      <c r="A68" s="29" t="s">
        <v>221</v>
      </c>
      <c r="B68" s="29">
        <v>0.19147323099999999</v>
      </c>
      <c r="C68" s="29"/>
      <c r="D68" s="29" t="s">
        <v>393</v>
      </c>
      <c r="E68" s="29" t="s">
        <v>222</v>
      </c>
      <c r="F68" s="29" t="s">
        <v>112</v>
      </c>
      <c r="G68" s="29" t="s">
        <v>288</v>
      </c>
      <c r="H68" s="29" t="s">
        <v>113</v>
      </c>
      <c r="I68" s="29" t="s">
        <v>114</v>
      </c>
      <c r="K68" s="22">
        <v>303.36799999999999</v>
      </c>
      <c r="L68" s="22">
        <f>IF(FrzPt!B68&gt;0.0001, K68, FALSE)</f>
        <v>303.36799999999999</v>
      </c>
      <c r="Q68" s="9"/>
      <c r="R68" s="9" t="s">
        <v>93</v>
      </c>
      <c r="S68" s="9">
        <v>-95</v>
      </c>
      <c r="T68" s="9">
        <v>-95</v>
      </c>
      <c r="U68" s="9">
        <v>-97.7</v>
      </c>
      <c r="V68" s="9">
        <v>-68.2</v>
      </c>
      <c r="W68" s="9">
        <v>-52.3</v>
      </c>
      <c r="X68" s="9">
        <v>-43.3</v>
      </c>
      <c r="Y68" s="9">
        <v>-48</v>
      </c>
      <c r="Z68" s="9">
        <v>-38</v>
      </c>
      <c r="AA68" s="9"/>
      <c r="AB68" s="9"/>
      <c r="AC68" s="9"/>
      <c r="AD68" s="9"/>
      <c r="AE68" s="9"/>
      <c r="AF68" s="9"/>
      <c r="AG68" s="9">
        <v>-10</v>
      </c>
    </row>
    <row r="69" spans="1:33">
      <c r="A69" s="29" t="s">
        <v>221</v>
      </c>
      <c r="B69" s="29">
        <v>0.10524167600000001</v>
      </c>
      <c r="C69" s="29"/>
      <c r="D69" s="29" t="s">
        <v>393</v>
      </c>
      <c r="E69" s="29" t="s">
        <v>222</v>
      </c>
      <c r="F69" s="29" t="s">
        <v>112</v>
      </c>
      <c r="G69" s="29" t="s">
        <v>289</v>
      </c>
      <c r="H69" s="29" t="s">
        <v>113</v>
      </c>
      <c r="I69" s="29" t="s">
        <v>114</v>
      </c>
      <c r="K69" s="22">
        <v>258.11599999999999</v>
      </c>
      <c r="L69" s="22">
        <f>IF(FrzPt!B69&gt;0.0001, K69, FALSE)</f>
        <v>258.11599999999999</v>
      </c>
      <c r="Q69" s="9"/>
      <c r="R69" s="9" t="s">
        <v>94</v>
      </c>
      <c r="S69" s="9"/>
      <c r="T69" s="9">
        <v>-19.899999999999999</v>
      </c>
      <c r="U69" s="9">
        <v>-70.599999999999994</v>
      </c>
      <c r="V69" s="9">
        <v>-45.2</v>
      </c>
      <c r="W69" s="9">
        <v>-45.7</v>
      </c>
      <c r="X69" s="9">
        <v>-25.4</v>
      </c>
      <c r="Y69" s="9">
        <v>-45.7</v>
      </c>
      <c r="Z69" s="9"/>
      <c r="AA69" s="9"/>
      <c r="AB69" s="9"/>
      <c r="AC69" s="9"/>
      <c r="AD69" s="9"/>
      <c r="AE69" s="9"/>
      <c r="AF69" s="9"/>
      <c r="AG69" s="9">
        <v>1.54</v>
      </c>
    </row>
    <row r="70" spans="1:33">
      <c r="A70" s="29" t="s">
        <v>221</v>
      </c>
      <c r="B70" s="29"/>
      <c r="C70" s="29"/>
      <c r="D70" s="29" t="s">
        <v>290</v>
      </c>
      <c r="E70" s="29" t="s">
        <v>222</v>
      </c>
      <c r="F70" s="29" t="s">
        <v>112</v>
      </c>
      <c r="G70" s="29" t="s">
        <v>291</v>
      </c>
      <c r="H70" s="29" t="s">
        <v>113</v>
      </c>
      <c r="I70" s="29" t="s">
        <v>114</v>
      </c>
      <c r="K70" s="22"/>
      <c r="L70" s="27" t="b">
        <f>IF(FrzPt!B70&gt;0.0001, K70, FALSE)</f>
        <v>0</v>
      </c>
      <c r="Q70" s="9"/>
      <c r="R70" s="9" t="s">
        <v>95</v>
      </c>
      <c r="S70" s="9"/>
      <c r="T70" s="9"/>
      <c r="U70" s="9">
        <v>-2</v>
      </c>
      <c r="V70" s="9">
        <v>80.3</v>
      </c>
      <c r="W70" s="9">
        <v>2</v>
      </c>
      <c r="X70" s="9"/>
      <c r="Y70" s="9"/>
      <c r="Z70" s="9">
        <v>-5</v>
      </c>
      <c r="AA70" s="9"/>
      <c r="AB70" s="9"/>
      <c r="AC70" s="9"/>
      <c r="AD70" s="9"/>
      <c r="AE70" s="9"/>
      <c r="AF70" s="9"/>
      <c r="AG70" s="9">
        <v>-9.99</v>
      </c>
    </row>
    <row r="71" spans="1:33">
      <c r="A71" s="29" t="s">
        <v>221</v>
      </c>
      <c r="B71" s="29"/>
      <c r="C71" s="29"/>
      <c r="D71" s="29" t="s">
        <v>290</v>
      </c>
      <c r="E71" s="29" t="s">
        <v>222</v>
      </c>
      <c r="F71" s="29" t="s">
        <v>112</v>
      </c>
      <c r="G71" s="29" t="s">
        <v>292</v>
      </c>
      <c r="H71" s="29" t="s">
        <v>113</v>
      </c>
      <c r="I71" s="29" t="s">
        <v>114</v>
      </c>
      <c r="K71" s="22"/>
      <c r="L71" s="27" t="b">
        <f>IF(FrzPt!B71&gt;0.0001, K71, FALSE)</f>
        <v>0</v>
      </c>
      <c r="Q71" s="9"/>
      <c r="R71" s="9" t="s">
        <v>96</v>
      </c>
      <c r="S71" s="9"/>
      <c r="T71" s="9"/>
      <c r="U71" s="9">
        <v>-51.4</v>
      </c>
      <c r="V71" s="9">
        <v>-35.799999999999997</v>
      </c>
      <c r="W71" s="9">
        <v>-24</v>
      </c>
      <c r="X71" s="9">
        <v>4</v>
      </c>
      <c r="Y71" s="9">
        <v>-29.6</v>
      </c>
      <c r="Z71" s="9"/>
      <c r="AA71" s="9"/>
      <c r="AB71" s="9"/>
      <c r="AC71" s="9"/>
      <c r="AD71" s="9"/>
      <c r="AE71" s="9"/>
      <c r="AF71" s="9"/>
      <c r="AG71" s="9">
        <v>2.79</v>
      </c>
    </row>
    <row r="72" spans="1:33">
      <c r="A72" s="29" t="s">
        <v>221</v>
      </c>
      <c r="B72" s="29">
        <v>0</v>
      </c>
      <c r="C72" s="29"/>
      <c r="D72" s="29" t="s">
        <v>393</v>
      </c>
      <c r="E72" s="29" t="s">
        <v>222</v>
      </c>
      <c r="F72" s="29" t="s">
        <v>112</v>
      </c>
      <c r="G72" s="29" t="s">
        <v>321</v>
      </c>
      <c r="H72" s="29" t="s">
        <v>113</v>
      </c>
      <c r="I72" s="29" t="s">
        <v>114</v>
      </c>
      <c r="K72">
        <v>395.56939999999997</v>
      </c>
      <c r="L72" s="27" t="b">
        <f>IF(FrzPt!B72&gt;0.0001, K72, FALSE)</f>
        <v>0</v>
      </c>
      <c r="Q72" s="9"/>
      <c r="R72" s="9"/>
      <c r="S72" s="12"/>
      <c r="T72" s="12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spans="1:33">
      <c r="A73" s="29" t="s">
        <v>221</v>
      </c>
      <c r="B73" s="29">
        <v>0</v>
      </c>
      <c r="C73" s="29"/>
      <c r="D73" s="29" t="s">
        <v>393</v>
      </c>
      <c r="E73" s="29" t="s">
        <v>222</v>
      </c>
      <c r="F73" s="29" t="s">
        <v>112</v>
      </c>
      <c r="G73" s="29" t="s">
        <v>324</v>
      </c>
      <c r="H73" s="29" t="s">
        <v>113</v>
      </c>
      <c r="I73" s="29" t="s">
        <v>114</v>
      </c>
      <c r="K73">
        <v>475.952</v>
      </c>
      <c r="L73" s="27" t="b">
        <f>IF(FrzPt!B73&gt;0.0001, K73, FALSE)</f>
        <v>0</v>
      </c>
      <c r="Q73" s="9"/>
      <c r="R73" s="9" t="s">
        <v>97</v>
      </c>
      <c r="S73" s="9">
        <v>9.99</v>
      </c>
      <c r="T73" s="9">
        <v>2.98</v>
      </c>
      <c r="U73" s="9">
        <v>4.7699999999999996</v>
      </c>
      <c r="V73" s="9">
        <v>2.8</v>
      </c>
      <c r="W73" s="9">
        <v>-1.4</v>
      </c>
      <c r="X73" s="9">
        <v>5.19</v>
      </c>
      <c r="Y73" s="9">
        <v>-3.29</v>
      </c>
      <c r="Z73" s="9">
        <v>5.3</v>
      </c>
      <c r="AA73" s="9">
        <v>6.69</v>
      </c>
      <c r="AB73" s="9">
        <v>0.08</v>
      </c>
      <c r="AC73" s="9">
        <v>8.52</v>
      </c>
      <c r="AD73" s="9">
        <v>9.98</v>
      </c>
      <c r="AE73" s="9">
        <v>-0.32</v>
      </c>
      <c r="AF73" s="9"/>
      <c r="AG73" s="9"/>
    </row>
    <row r="74" spans="1:33">
      <c r="A74" s="29" t="s">
        <v>221</v>
      </c>
      <c r="B74" s="29">
        <v>0</v>
      </c>
      <c r="C74" s="29"/>
      <c r="D74" s="29" t="s">
        <v>393</v>
      </c>
      <c r="E74" s="29" t="s">
        <v>222</v>
      </c>
      <c r="F74" s="29" t="s">
        <v>112</v>
      </c>
      <c r="G74" s="29" t="s">
        <v>325</v>
      </c>
      <c r="H74" s="29" t="s">
        <v>113</v>
      </c>
      <c r="I74" s="29" t="s">
        <v>114</v>
      </c>
      <c r="K74">
        <v>501.8</v>
      </c>
      <c r="L74" s="27" t="b">
        <f>IF(FrzPt!B74&gt;0.0001, K74, FALSE)</f>
        <v>0</v>
      </c>
      <c r="Q74" s="9"/>
      <c r="R74" s="9"/>
      <c r="S74" s="12"/>
      <c r="T74" s="12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spans="1:33">
      <c r="A75" s="29" t="s">
        <v>221</v>
      </c>
      <c r="B75" s="29">
        <v>0</v>
      </c>
      <c r="C75" s="29"/>
      <c r="D75" s="29" t="s">
        <v>393</v>
      </c>
      <c r="E75" s="29" t="s">
        <v>222</v>
      </c>
      <c r="F75" s="29" t="s">
        <v>112</v>
      </c>
      <c r="G75" s="29" t="s">
        <v>326</v>
      </c>
      <c r="H75" s="29" t="s">
        <v>113</v>
      </c>
      <c r="I75" s="29" t="s">
        <v>114</v>
      </c>
      <c r="K75">
        <v>161.25800000000001</v>
      </c>
      <c r="L75" s="27" t="b">
        <f>IF(FrzPt!B75&gt;0.0001, K75, FALSE)</f>
        <v>0</v>
      </c>
      <c r="Q75" s="9" t="s">
        <v>98</v>
      </c>
      <c r="R75" s="9"/>
      <c r="S75" s="12"/>
      <c r="T75" s="12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spans="1:33">
      <c r="A76" s="29" t="s">
        <v>221</v>
      </c>
      <c r="B76" s="29">
        <v>0</v>
      </c>
      <c r="C76" s="29"/>
      <c r="D76" s="29" t="s">
        <v>393</v>
      </c>
      <c r="E76" s="29" t="s">
        <v>222</v>
      </c>
      <c r="F76" s="29" t="s">
        <v>112</v>
      </c>
      <c r="G76" s="29" t="s">
        <v>327</v>
      </c>
      <c r="H76" s="29" t="s">
        <v>113</v>
      </c>
      <c r="I76" s="29" t="s">
        <v>114</v>
      </c>
      <c r="K76">
        <v>213.68119999999999</v>
      </c>
      <c r="L76" s="27" t="b">
        <f>IF(FrzPt!B76&gt;0.0001, K76, FALSE)</f>
        <v>0</v>
      </c>
      <c r="Q76" s="9"/>
      <c r="R76" s="9" t="s">
        <v>87</v>
      </c>
      <c r="S76" s="12">
        <f>S47*S62*S$73*$AG62</f>
        <v>0</v>
      </c>
      <c r="T76" s="12">
        <f>T47*T62*T$73*$AG62</f>
        <v>-53.79715368032128</v>
      </c>
      <c r="U76" s="12">
        <f>U47*U62*U$73*$AG62</f>
        <v>-140.67067257421738</v>
      </c>
      <c r="V76" s="12">
        <f>V47*V62*V$73*$AG62</f>
        <v>0</v>
      </c>
      <c r="W76" s="12">
        <f>W47*W62*W$73*$AG62</f>
        <v>0</v>
      </c>
      <c r="X76" s="12">
        <f>X47*X62*X$73*$AG62</f>
        <v>-5.3663794937164804</v>
      </c>
      <c r="Y76" s="12">
        <f>Y47*Y62*Y$73*$AG62</f>
        <v>0</v>
      </c>
      <c r="Z76" s="12">
        <f>Z47*Z62*Z$73*$AG62</f>
        <v>0</v>
      </c>
      <c r="AA76" s="12">
        <f>AA47*AA62*AA$73*$AG62</f>
        <v>0</v>
      </c>
      <c r="AB76" s="12">
        <f>AB47*AB62*AB$73*$AG62</f>
        <v>0</v>
      </c>
      <c r="AC76" s="12">
        <f>AC47*AC62*AC$73*$AG62</f>
        <v>0</v>
      </c>
      <c r="AD76" s="12">
        <f>AD47*AD62*AD$73*$AG62</f>
        <v>0</v>
      </c>
      <c r="AE76" s="12">
        <f>AE47*AE62*AE$73*$AG62</f>
        <v>0</v>
      </c>
      <c r="AF76" s="9"/>
      <c r="AG76" s="9"/>
    </row>
    <row r="77" spans="1:33">
      <c r="A77" s="29" t="s">
        <v>221</v>
      </c>
      <c r="B77" s="29">
        <v>0</v>
      </c>
      <c r="C77" s="29"/>
      <c r="D77" s="29" t="s">
        <v>393</v>
      </c>
      <c r="E77" s="29" t="s">
        <v>222</v>
      </c>
      <c r="F77" s="29" t="s">
        <v>112</v>
      </c>
      <c r="G77" s="29" t="s">
        <v>328</v>
      </c>
      <c r="H77" s="29" t="s">
        <v>113</v>
      </c>
      <c r="I77" s="29" t="s">
        <v>114</v>
      </c>
      <c r="K77">
        <v>271.00580000000002</v>
      </c>
      <c r="L77" s="27" t="b">
        <f>IF(FrzPt!B77&gt;0.0001, K77, FALSE)</f>
        <v>0</v>
      </c>
      <c r="Q77" s="9"/>
      <c r="R77" s="9" t="s">
        <v>88</v>
      </c>
      <c r="S77" s="12">
        <f>S48*S63*S$73*$AG63</f>
        <v>-6.0692928933382004E-2</v>
      </c>
      <c r="T77" s="12">
        <f>T48*T63*T$73*$AG63</f>
        <v>0</v>
      </c>
      <c r="U77" s="12">
        <f>U48*U63*U$73*$AG63</f>
        <v>0</v>
      </c>
      <c r="V77" s="12">
        <f>V48*V63*V$73*$AG63</f>
        <v>-74.162697663179998</v>
      </c>
      <c r="W77" s="12">
        <f>W48*W63*W$73*$AG63</f>
        <v>0</v>
      </c>
      <c r="X77" s="12">
        <f>X48*X63*X$73*$AG63</f>
        <v>0</v>
      </c>
      <c r="Y77" s="12">
        <f>Y48*Y63*Y$73*$AG63</f>
        <v>0</v>
      </c>
      <c r="Z77" s="12">
        <f>Z48*Z63*Z$73*$AG63</f>
        <v>0</v>
      </c>
      <c r="AA77" s="12">
        <f>AA48*AA63*AA$73*$AG63</f>
        <v>0</v>
      </c>
      <c r="AB77" s="12">
        <f>AB48*AB63*AB$73*$AG63</f>
        <v>0</v>
      </c>
      <c r="AC77" s="12">
        <f>AC48*AC63*AC$73*$AG63</f>
        <v>0</v>
      </c>
      <c r="AD77" s="12">
        <f>AD48*AD63*AD$73*$AG63</f>
        <v>0</v>
      </c>
      <c r="AE77" s="12">
        <f>AE48*AE63*AE$73*$AG63</f>
        <v>0</v>
      </c>
      <c r="AF77" s="9"/>
      <c r="AG77" s="9"/>
    </row>
    <row r="78" spans="1:33">
      <c r="A78" s="29" t="s">
        <v>221</v>
      </c>
      <c r="B78" s="29">
        <v>0</v>
      </c>
      <c r="C78" s="29"/>
      <c r="D78" s="29" t="s">
        <v>393</v>
      </c>
      <c r="E78" s="29" t="s">
        <v>222</v>
      </c>
      <c r="F78" s="29" t="s">
        <v>112</v>
      </c>
      <c r="G78" s="29" t="s">
        <v>329</v>
      </c>
      <c r="H78" s="29" t="s">
        <v>113</v>
      </c>
      <c r="I78" s="29" t="s">
        <v>114</v>
      </c>
      <c r="K78">
        <v>312.02600000000001</v>
      </c>
      <c r="L78" s="27" t="b">
        <f>IF(FrzPt!B78&gt;0.0001, K78, FALSE)</f>
        <v>0</v>
      </c>
      <c r="Q78" s="9"/>
      <c r="R78" s="9" t="s">
        <v>89</v>
      </c>
      <c r="S78" s="12">
        <f>S49*S64*S$73*$AG64</f>
        <v>0</v>
      </c>
      <c r="T78" s="12">
        <f>T49*T64*T$73*$AG64</f>
        <v>0</v>
      </c>
      <c r="U78" s="12">
        <f>U49*U64*U$73*$AG64</f>
        <v>0</v>
      </c>
      <c r="V78" s="12">
        <f>V49*V64*V$73*$AG64</f>
        <v>0</v>
      </c>
      <c r="W78" s="12">
        <f>W49*W64*W$73*$AG64</f>
        <v>0</v>
      </c>
      <c r="X78" s="12">
        <f>X49*X64*X$73*$AG64</f>
        <v>0</v>
      </c>
      <c r="Y78" s="12">
        <f>Y49*Y64*Y$73*$AG64</f>
        <v>0</v>
      </c>
      <c r="Z78" s="12">
        <f>Z49*Z64*Z$73*$AG64</f>
        <v>0</v>
      </c>
      <c r="AA78" s="12">
        <f>AA49*AA64*AA$73*$AG64</f>
        <v>0</v>
      </c>
      <c r="AB78" s="12">
        <f>AB49*AB64*AB$73*$AG64</f>
        <v>0</v>
      </c>
      <c r="AC78" s="12">
        <f>AC49*AC64*AC$73*$AG64</f>
        <v>0</v>
      </c>
      <c r="AD78" s="12">
        <f>AD49*AD64*AD$73*$AG64</f>
        <v>0</v>
      </c>
      <c r="AE78" s="12">
        <f>AE49*AE64*AE$73*$AG64</f>
        <v>0</v>
      </c>
      <c r="AF78" s="9"/>
      <c r="AG78" s="9"/>
    </row>
    <row r="79" spans="1:33">
      <c r="A79" s="29" t="s">
        <v>221</v>
      </c>
      <c r="B79" s="29">
        <v>0</v>
      </c>
      <c r="C79" s="29"/>
      <c r="D79" s="29" t="s">
        <v>393</v>
      </c>
      <c r="E79" s="29" t="s">
        <v>222</v>
      </c>
      <c r="F79" s="29" t="s">
        <v>112</v>
      </c>
      <c r="G79" s="29" t="s">
        <v>331</v>
      </c>
      <c r="H79" s="29" t="s">
        <v>113</v>
      </c>
      <c r="I79" s="29" t="s">
        <v>114</v>
      </c>
      <c r="K79">
        <v>308.44400000000002</v>
      </c>
      <c r="L79" s="27" t="b">
        <f>IF(FrzPt!B79&gt;0.0001, K79, FALSE)</f>
        <v>0</v>
      </c>
      <c r="Q79" s="9"/>
      <c r="R79" s="9" t="s">
        <v>90</v>
      </c>
      <c r="S79" s="12">
        <f>S50*S65*S$73*$AG65</f>
        <v>133.30096321196839</v>
      </c>
      <c r="T79" s="12">
        <f>T50*T65*T$73*$AG65</f>
        <v>0</v>
      </c>
      <c r="U79" s="12">
        <f>U50*U65*U$73*$AG65</f>
        <v>0</v>
      </c>
      <c r="V79" s="12">
        <f>V50*V65*V$73*$AG65</f>
        <v>23.19706637517276</v>
      </c>
      <c r="W79" s="12">
        <f>W50*W65*W$73*$AG65</f>
        <v>0</v>
      </c>
      <c r="X79" s="12">
        <f>X50*X65*X$73*$AG65</f>
        <v>0</v>
      </c>
      <c r="Y79" s="12">
        <f>Y50*Y65*Y$73*$AG65</f>
        <v>0</v>
      </c>
      <c r="Z79" s="12">
        <f>Z50*Z65*Z$73*$AG65</f>
        <v>0</v>
      </c>
      <c r="AA79" s="12">
        <f>AA50*AA65*AA$73*$AG65</f>
        <v>0</v>
      </c>
      <c r="AB79" s="12">
        <f>AB50*AB65*AB$73*$AG65</f>
        <v>0</v>
      </c>
      <c r="AC79" s="12">
        <f>AC50*AC65*AC$73*$AG65</f>
        <v>0</v>
      </c>
      <c r="AD79" s="12">
        <f>AD50*AD65*AD$73*$AG65</f>
        <v>0</v>
      </c>
      <c r="AE79" s="12">
        <f>AE50*AE65*AE$73*$AG65</f>
        <v>0</v>
      </c>
      <c r="AF79" s="9"/>
      <c r="AG79" s="9"/>
    </row>
    <row r="80" spans="1:33">
      <c r="A80" s="29" t="s">
        <v>221</v>
      </c>
      <c r="B80" s="29">
        <v>0</v>
      </c>
      <c r="C80" s="29"/>
      <c r="D80" s="29" t="s">
        <v>393</v>
      </c>
      <c r="E80" s="29" t="s">
        <v>222</v>
      </c>
      <c r="F80" s="29" t="s">
        <v>112</v>
      </c>
      <c r="G80" s="29" t="s">
        <v>333</v>
      </c>
      <c r="H80" s="29" t="s">
        <v>113</v>
      </c>
      <c r="I80" s="29" t="s">
        <v>114</v>
      </c>
      <c r="K80">
        <v>404.06720000000001</v>
      </c>
      <c r="L80" s="27" t="b">
        <f>IF(FrzPt!B80&gt;0.0001, K80, FALSE)</f>
        <v>0</v>
      </c>
      <c r="Q80" s="9"/>
      <c r="R80" s="9" t="s">
        <v>91</v>
      </c>
      <c r="S80" s="12">
        <f>S51*S66*S$73*$AG66</f>
        <v>0</v>
      </c>
      <c r="T80" s="12">
        <f>T51*T66*T$73*$AG66</f>
        <v>-58.449993266953591</v>
      </c>
      <c r="U80" s="12">
        <f>U51*U66*U$73*$AG66</f>
        <v>0</v>
      </c>
      <c r="V80" s="12">
        <f>V51*V66*V$73*$AG66</f>
        <v>0</v>
      </c>
      <c r="W80" s="12">
        <f>W51*W66*W$73*$AG66</f>
        <v>0</v>
      </c>
      <c r="X80" s="12">
        <f>X51*X66*X$73*$AG66</f>
        <v>0</v>
      </c>
      <c r="Y80" s="12">
        <f>Y51*Y66*Y$73*$AG66</f>
        <v>0</v>
      </c>
      <c r="Z80" s="12">
        <f>Z51*Z66*Z$73*$AG66</f>
        <v>0</v>
      </c>
      <c r="AA80" s="12">
        <f>AA51*AA66*AA$73*$AG66</f>
        <v>0</v>
      </c>
      <c r="AB80" s="12">
        <f>AB51*AB66*AB$73*$AG66</f>
        <v>0</v>
      </c>
      <c r="AC80" s="12">
        <f>AC51*AC66*AC$73*$AG66</f>
        <v>0</v>
      </c>
      <c r="AD80" s="12">
        <f>AD51*AD66*AD$73*$AG66</f>
        <v>0</v>
      </c>
      <c r="AE80" s="12">
        <f>AE51*AE66*AE$73*$AG66</f>
        <v>0</v>
      </c>
      <c r="AF80" s="9"/>
      <c r="AG80" s="9"/>
    </row>
    <row r="81" spans="1:33">
      <c r="A81" s="29" t="s">
        <v>221</v>
      </c>
      <c r="B81" s="29">
        <v>0</v>
      </c>
      <c r="C81" s="29"/>
      <c r="D81" s="29" t="s">
        <v>393</v>
      </c>
      <c r="E81" s="29" t="s">
        <v>222</v>
      </c>
      <c r="F81" s="29" t="s">
        <v>112</v>
      </c>
      <c r="G81" s="29" t="s">
        <v>335</v>
      </c>
      <c r="H81" s="29" t="s">
        <v>113</v>
      </c>
      <c r="I81" s="29" t="s">
        <v>114</v>
      </c>
      <c r="K81">
        <v>464.21600000000001</v>
      </c>
      <c r="L81" s="27" t="b">
        <f>IF(FrzPt!B81&gt;0.0001, K81, FALSE)</f>
        <v>0</v>
      </c>
      <c r="Q81" s="9"/>
      <c r="R81" s="9" t="s">
        <v>92</v>
      </c>
      <c r="S81" s="12">
        <f>S52*S67*S$73*$AG67</f>
        <v>0</v>
      </c>
      <c r="T81" s="12">
        <f>T52*T67*T$73*$AG67</f>
        <v>0</v>
      </c>
      <c r="U81" s="12">
        <f>U52*U67*U$73*$AG67</f>
        <v>0</v>
      </c>
      <c r="V81" s="12">
        <f>V52*V67*V$73*$AG67</f>
        <v>0</v>
      </c>
      <c r="W81" s="12">
        <f>W52*W67*W$73*$AG67</f>
        <v>0</v>
      </c>
      <c r="X81" s="12">
        <f>X52*X67*X$73*$AG67</f>
        <v>-14.202874327730077</v>
      </c>
      <c r="Y81" s="12">
        <f>Y52*Y67*Y$73*$AG67</f>
        <v>0</v>
      </c>
      <c r="Z81" s="12">
        <f>Z52*Z67*Z$73*$AG67</f>
        <v>0</v>
      </c>
      <c r="AA81" s="12">
        <f>AA52*AA67*AA$73*$AG67</f>
        <v>0</v>
      </c>
      <c r="AB81" s="12">
        <f>AB52*AB67*AB$73*$AG67</f>
        <v>0</v>
      </c>
      <c r="AC81" s="12">
        <f>AC52*AC67*AC$73*$AG67</f>
        <v>0</v>
      </c>
      <c r="AD81" s="12">
        <f>AD52*AD67*AD$73*$AG67</f>
        <v>0</v>
      </c>
      <c r="AE81" s="12">
        <f>AE52*AE67*AE$73*$AG67</f>
        <v>0</v>
      </c>
      <c r="AF81" s="9"/>
      <c r="AG81" s="9"/>
    </row>
    <row r="82" spans="1:33">
      <c r="A82" s="29" t="s">
        <v>221</v>
      </c>
      <c r="B82" s="29">
        <v>4.34846569E-3</v>
      </c>
      <c r="C82" s="29"/>
      <c r="D82" s="29" t="s">
        <v>393</v>
      </c>
      <c r="E82" s="29" t="s">
        <v>222</v>
      </c>
      <c r="F82" s="29" t="s">
        <v>112</v>
      </c>
      <c r="G82" s="29" t="s">
        <v>337</v>
      </c>
      <c r="H82" s="29" t="s">
        <v>113</v>
      </c>
      <c r="I82" s="29" t="s">
        <v>114</v>
      </c>
      <c r="K82">
        <v>428.45179999999999</v>
      </c>
      <c r="L82" s="27">
        <f>IF(FrzPt!B82&gt;0.0001, K82, FALSE)</f>
        <v>428.45179999999999</v>
      </c>
      <c r="Q82" s="9"/>
      <c r="R82" s="9" t="s">
        <v>93</v>
      </c>
      <c r="S82" s="12">
        <f>S53*S68*S$73*$AG68</f>
        <v>0</v>
      </c>
      <c r="T82" s="12">
        <f>T53*T68*T$73*$AG68</f>
        <v>0</v>
      </c>
      <c r="U82" s="12">
        <f>U53*U68*U$73*$AG68</f>
        <v>0</v>
      </c>
      <c r="V82" s="12">
        <f>V53*V68*V$73*$AG68</f>
        <v>0</v>
      </c>
      <c r="W82" s="12">
        <f>W53*W68*W$73*$AG68</f>
        <v>0</v>
      </c>
      <c r="X82" s="12">
        <f>X53*X68*X$73*$AG68</f>
        <v>0</v>
      </c>
      <c r="Y82" s="12">
        <f>Y53*Y68*Y$73*$AG68</f>
        <v>0</v>
      </c>
      <c r="Z82" s="12">
        <f>Z53*Z68*Z$73*$AG68</f>
        <v>0</v>
      </c>
      <c r="AA82" s="12">
        <f>AA53*AA68*AA$73*$AG68</f>
        <v>0</v>
      </c>
      <c r="AB82" s="12">
        <f>AB53*AB68*AB$73*$AG68</f>
        <v>0</v>
      </c>
      <c r="AC82" s="12">
        <f>AC53*AC68*AC$73*$AG68</f>
        <v>0</v>
      </c>
      <c r="AD82" s="12">
        <f>AD53*AD68*AD$73*$AG68</f>
        <v>0</v>
      </c>
      <c r="AE82" s="12">
        <f>AE53*AE68*AE$73*$AG68</f>
        <v>0</v>
      </c>
      <c r="AF82" s="9"/>
      <c r="AG82" s="9"/>
    </row>
    <row r="83" spans="1:33">
      <c r="L83" s="27" t="s">
        <v>185</v>
      </c>
      <c r="Q83" s="9"/>
      <c r="R83" s="9" t="s">
        <v>94</v>
      </c>
      <c r="S83" s="12">
        <f>S54*S69*S$73*$AG69</f>
        <v>0</v>
      </c>
      <c r="T83" s="12">
        <f>T54*T69*T$73*$AG69</f>
        <v>-16.293621041799639</v>
      </c>
      <c r="U83" s="12">
        <f>U54*U69*U$73*$AG69</f>
        <v>-2.9430793524145851</v>
      </c>
      <c r="V83" s="12">
        <f>V54*V69*V$73*$AG69</f>
        <v>0</v>
      </c>
      <c r="W83" s="12">
        <f>W54*W69*W$73*$AG69</f>
        <v>0</v>
      </c>
      <c r="X83" s="12">
        <f>X54*X69*X$73*$AG69</f>
        <v>0</v>
      </c>
      <c r="Y83" s="12">
        <f>Y54*Y69*Y$73*$AG69</f>
        <v>0</v>
      </c>
      <c r="Z83" s="12">
        <f>Z54*Z69*Z$73*$AG69</f>
        <v>0</v>
      </c>
      <c r="AA83" s="12">
        <f>AA54*AA69*AA$73*$AG69</f>
        <v>0</v>
      </c>
      <c r="AB83" s="12">
        <f>AB54*AB69*AB$73*$AG69</f>
        <v>0</v>
      </c>
      <c r="AC83" s="12">
        <f>AC54*AC69*AC$73*$AG69</f>
        <v>0</v>
      </c>
      <c r="AD83" s="12">
        <f>AD54*AD69*AD$73*$AG69</f>
        <v>0</v>
      </c>
      <c r="AE83" s="12">
        <f>AE54*AE69*AE$73*$AG69</f>
        <v>0</v>
      </c>
      <c r="AF83" s="9"/>
      <c r="AG83" s="9"/>
    </row>
    <row r="84" spans="1:33">
      <c r="L84" s="27">
        <f>MIN(L2:L82)</f>
        <v>213.68119999999999</v>
      </c>
      <c r="Q84" s="9"/>
      <c r="R84" s="9" t="s">
        <v>95</v>
      </c>
      <c r="S84" s="12">
        <f>S55*S70*S$73*$AG70</f>
        <v>0</v>
      </c>
      <c r="T84" s="12">
        <f>T55*T70*T$73*$AG70</f>
        <v>0</v>
      </c>
      <c r="U84" s="12">
        <f>U55*U70*U$73*$AG70</f>
        <v>0</v>
      </c>
      <c r="V84" s="12">
        <f>V55*V70*V$73*$AG70</f>
        <v>0</v>
      </c>
      <c r="W84" s="12">
        <f>W55*W70*W$73*$AG70</f>
        <v>0</v>
      </c>
      <c r="X84" s="12">
        <f>X55*X70*X$73*$AG70</f>
        <v>0</v>
      </c>
      <c r="Y84" s="12">
        <f>Y55*Y70*Y$73*$AG70</f>
        <v>0</v>
      </c>
      <c r="Z84" s="12">
        <f>Z55*Z70*Z$73*$AG70</f>
        <v>1.5716367927972002E-7</v>
      </c>
      <c r="AA84" s="12">
        <f>AA55*AA70*AA$73*$AG70</f>
        <v>0</v>
      </c>
      <c r="AB84" s="12">
        <f>AB55*AB70*AB$73*$AG70</f>
        <v>0</v>
      </c>
      <c r="AC84" s="12">
        <f>AC55*AC70*AC$73*$AG70</f>
        <v>0</v>
      </c>
      <c r="AD84" s="12">
        <f>AD55*AD70*AD$73*$AG70</f>
        <v>0</v>
      </c>
      <c r="AE84" s="12">
        <f>AE55*AE70*AE$73*$AG70</f>
        <v>0</v>
      </c>
      <c r="AF84" s="9"/>
      <c r="AG84" s="9"/>
    </row>
    <row r="85" spans="1:33">
      <c r="Q85" s="9"/>
      <c r="R85" s="9" t="s">
        <v>96</v>
      </c>
      <c r="S85" s="12">
        <f>S56*S71*S$73*$AG71</f>
        <v>0</v>
      </c>
      <c r="T85" s="12">
        <f>T56*T71*T$73*$AG71</f>
        <v>0</v>
      </c>
      <c r="U85" s="12">
        <f>U56*U71*U$73*$AG71</f>
        <v>-27.56152097561716</v>
      </c>
      <c r="V85" s="12">
        <f>V56*V71*V$73*$AG71</f>
        <v>0</v>
      </c>
      <c r="W85" s="12">
        <f>W56*W71*W$73*$AG71</f>
        <v>0</v>
      </c>
      <c r="X85" s="12">
        <f>X56*X71*X$73*$AG71</f>
        <v>0</v>
      </c>
      <c r="Y85" s="12">
        <f>Y56*Y71*Y$73*$AG71</f>
        <v>0</v>
      </c>
      <c r="Z85" s="12">
        <f>Z56*Z71*Z$73*$AG71</f>
        <v>0</v>
      </c>
      <c r="AA85" s="12">
        <f>AA56*AA71*AA$73*$AG71</f>
        <v>0</v>
      </c>
      <c r="AB85" s="12">
        <f>AB56*AB71*AB$73*$AG71</f>
        <v>0</v>
      </c>
      <c r="AC85" s="12">
        <f>AC56*AC71*AC$73*$AG71</f>
        <v>0</v>
      </c>
      <c r="AD85" s="12">
        <f>AD56*AD71*AD$73*$AG71</f>
        <v>0</v>
      </c>
      <c r="AE85" s="12">
        <f>AE56*AE71*AE$73*$AG71</f>
        <v>0</v>
      </c>
      <c r="AF85" s="9"/>
      <c r="AG85" s="9"/>
    </row>
    <row r="87" spans="1:33">
      <c r="Q87" s="9" t="s">
        <v>99</v>
      </c>
      <c r="R87" s="9"/>
      <c r="S87" s="9">
        <f>SUM(S76:AE85)/S58</f>
        <v>-237.33675636001851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DAF4-0027-4105-916D-DC76771C5C15}">
  <dimension ref="A1:W84"/>
  <sheetViews>
    <sheetView zoomScale="40" zoomScaleNormal="40" workbookViewId="0">
      <selection activeCell="O1" sqref="O1:W4"/>
    </sheetView>
  </sheetViews>
  <sheetFormatPr defaultRowHeight="16.5"/>
  <cols>
    <col min="11" max="11" width="9" style="27"/>
  </cols>
  <sheetData>
    <row r="1" spans="1:23" ht="33">
      <c r="A1" s="25" t="s">
        <v>101</v>
      </c>
      <c r="B1" s="25" t="s">
        <v>102</v>
      </c>
      <c r="C1" s="25" t="s">
        <v>103</v>
      </c>
      <c r="D1" s="25" t="s">
        <v>104</v>
      </c>
      <c r="E1" s="25" t="s">
        <v>105</v>
      </c>
      <c r="F1" s="25" t="s">
        <v>106</v>
      </c>
      <c r="G1" s="25" t="s">
        <v>107</v>
      </c>
      <c r="H1" s="25" t="s">
        <v>108</v>
      </c>
      <c r="I1" s="25" t="s">
        <v>109</v>
      </c>
      <c r="K1" s="25" t="s">
        <v>184</v>
      </c>
      <c r="O1" s="25" t="s">
        <v>101</v>
      </c>
      <c r="P1" s="25" t="s">
        <v>102</v>
      </c>
      <c r="Q1" s="25" t="s">
        <v>103</v>
      </c>
      <c r="R1" s="25" t="s">
        <v>104</v>
      </c>
      <c r="S1" s="25" t="s">
        <v>105</v>
      </c>
      <c r="T1" s="25" t="s">
        <v>106</v>
      </c>
      <c r="U1" s="25" t="s">
        <v>107</v>
      </c>
      <c r="V1" s="25" t="s">
        <v>108</v>
      </c>
      <c r="W1" s="25" t="s">
        <v>109</v>
      </c>
    </row>
    <row r="2" spans="1:23">
      <c r="A2" t="s">
        <v>365</v>
      </c>
      <c r="B2">
        <v>0</v>
      </c>
      <c r="D2" t="s">
        <v>393</v>
      </c>
      <c r="E2" t="s">
        <v>222</v>
      </c>
      <c r="F2" t="s">
        <v>112</v>
      </c>
      <c r="G2" t="s">
        <v>223</v>
      </c>
      <c r="H2" t="s">
        <v>366</v>
      </c>
      <c r="I2" t="s">
        <v>114</v>
      </c>
      <c r="K2" s="27">
        <v>212</v>
      </c>
      <c r="L2" t="b">
        <f>IF(B2&gt;0.0001, K2, FALSE)</f>
        <v>0</v>
      </c>
      <c r="O2" t="s">
        <v>372</v>
      </c>
      <c r="P2">
        <v>62.830337800000002</v>
      </c>
      <c r="Q2" t="s">
        <v>193</v>
      </c>
      <c r="R2" t="s">
        <v>393</v>
      </c>
      <c r="S2" t="s">
        <v>294</v>
      </c>
      <c r="T2" t="s">
        <v>373</v>
      </c>
      <c r="U2" t="s">
        <v>112</v>
      </c>
      <c r="V2" t="s">
        <v>374</v>
      </c>
      <c r="W2" t="s">
        <v>114</v>
      </c>
    </row>
    <row r="3" spans="1:23">
      <c r="A3" t="s">
        <v>365</v>
      </c>
      <c r="B3">
        <v>0</v>
      </c>
      <c r="D3" t="s">
        <v>393</v>
      </c>
      <c r="E3" t="s">
        <v>222</v>
      </c>
      <c r="F3" t="s">
        <v>112</v>
      </c>
      <c r="G3" t="s">
        <v>224</v>
      </c>
      <c r="H3" t="s">
        <v>366</v>
      </c>
      <c r="I3" t="s">
        <v>114</v>
      </c>
      <c r="K3" s="27">
        <v>-422.96799999999899</v>
      </c>
      <c r="L3" s="27" t="b">
        <f>IF(B3&gt;0.0001, K3, FALSE)</f>
        <v>0</v>
      </c>
      <c r="O3" t="s">
        <v>372</v>
      </c>
      <c r="P3">
        <v>92.644659500000003</v>
      </c>
      <c r="Q3" t="s">
        <v>193</v>
      </c>
      <c r="R3" t="s">
        <v>393</v>
      </c>
      <c r="S3" t="s">
        <v>294</v>
      </c>
      <c r="T3" t="s">
        <v>375</v>
      </c>
      <c r="U3" t="s">
        <v>112</v>
      </c>
      <c r="V3" t="s">
        <v>374</v>
      </c>
      <c r="W3" t="s">
        <v>114</v>
      </c>
    </row>
    <row r="4" spans="1:23">
      <c r="A4" t="s">
        <v>365</v>
      </c>
      <c r="B4">
        <v>0</v>
      </c>
      <c r="D4" t="s">
        <v>393</v>
      </c>
      <c r="E4" t="s">
        <v>222</v>
      </c>
      <c r="F4" t="s">
        <v>112</v>
      </c>
      <c r="G4" t="s">
        <v>225</v>
      </c>
      <c r="H4" t="s">
        <v>366</v>
      </c>
      <c r="I4" t="s">
        <v>114</v>
      </c>
      <c r="K4" s="27">
        <v>-297.33159999999901</v>
      </c>
      <c r="L4" s="27" t="b">
        <f>IF(B4&gt;0.0001, K4, FALSE)</f>
        <v>0</v>
      </c>
      <c r="O4" t="s">
        <v>376</v>
      </c>
      <c r="P4">
        <v>231.703349</v>
      </c>
      <c r="Q4" t="s">
        <v>193</v>
      </c>
      <c r="R4" t="s">
        <v>393</v>
      </c>
      <c r="S4" t="s">
        <v>294</v>
      </c>
      <c r="T4" t="s">
        <v>375</v>
      </c>
      <c r="U4" t="s">
        <v>112</v>
      </c>
      <c r="V4" t="s">
        <v>366</v>
      </c>
      <c r="W4" t="s">
        <v>114</v>
      </c>
    </row>
    <row r="5" spans="1:23">
      <c r="A5" t="s">
        <v>365</v>
      </c>
      <c r="B5">
        <v>0</v>
      </c>
      <c r="D5" t="s">
        <v>393</v>
      </c>
      <c r="E5" t="s">
        <v>222</v>
      </c>
      <c r="F5" t="s">
        <v>112</v>
      </c>
      <c r="G5" t="s">
        <v>226</v>
      </c>
      <c r="H5" t="s">
        <v>366</v>
      </c>
      <c r="I5" t="s">
        <v>114</v>
      </c>
      <c r="K5" s="27">
        <v>-320.45079999999899</v>
      </c>
      <c r="L5" s="27" t="b">
        <f>IF(B5&gt;0.0001, K5, FALSE)</f>
        <v>0</v>
      </c>
    </row>
    <row r="6" spans="1:23">
      <c r="A6" t="s">
        <v>365</v>
      </c>
      <c r="B6">
        <v>0</v>
      </c>
      <c r="D6" t="s">
        <v>393</v>
      </c>
      <c r="E6" t="s">
        <v>222</v>
      </c>
      <c r="F6" t="s">
        <v>112</v>
      </c>
      <c r="G6" t="s">
        <v>227</v>
      </c>
      <c r="H6" t="s">
        <v>366</v>
      </c>
      <c r="I6" t="s">
        <v>114</v>
      </c>
      <c r="K6" s="27">
        <v>-302.56599999999901</v>
      </c>
      <c r="L6" s="27" t="b">
        <f>IF(B6&gt;0.0001, K6, FALSE)</f>
        <v>0</v>
      </c>
    </row>
    <row r="7" spans="1:23">
      <c r="A7" t="s">
        <v>365</v>
      </c>
      <c r="B7">
        <v>0</v>
      </c>
      <c r="D7" t="s">
        <v>393</v>
      </c>
      <c r="E7" t="s">
        <v>222</v>
      </c>
      <c r="F7" t="s">
        <v>112</v>
      </c>
      <c r="G7" t="s">
        <v>228</v>
      </c>
      <c r="H7" t="s">
        <v>366</v>
      </c>
      <c r="I7" t="s">
        <v>114</v>
      </c>
      <c r="K7" s="27">
        <v>-312.60999999999899</v>
      </c>
      <c r="L7" s="27" t="b">
        <f>IF(B7&gt;0.0001, K7, FALSE)</f>
        <v>0</v>
      </c>
    </row>
    <row r="8" spans="1:23">
      <c r="A8" t="s">
        <v>365</v>
      </c>
      <c r="B8">
        <v>0</v>
      </c>
      <c r="D8" t="s">
        <v>393</v>
      </c>
      <c r="E8" t="s">
        <v>222</v>
      </c>
      <c r="F8" t="s">
        <v>112</v>
      </c>
      <c r="G8" t="s">
        <v>229</v>
      </c>
      <c r="H8" t="s">
        <v>366</v>
      </c>
      <c r="I8" t="s">
        <v>114</v>
      </c>
      <c r="K8" s="27">
        <v>-109.21</v>
      </c>
      <c r="L8" s="27" t="b">
        <f>IF(B8&gt;0.0001, K8, FALSE)</f>
        <v>0</v>
      </c>
    </row>
    <row r="9" spans="1:23">
      <c r="A9" t="s">
        <v>365</v>
      </c>
      <c r="B9">
        <v>0</v>
      </c>
      <c r="D9" t="s">
        <v>393</v>
      </c>
      <c r="E9" t="s">
        <v>222</v>
      </c>
      <c r="F9" t="s">
        <v>112</v>
      </c>
      <c r="G9" t="s">
        <v>230</v>
      </c>
      <c r="H9" t="s">
        <v>366</v>
      </c>
      <c r="I9" t="s">
        <v>114</v>
      </c>
      <c r="K9" s="27">
        <v>-258.66399999999902</v>
      </c>
      <c r="L9" s="27" t="b">
        <f>IF(B9&gt;0.0001, K9, FALSE)</f>
        <v>0</v>
      </c>
    </row>
    <row r="10" spans="1:23">
      <c r="A10" t="s">
        <v>365</v>
      </c>
      <c r="B10">
        <v>0</v>
      </c>
      <c r="D10" t="s">
        <v>393</v>
      </c>
      <c r="E10" t="s">
        <v>222</v>
      </c>
      <c r="F10" t="s">
        <v>112</v>
      </c>
      <c r="G10" t="s">
        <v>231</v>
      </c>
      <c r="H10" t="s">
        <v>366</v>
      </c>
      <c r="I10" t="s">
        <v>114</v>
      </c>
      <c r="K10" s="27">
        <v>-127.444</v>
      </c>
      <c r="L10" s="27" t="b">
        <f>IF(B10&gt;0.0001, K10, FALSE)</f>
        <v>0</v>
      </c>
    </row>
    <row r="11" spans="1:23">
      <c r="A11" t="s">
        <v>365</v>
      </c>
      <c r="B11">
        <v>0</v>
      </c>
      <c r="D11" t="s">
        <v>393</v>
      </c>
      <c r="E11" t="s">
        <v>222</v>
      </c>
      <c r="F11" t="s">
        <v>112</v>
      </c>
      <c r="G11" t="s">
        <v>232</v>
      </c>
      <c r="H11" t="s">
        <v>366</v>
      </c>
      <c r="I11" t="s">
        <v>114</v>
      </c>
      <c r="K11" s="27">
        <v>-43.797999999999597</v>
      </c>
      <c r="L11" s="27" t="b">
        <f>IF(B11&gt;0.0001, K11, FALSE)</f>
        <v>0</v>
      </c>
    </row>
    <row r="12" spans="1:23">
      <c r="A12" t="s">
        <v>365</v>
      </c>
      <c r="B12">
        <v>0</v>
      </c>
      <c r="D12" t="s">
        <v>393</v>
      </c>
      <c r="E12" t="s">
        <v>222</v>
      </c>
      <c r="F12" t="s">
        <v>112</v>
      </c>
      <c r="G12" t="s">
        <v>233</v>
      </c>
      <c r="H12" t="s">
        <v>366</v>
      </c>
      <c r="I12" t="s">
        <v>114</v>
      </c>
      <c r="K12" s="27">
        <v>31.1180000000004</v>
      </c>
      <c r="L12" s="27" t="b">
        <f>IF(B12&gt;0.0001, K12, FALSE)</f>
        <v>0</v>
      </c>
    </row>
    <row r="13" spans="1:23">
      <c r="A13" t="s">
        <v>365</v>
      </c>
      <c r="B13">
        <v>0</v>
      </c>
      <c r="D13" t="s">
        <v>393</v>
      </c>
      <c r="E13" t="s">
        <v>222</v>
      </c>
      <c r="F13" t="s">
        <v>112</v>
      </c>
      <c r="G13" t="s">
        <v>234</v>
      </c>
      <c r="H13" t="s">
        <v>366</v>
      </c>
      <c r="I13" t="s">
        <v>114</v>
      </c>
      <c r="K13" s="27">
        <v>-154.731999999999</v>
      </c>
      <c r="L13" s="27" t="b">
        <f>IF(B13&gt;0.0001, K13, FALSE)</f>
        <v>0</v>
      </c>
    </row>
    <row r="14" spans="1:23">
      <c r="A14" t="s">
        <v>365</v>
      </c>
      <c r="B14">
        <v>0</v>
      </c>
      <c r="D14" t="s">
        <v>393</v>
      </c>
      <c r="E14" t="s">
        <v>222</v>
      </c>
      <c r="F14" t="s">
        <v>112</v>
      </c>
      <c r="G14" t="s">
        <v>235</v>
      </c>
      <c r="H14" t="s">
        <v>366</v>
      </c>
      <c r="I14" t="s">
        <v>114</v>
      </c>
      <c r="K14" s="27">
        <v>-53.859999999999602</v>
      </c>
      <c r="L14" s="27" t="b">
        <f>IF(B14&gt;0.0001, K14, FALSE)</f>
        <v>0</v>
      </c>
    </row>
    <row r="15" spans="1:23">
      <c r="A15" t="s">
        <v>365</v>
      </c>
      <c r="B15">
        <v>0</v>
      </c>
      <c r="D15" t="s">
        <v>393</v>
      </c>
      <c r="E15" t="s">
        <v>222</v>
      </c>
      <c r="F15" t="s">
        <v>112</v>
      </c>
      <c r="G15" t="s">
        <v>236</v>
      </c>
      <c r="H15" t="s">
        <v>366</v>
      </c>
      <c r="I15" t="s">
        <v>114</v>
      </c>
      <c r="K15" s="27">
        <v>20.768000000000399</v>
      </c>
      <c r="L15" s="27" t="b">
        <f>IF(B15&gt;0.0001, K15, FALSE)</f>
        <v>0</v>
      </c>
    </row>
    <row r="16" spans="1:23">
      <c r="A16" t="s">
        <v>365</v>
      </c>
      <c r="B16">
        <v>0</v>
      </c>
      <c r="D16" t="s">
        <v>393</v>
      </c>
      <c r="E16" t="s">
        <v>222</v>
      </c>
      <c r="F16" t="s">
        <v>112</v>
      </c>
      <c r="G16" t="s">
        <v>237</v>
      </c>
      <c r="H16" t="s">
        <v>366</v>
      </c>
      <c r="I16" t="s">
        <v>114</v>
      </c>
      <c r="K16" s="27">
        <v>13.9640000000004</v>
      </c>
      <c r="L16" s="27" t="b">
        <f>IF(B16&gt;0.0001, K16, FALSE)</f>
        <v>0</v>
      </c>
    </row>
    <row r="17" spans="1:12">
      <c r="A17" t="s">
        <v>365</v>
      </c>
      <c r="B17">
        <v>0</v>
      </c>
      <c r="D17" t="s">
        <v>393</v>
      </c>
      <c r="E17" t="s">
        <v>222</v>
      </c>
      <c r="F17" t="s">
        <v>112</v>
      </c>
      <c r="G17" t="s">
        <v>238</v>
      </c>
      <c r="H17" t="s">
        <v>366</v>
      </c>
      <c r="I17" t="s">
        <v>114</v>
      </c>
      <c r="K17" s="27">
        <v>69.800000000000196</v>
      </c>
      <c r="L17" s="27" t="b">
        <f>IF(B17&gt;0.0001, K17, FALSE)</f>
        <v>0</v>
      </c>
    </row>
    <row r="18" spans="1:12">
      <c r="A18" t="s">
        <v>365</v>
      </c>
      <c r="B18">
        <v>9.6255300399999994E-8</v>
      </c>
      <c r="D18" t="s">
        <v>393</v>
      </c>
      <c r="E18" t="s">
        <v>222</v>
      </c>
      <c r="F18" t="s">
        <v>112</v>
      </c>
      <c r="G18" t="s">
        <v>239</v>
      </c>
      <c r="H18" t="s">
        <v>366</v>
      </c>
      <c r="I18" t="s">
        <v>114</v>
      </c>
      <c r="K18" s="27">
        <v>341.42</v>
      </c>
      <c r="L18" s="27" t="b">
        <f>IF(B18&gt;0.0001, K18, FALSE)</f>
        <v>0</v>
      </c>
    </row>
    <row r="19" spans="1:12">
      <c r="A19" t="s">
        <v>365</v>
      </c>
      <c r="B19">
        <v>7.7890114400000001E-8</v>
      </c>
      <c r="D19" t="s">
        <v>393</v>
      </c>
      <c r="E19" t="s">
        <v>222</v>
      </c>
      <c r="F19" t="s">
        <v>112</v>
      </c>
      <c r="G19" t="s">
        <v>240</v>
      </c>
      <c r="H19" t="s">
        <v>366</v>
      </c>
      <c r="I19" t="s">
        <v>114</v>
      </c>
      <c r="K19" s="27">
        <v>544.73</v>
      </c>
      <c r="L19" s="27" t="b">
        <f>IF(B19&gt;0.0001, K19, FALSE)</f>
        <v>0</v>
      </c>
    </row>
    <row r="20" spans="1:12">
      <c r="A20" t="s">
        <v>365</v>
      </c>
      <c r="B20">
        <v>8.8430665100000003E-10</v>
      </c>
      <c r="D20" t="s">
        <v>393</v>
      </c>
      <c r="E20" t="s">
        <v>222</v>
      </c>
      <c r="F20" t="s">
        <v>112</v>
      </c>
      <c r="G20" t="s">
        <v>241</v>
      </c>
      <c r="H20" t="s">
        <v>366</v>
      </c>
      <c r="I20" t="s">
        <v>114</v>
      </c>
      <c r="K20" s="27">
        <v>293.89999999999998</v>
      </c>
      <c r="L20" s="27" t="b">
        <f>IF(B20&gt;0.0001, K20, FALSE)</f>
        <v>0</v>
      </c>
    </row>
    <row r="21" spans="1:12">
      <c r="A21" t="s">
        <v>365</v>
      </c>
      <c r="B21">
        <v>3.9529714200000001E-7</v>
      </c>
      <c r="D21" t="s">
        <v>393</v>
      </c>
      <c r="E21" t="s">
        <v>222</v>
      </c>
      <c r="F21" t="s">
        <v>112</v>
      </c>
      <c r="G21" t="s">
        <v>242</v>
      </c>
      <c r="H21" t="s">
        <v>366</v>
      </c>
      <c r="I21" t="s">
        <v>114</v>
      </c>
      <c r="K21" s="27">
        <v>546.89</v>
      </c>
      <c r="L21" s="27" t="b">
        <f>IF(B21&gt;0.0001, K21, FALSE)</f>
        <v>0</v>
      </c>
    </row>
    <row r="22" spans="1:12">
      <c r="A22" t="s">
        <v>365</v>
      </c>
      <c r="B22">
        <v>1.29652651E-5</v>
      </c>
      <c r="D22" t="s">
        <v>393</v>
      </c>
      <c r="E22" t="s">
        <v>222</v>
      </c>
      <c r="F22" t="s">
        <v>112</v>
      </c>
      <c r="G22" t="s">
        <v>243</v>
      </c>
      <c r="H22" t="s">
        <v>366</v>
      </c>
      <c r="I22" t="s">
        <v>114</v>
      </c>
      <c r="K22" s="27">
        <v>510.8</v>
      </c>
      <c r="L22" s="27" t="b">
        <f>IF(B22&gt;0.0001, K22, FALSE)</f>
        <v>0</v>
      </c>
    </row>
    <row r="23" spans="1:12">
      <c r="A23" t="s">
        <v>365</v>
      </c>
      <c r="B23">
        <v>5.04668987E-15</v>
      </c>
      <c r="D23" t="s">
        <v>393</v>
      </c>
      <c r="E23" t="s">
        <v>222</v>
      </c>
      <c r="F23" t="s">
        <v>112</v>
      </c>
      <c r="G23" t="s">
        <v>244</v>
      </c>
      <c r="H23" t="s">
        <v>366</v>
      </c>
      <c r="I23" t="s">
        <v>114</v>
      </c>
      <c r="K23" s="27">
        <v>704.93</v>
      </c>
      <c r="L23" s="27" t="b">
        <f>IF(B23&gt;0.0001, K23, FALSE)</f>
        <v>0</v>
      </c>
    </row>
    <row r="24" spans="1:12">
      <c r="A24" t="s">
        <v>365</v>
      </c>
      <c r="B24">
        <v>0</v>
      </c>
      <c r="D24" t="s">
        <v>393</v>
      </c>
      <c r="E24" t="s">
        <v>222</v>
      </c>
      <c r="F24" t="s">
        <v>112</v>
      </c>
      <c r="G24" t="s">
        <v>245</v>
      </c>
      <c r="H24" t="s">
        <v>366</v>
      </c>
      <c r="I24" t="s">
        <v>114</v>
      </c>
      <c r="K24" s="27">
        <v>1160.33</v>
      </c>
      <c r="L24" s="27" t="b">
        <f>IF(B24&gt;0.0001, K24, FALSE)</f>
        <v>0</v>
      </c>
    </row>
    <row r="25" spans="1:12">
      <c r="A25" t="s">
        <v>365</v>
      </c>
      <c r="B25">
        <v>8.1553406400000004E-13</v>
      </c>
      <c r="D25" t="s">
        <v>393</v>
      </c>
      <c r="E25" t="s">
        <v>222</v>
      </c>
      <c r="F25" t="s">
        <v>112</v>
      </c>
      <c r="G25" t="s">
        <v>246</v>
      </c>
      <c r="H25" t="s">
        <v>366</v>
      </c>
      <c r="I25" t="s">
        <v>114</v>
      </c>
      <c r="K25" s="27">
        <v>701.33</v>
      </c>
      <c r="L25" s="27" t="b">
        <f>IF(B25&gt;0.0001, K25, FALSE)</f>
        <v>0</v>
      </c>
    </row>
    <row r="26" spans="1:12">
      <c r="A26" t="s">
        <v>365</v>
      </c>
      <c r="B26">
        <v>2.61398818E-15</v>
      </c>
      <c r="D26" t="s">
        <v>393</v>
      </c>
      <c r="E26" t="s">
        <v>222</v>
      </c>
      <c r="F26" t="s">
        <v>112</v>
      </c>
      <c r="G26" t="s">
        <v>247</v>
      </c>
      <c r="H26" t="s">
        <v>366</v>
      </c>
      <c r="I26" t="s">
        <v>114</v>
      </c>
      <c r="K26" s="27">
        <v>742.73</v>
      </c>
      <c r="L26" s="27" t="b">
        <f>IF(B26&gt;0.0001, K26, FALSE)</f>
        <v>0</v>
      </c>
    </row>
    <row r="27" spans="1:12">
      <c r="A27" t="s">
        <v>365</v>
      </c>
      <c r="B27">
        <v>6.0747932499999997E-7</v>
      </c>
      <c r="D27" t="s">
        <v>393</v>
      </c>
      <c r="E27" t="s">
        <v>222</v>
      </c>
      <c r="F27" t="s">
        <v>112</v>
      </c>
      <c r="G27" t="s">
        <v>248</v>
      </c>
      <c r="H27" t="s">
        <v>366</v>
      </c>
      <c r="I27" t="s">
        <v>114</v>
      </c>
      <c r="K27" s="27">
        <v>545.28800000000001</v>
      </c>
      <c r="L27" s="27" t="b">
        <f>IF(B27&gt;0.0001, K27, FALSE)</f>
        <v>0</v>
      </c>
    </row>
    <row r="28" spans="1:12">
      <c r="A28" t="s">
        <v>365</v>
      </c>
      <c r="B28">
        <v>0</v>
      </c>
      <c r="D28" t="s">
        <v>393</v>
      </c>
      <c r="E28" t="s">
        <v>222</v>
      </c>
      <c r="F28" t="s">
        <v>112</v>
      </c>
      <c r="G28" t="s">
        <v>249</v>
      </c>
      <c r="H28" t="s">
        <v>366</v>
      </c>
      <c r="I28" t="s">
        <v>114</v>
      </c>
      <c r="K28" s="27">
        <v>1198.4000000000001</v>
      </c>
      <c r="L28" s="27" t="b">
        <f>IF(B28&gt;0.0001, K28, FALSE)</f>
        <v>0</v>
      </c>
    </row>
    <row r="29" spans="1:12">
      <c r="A29" t="s">
        <v>365</v>
      </c>
      <c r="B29">
        <v>0</v>
      </c>
      <c r="D29" t="s">
        <v>393</v>
      </c>
      <c r="E29" t="s">
        <v>222</v>
      </c>
      <c r="F29" t="s">
        <v>112</v>
      </c>
      <c r="G29" t="s">
        <v>250</v>
      </c>
      <c r="H29" t="s">
        <v>366</v>
      </c>
      <c r="I29" t="s">
        <v>114</v>
      </c>
      <c r="K29" s="27">
        <v>1172.4000000000001</v>
      </c>
      <c r="L29" s="27" t="b">
        <f>IF(B29&gt;0.0001, K29, FALSE)</f>
        <v>0</v>
      </c>
    </row>
    <row r="30" spans="1:12">
      <c r="A30" t="s">
        <v>365</v>
      </c>
      <c r="B30">
        <v>2.2313537299999998E-5</v>
      </c>
      <c r="D30" t="s">
        <v>393</v>
      </c>
      <c r="E30" t="s">
        <v>222</v>
      </c>
      <c r="F30" t="s">
        <v>112</v>
      </c>
      <c r="G30" t="s">
        <v>251</v>
      </c>
      <c r="H30" t="s">
        <v>366</v>
      </c>
      <c r="I30" t="s">
        <v>114</v>
      </c>
      <c r="K30" s="27">
        <v>338.99</v>
      </c>
      <c r="L30" s="27" t="b">
        <f>IF(B30&gt;0.0001, K30, FALSE)</f>
        <v>0</v>
      </c>
    </row>
    <row r="31" spans="1:12">
      <c r="A31" t="s">
        <v>365</v>
      </c>
      <c r="B31">
        <v>2.0464099499999999E-6</v>
      </c>
      <c r="D31" t="s">
        <v>393</v>
      </c>
      <c r="E31" t="s">
        <v>222</v>
      </c>
      <c r="F31" t="s">
        <v>112</v>
      </c>
      <c r="G31" t="s">
        <v>252</v>
      </c>
      <c r="H31" t="s">
        <v>366</v>
      </c>
      <c r="I31" t="s">
        <v>114</v>
      </c>
      <c r="K31" s="27">
        <v>628.62620000000004</v>
      </c>
      <c r="L31" s="27" t="b">
        <f>IF(B31&gt;0.0001, K31, FALSE)</f>
        <v>0</v>
      </c>
    </row>
    <row r="32" spans="1:12">
      <c r="A32" t="s">
        <v>365</v>
      </c>
      <c r="B32">
        <v>0</v>
      </c>
      <c r="D32" t="s">
        <v>393</v>
      </c>
      <c r="E32" t="s">
        <v>222</v>
      </c>
      <c r="F32" t="s">
        <v>112</v>
      </c>
      <c r="G32" t="s">
        <v>253</v>
      </c>
      <c r="H32" t="s">
        <v>366</v>
      </c>
      <c r="I32" t="s">
        <v>114</v>
      </c>
      <c r="K32" s="27">
        <v>832.41319999999996</v>
      </c>
      <c r="L32" s="27" t="b">
        <f>IF(B32&gt;0.0001, K32, FALSE)</f>
        <v>0</v>
      </c>
    </row>
    <row r="33" spans="1:12">
      <c r="A33" t="s">
        <v>365</v>
      </c>
      <c r="B33">
        <v>0</v>
      </c>
      <c r="D33" t="s">
        <v>393</v>
      </c>
      <c r="E33" t="s">
        <v>222</v>
      </c>
      <c r="F33" t="s">
        <v>112</v>
      </c>
      <c r="G33" t="s">
        <v>193</v>
      </c>
      <c r="H33" t="s">
        <v>366</v>
      </c>
      <c r="I33" t="s">
        <v>114</v>
      </c>
      <c r="L33" s="27" t="b">
        <f>IF(B33&gt;0.0001, K33, FALSE)</f>
        <v>0</v>
      </c>
    </row>
    <row r="34" spans="1:12">
      <c r="A34" t="s">
        <v>365</v>
      </c>
      <c r="B34">
        <v>0</v>
      </c>
      <c r="D34" t="s">
        <v>393</v>
      </c>
      <c r="E34" t="s">
        <v>222</v>
      </c>
      <c r="F34" t="s">
        <v>112</v>
      </c>
      <c r="G34" t="s">
        <v>254</v>
      </c>
      <c r="H34" t="s">
        <v>366</v>
      </c>
      <c r="I34" t="s">
        <v>114</v>
      </c>
      <c r="K34" s="27">
        <v>4046.09</v>
      </c>
      <c r="L34" s="27" t="b">
        <f>IF(B34&gt;0.0001, K34, FALSE)</f>
        <v>0</v>
      </c>
    </row>
    <row r="35" spans="1:12">
      <c r="A35" t="s">
        <v>365</v>
      </c>
      <c r="B35">
        <v>0</v>
      </c>
      <c r="D35" t="s">
        <v>393</v>
      </c>
      <c r="E35" t="s">
        <v>222</v>
      </c>
      <c r="F35" t="s">
        <v>112</v>
      </c>
      <c r="G35" t="s">
        <v>255</v>
      </c>
      <c r="H35" t="s">
        <v>366</v>
      </c>
      <c r="I35" t="s">
        <v>114</v>
      </c>
      <c r="K35" s="27">
        <v>4046.09</v>
      </c>
      <c r="L35" s="27" t="b">
        <f>IF(B35&gt;0.0001, K35, FALSE)</f>
        <v>0</v>
      </c>
    </row>
    <row r="36" spans="1:12">
      <c r="A36" t="s">
        <v>365</v>
      </c>
      <c r="B36">
        <v>1.87005481E-8</v>
      </c>
      <c r="D36" t="s">
        <v>393</v>
      </c>
      <c r="E36" t="s">
        <v>222</v>
      </c>
      <c r="F36" t="s">
        <v>112</v>
      </c>
      <c r="G36" t="s">
        <v>256</v>
      </c>
      <c r="H36" t="s">
        <v>366</v>
      </c>
      <c r="I36" t="s">
        <v>114</v>
      </c>
      <c r="K36" s="27">
        <v>325.88600000000002</v>
      </c>
      <c r="L36" s="27" t="b">
        <f>IF(B36&gt;0.0001, K36, FALSE)</f>
        <v>0</v>
      </c>
    </row>
    <row r="37" spans="1:12">
      <c r="A37" t="s">
        <v>365</v>
      </c>
      <c r="B37">
        <v>7.7713338999999995E-9</v>
      </c>
      <c r="D37" t="s">
        <v>393</v>
      </c>
      <c r="E37" t="s">
        <v>222</v>
      </c>
      <c r="F37" t="s">
        <v>112</v>
      </c>
      <c r="G37" t="s">
        <v>257</v>
      </c>
      <c r="H37" t="s">
        <v>366</v>
      </c>
      <c r="I37" t="s">
        <v>114</v>
      </c>
      <c r="K37" s="27">
        <v>369.68</v>
      </c>
      <c r="L37" s="27" t="b">
        <f>IF(B37&gt;0.0001, K37, FALSE)</f>
        <v>0</v>
      </c>
    </row>
    <row r="38" spans="1:12">
      <c r="A38" t="s">
        <v>365</v>
      </c>
      <c r="B38">
        <v>0</v>
      </c>
      <c r="D38" t="s">
        <v>393</v>
      </c>
      <c r="E38" t="s">
        <v>222</v>
      </c>
      <c r="F38" t="s">
        <v>112</v>
      </c>
      <c r="G38" t="s">
        <v>258</v>
      </c>
      <c r="H38" t="s">
        <v>366</v>
      </c>
      <c r="I38" t="s">
        <v>114</v>
      </c>
      <c r="K38" s="27">
        <v>360.71600000000001</v>
      </c>
      <c r="L38" s="27" t="b">
        <f>IF(B38&gt;0.0001, K38, FALSE)</f>
        <v>0</v>
      </c>
    </row>
    <row r="39" spans="1:12">
      <c r="A39" t="s">
        <v>365</v>
      </c>
      <c r="B39">
        <v>0</v>
      </c>
      <c r="D39" t="s">
        <v>393</v>
      </c>
      <c r="E39" t="s">
        <v>222</v>
      </c>
      <c r="F39" t="s">
        <v>112</v>
      </c>
      <c r="G39" t="s">
        <v>259</v>
      </c>
      <c r="H39" t="s">
        <v>366</v>
      </c>
      <c r="I39" t="s">
        <v>114</v>
      </c>
      <c r="K39" s="27">
        <v>650.92999999999995</v>
      </c>
      <c r="L39" s="27" t="b">
        <f>IF(B39&gt;0.0001, K39, FALSE)</f>
        <v>0</v>
      </c>
    </row>
    <row r="40" spans="1:12">
      <c r="A40" t="s">
        <v>365</v>
      </c>
      <c r="B40">
        <v>0</v>
      </c>
      <c r="D40" t="s">
        <v>393</v>
      </c>
      <c r="E40" t="s">
        <v>222</v>
      </c>
      <c r="F40" t="s">
        <v>112</v>
      </c>
      <c r="G40" t="s">
        <v>260</v>
      </c>
      <c r="H40" t="s">
        <v>366</v>
      </c>
      <c r="I40" t="s">
        <v>114</v>
      </c>
      <c r="K40" s="27">
        <v>814.55</v>
      </c>
      <c r="L40" s="27" t="b">
        <f>IF(B40&gt;0.0001, K40, FALSE)</f>
        <v>0</v>
      </c>
    </row>
    <row r="41" spans="1:12">
      <c r="A41" t="s">
        <v>365</v>
      </c>
      <c r="B41">
        <v>0</v>
      </c>
      <c r="D41" t="s">
        <v>393</v>
      </c>
      <c r="E41" t="s">
        <v>222</v>
      </c>
      <c r="F41" t="s">
        <v>112</v>
      </c>
      <c r="G41" t="s">
        <v>261</v>
      </c>
      <c r="H41" t="s">
        <v>366</v>
      </c>
      <c r="I41" t="s">
        <v>114</v>
      </c>
      <c r="K41" s="27">
        <v>155.678</v>
      </c>
      <c r="L41" s="27" t="b">
        <f>IF(B41&gt;0.0001, K41, FALSE)</f>
        <v>0</v>
      </c>
    </row>
    <row r="42" spans="1:12">
      <c r="A42" t="s">
        <v>365</v>
      </c>
      <c r="B42">
        <v>0.210799818</v>
      </c>
      <c r="D42" t="s">
        <v>393</v>
      </c>
      <c r="E42" t="s">
        <v>222</v>
      </c>
      <c r="F42" t="s">
        <v>112</v>
      </c>
      <c r="G42" t="s">
        <v>262</v>
      </c>
      <c r="H42" t="s">
        <v>366</v>
      </c>
      <c r="I42" t="s">
        <v>114</v>
      </c>
      <c r="K42" s="27">
        <v>421.34</v>
      </c>
      <c r="L42" s="27">
        <f>IF(B42&gt;0.0001, K42, FALSE)</f>
        <v>421.34</v>
      </c>
    </row>
    <row r="43" spans="1:12">
      <c r="A43" t="s">
        <v>365</v>
      </c>
      <c r="B43">
        <v>3.6155648099999999E-11</v>
      </c>
      <c r="D43" t="s">
        <v>393</v>
      </c>
      <c r="E43" t="s">
        <v>222</v>
      </c>
      <c r="F43" t="s">
        <v>112</v>
      </c>
      <c r="G43" t="s">
        <v>263</v>
      </c>
      <c r="H43" t="s">
        <v>366</v>
      </c>
      <c r="I43" t="s">
        <v>114</v>
      </c>
      <c r="K43" s="27">
        <v>197.33</v>
      </c>
      <c r="L43" s="27" t="b">
        <f>IF(B43&gt;0.0001, K43, FALSE)</f>
        <v>0</v>
      </c>
    </row>
    <row r="44" spans="1:12">
      <c r="A44" t="s">
        <v>365</v>
      </c>
      <c r="B44">
        <v>5.2334017700000001E-4</v>
      </c>
      <c r="D44" t="s">
        <v>393</v>
      </c>
      <c r="E44" t="s">
        <v>222</v>
      </c>
      <c r="F44" t="s">
        <v>112</v>
      </c>
      <c r="G44" t="s">
        <v>264</v>
      </c>
      <c r="H44" t="s">
        <v>366</v>
      </c>
      <c r="I44" t="s">
        <v>114</v>
      </c>
      <c r="K44" s="27">
        <v>330.26</v>
      </c>
      <c r="L44" s="27">
        <f>IF(B44&gt;0.0001, K44, FALSE)</f>
        <v>330.26</v>
      </c>
    </row>
    <row r="45" spans="1:12">
      <c r="A45" t="s">
        <v>365</v>
      </c>
      <c r="B45">
        <v>3.9172702799999999E-7</v>
      </c>
      <c r="D45" t="s">
        <v>393</v>
      </c>
      <c r="E45" t="s">
        <v>222</v>
      </c>
      <c r="F45" t="s">
        <v>112</v>
      </c>
      <c r="G45" t="s">
        <v>265</v>
      </c>
      <c r="H45" t="s">
        <v>366</v>
      </c>
      <c r="I45" t="s">
        <v>114</v>
      </c>
      <c r="K45" s="27">
        <v>218.24600000000001</v>
      </c>
      <c r="L45" s="27" t="b">
        <f>IF(B45&gt;0.0001, K45, FALSE)</f>
        <v>0</v>
      </c>
    </row>
    <row r="46" spans="1:12">
      <c r="A46" t="s">
        <v>365</v>
      </c>
      <c r="B46">
        <v>7.5137390899999999E-6</v>
      </c>
      <c r="D46" t="s">
        <v>393</v>
      </c>
      <c r="E46" t="s">
        <v>222</v>
      </c>
      <c r="F46" t="s">
        <v>112</v>
      </c>
      <c r="G46" t="s">
        <v>266</v>
      </c>
      <c r="H46" t="s">
        <v>366</v>
      </c>
      <c r="I46" t="s">
        <v>114</v>
      </c>
      <c r="K46" s="27">
        <v>250.7396</v>
      </c>
      <c r="L46" s="27" t="b">
        <f>IF(B46&gt;0.0001, K46, FALSE)</f>
        <v>0</v>
      </c>
    </row>
    <row r="47" spans="1:12">
      <c r="A47" t="s">
        <v>365</v>
      </c>
      <c r="B47">
        <v>8.0722619099999999E-13</v>
      </c>
      <c r="D47" t="s">
        <v>393</v>
      </c>
      <c r="E47" t="s">
        <v>222</v>
      </c>
      <c r="F47" t="s">
        <v>112</v>
      </c>
      <c r="G47" t="s">
        <v>267</v>
      </c>
      <c r="H47" t="s">
        <v>366</v>
      </c>
      <c r="I47" t="s">
        <v>114</v>
      </c>
      <c r="K47" s="27">
        <v>177.29599999999999</v>
      </c>
      <c r="L47" s="27" t="b">
        <f>IF(B47&gt;0.0001, K47, FALSE)</f>
        <v>0</v>
      </c>
    </row>
    <row r="48" spans="1:12">
      <c r="A48" t="s">
        <v>365</v>
      </c>
      <c r="B48">
        <v>6.3029780900000004E-3</v>
      </c>
      <c r="D48" t="s">
        <v>393</v>
      </c>
      <c r="E48" t="s">
        <v>222</v>
      </c>
      <c r="F48" t="s">
        <v>112</v>
      </c>
      <c r="G48" t="s">
        <v>268</v>
      </c>
      <c r="H48" t="s">
        <v>366</v>
      </c>
      <c r="I48" t="s">
        <v>114</v>
      </c>
      <c r="K48" s="27">
        <v>357.76580000000001</v>
      </c>
      <c r="L48" s="27">
        <f>IF(B48&gt;0.0001, K48, FALSE)</f>
        <v>357.76580000000001</v>
      </c>
    </row>
    <row r="49" spans="1:12">
      <c r="A49" t="s">
        <v>365</v>
      </c>
      <c r="B49">
        <v>0.14739338499999999</v>
      </c>
      <c r="D49" t="s">
        <v>393</v>
      </c>
      <c r="E49" t="s">
        <v>222</v>
      </c>
      <c r="F49" t="s">
        <v>112</v>
      </c>
      <c r="G49" t="s">
        <v>269</v>
      </c>
      <c r="H49" t="s">
        <v>366</v>
      </c>
      <c r="I49" t="s">
        <v>114</v>
      </c>
      <c r="K49" s="27">
        <v>462.27199999999999</v>
      </c>
      <c r="L49" s="27">
        <f>IF(B49&gt;0.0001, K49, FALSE)</f>
        <v>462.27199999999999</v>
      </c>
    </row>
    <row r="50" spans="1:12">
      <c r="A50" t="s">
        <v>365</v>
      </c>
      <c r="B50">
        <v>6.4120018500000001E-2</v>
      </c>
      <c r="D50" t="s">
        <v>393</v>
      </c>
      <c r="E50" t="s">
        <v>222</v>
      </c>
      <c r="F50" t="s">
        <v>112</v>
      </c>
      <c r="G50" t="s">
        <v>270</v>
      </c>
      <c r="H50" t="s">
        <v>366</v>
      </c>
      <c r="I50" t="s">
        <v>114</v>
      </c>
      <c r="K50" s="27">
        <v>397.91300000000001</v>
      </c>
      <c r="L50" s="27">
        <f>IF(B50&gt;0.0001, K50, FALSE)</f>
        <v>397.91300000000001</v>
      </c>
    </row>
    <row r="51" spans="1:12">
      <c r="A51" t="s">
        <v>365</v>
      </c>
      <c r="B51">
        <v>1.4969090300000001E-4</v>
      </c>
      <c r="D51" t="s">
        <v>393</v>
      </c>
      <c r="E51" t="s">
        <v>222</v>
      </c>
      <c r="F51" t="s">
        <v>112</v>
      </c>
      <c r="G51" t="s">
        <v>271</v>
      </c>
      <c r="H51" t="s">
        <v>366</v>
      </c>
      <c r="I51" t="s">
        <v>114</v>
      </c>
      <c r="K51" s="27">
        <v>291.72199999999998</v>
      </c>
      <c r="L51" s="27">
        <f>IF(B51&gt;0.0001, K51, FALSE)</f>
        <v>291.72199999999998</v>
      </c>
    </row>
    <row r="52" spans="1:12">
      <c r="A52" t="s">
        <v>365</v>
      </c>
      <c r="B52">
        <v>0</v>
      </c>
      <c r="D52" t="s">
        <v>393</v>
      </c>
      <c r="E52" t="s">
        <v>222</v>
      </c>
      <c r="F52" t="s">
        <v>112</v>
      </c>
      <c r="G52" t="s">
        <v>272</v>
      </c>
      <c r="H52" t="s">
        <v>366</v>
      </c>
      <c r="I52" t="s">
        <v>114</v>
      </c>
      <c r="K52" s="27">
        <v>378.14</v>
      </c>
      <c r="L52" s="27" t="b">
        <f>IF(B52&gt;0.0001, K52, FALSE)</f>
        <v>0</v>
      </c>
    </row>
    <row r="53" spans="1:12">
      <c r="A53" t="s">
        <v>365</v>
      </c>
      <c r="B53">
        <v>9.86849327E-6</v>
      </c>
      <c r="D53" t="s">
        <v>393</v>
      </c>
      <c r="E53" t="s">
        <v>222</v>
      </c>
      <c r="F53" t="s">
        <v>112</v>
      </c>
      <c r="G53" t="s">
        <v>273</v>
      </c>
      <c r="H53" t="s">
        <v>366</v>
      </c>
      <c r="I53" t="s">
        <v>114</v>
      </c>
      <c r="K53" s="27">
        <v>670.91</v>
      </c>
      <c r="L53" s="27" t="b">
        <f>IF(B53&gt;0.0001, K53, FALSE)</f>
        <v>0</v>
      </c>
    </row>
    <row r="54" spans="1:12">
      <c r="A54" t="s">
        <v>365</v>
      </c>
      <c r="B54">
        <v>7.3377477000000006E-8</v>
      </c>
      <c r="D54" t="s">
        <v>393</v>
      </c>
      <c r="E54" t="s">
        <v>222</v>
      </c>
      <c r="F54" t="s">
        <v>112</v>
      </c>
      <c r="G54" t="s">
        <v>274</v>
      </c>
      <c r="H54" t="s">
        <v>366</v>
      </c>
      <c r="I54" t="s">
        <v>114</v>
      </c>
      <c r="K54" s="27">
        <v>742.64</v>
      </c>
      <c r="L54" s="27" t="b">
        <f>IF(B54&gt;0.0001, K54, FALSE)</f>
        <v>0</v>
      </c>
    </row>
    <row r="55" spans="1:12">
      <c r="A55" t="s">
        <v>365</v>
      </c>
      <c r="B55">
        <v>1.1804120899999999E-2</v>
      </c>
      <c r="D55" t="s">
        <v>393</v>
      </c>
      <c r="E55" t="s">
        <v>222</v>
      </c>
      <c r="F55" t="s">
        <v>112</v>
      </c>
      <c r="G55" t="s">
        <v>275</v>
      </c>
      <c r="H55" t="s">
        <v>366</v>
      </c>
      <c r="I55" t="s">
        <v>114</v>
      </c>
      <c r="K55" s="27">
        <v>536.9</v>
      </c>
      <c r="L55" s="27">
        <f>IF(B55&gt;0.0001, K55, FALSE)</f>
        <v>536.9</v>
      </c>
    </row>
    <row r="56" spans="1:12">
      <c r="A56" t="s">
        <v>365</v>
      </c>
      <c r="B56">
        <v>1.35606012E-3</v>
      </c>
      <c r="D56" t="s">
        <v>393</v>
      </c>
      <c r="E56" t="s">
        <v>222</v>
      </c>
      <c r="F56" t="s">
        <v>112</v>
      </c>
      <c r="G56" t="s">
        <v>276</v>
      </c>
      <c r="H56" t="s">
        <v>366</v>
      </c>
      <c r="I56" t="s">
        <v>114</v>
      </c>
      <c r="K56" s="27">
        <v>352.346</v>
      </c>
      <c r="L56" s="27">
        <f>IF(B56&gt;0.0001, K56, FALSE)</f>
        <v>352.346</v>
      </c>
    </row>
    <row r="57" spans="1:12">
      <c r="A57" t="s">
        <v>365</v>
      </c>
      <c r="B57">
        <v>5.8916459999999997E-2</v>
      </c>
      <c r="D57" t="s">
        <v>393</v>
      </c>
      <c r="E57" t="s">
        <v>222</v>
      </c>
      <c r="F57" t="s">
        <v>112</v>
      </c>
      <c r="G57" t="s">
        <v>277</v>
      </c>
      <c r="H57" t="s">
        <v>366</v>
      </c>
      <c r="I57" t="s">
        <v>114</v>
      </c>
      <c r="K57" s="27">
        <v>456.53</v>
      </c>
      <c r="L57" s="27">
        <f>IF(B57&gt;0.0001, K57, FALSE)</f>
        <v>456.53</v>
      </c>
    </row>
    <row r="58" spans="1:12">
      <c r="A58" t="s">
        <v>365</v>
      </c>
      <c r="B58">
        <v>1.05263845E-3</v>
      </c>
      <c r="D58" t="s">
        <v>393</v>
      </c>
      <c r="E58" t="s">
        <v>222</v>
      </c>
      <c r="F58" t="s">
        <v>112</v>
      </c>
      <c r="G58" t="s">
        <v>278</v>
      </c>
      <c r="H58" t="s">
        <v>366</v>
      </c>
      <c r="I58" t="s">
        <v>114</v>
      </c>
      <c r="K58" s="27">
        <v>590.44100000000003</v>
      </c>
      <c r="L58" s="27">
        <f>IF(B58&gt;0.0001, K58, FALSE)</f>
        <v>590.44100000000003</v>
      </c>
    </row>
    <row r="59" spans="1:12">
      <c r="A59" t="s">
        <v>365</v>
      </c>
      <c r="B59">
        <v>0.16386042300000001</v>
      </c>
      <c r="D59" t="s">
        <v>393</v>
      </c>
      <c r="E59" t="s">
        <v>222</v>
      </c>
      <c r="F59" t="s">
        <v>112</v>
      </c>
      <c r="G59" t="s">
        <v>279</v>
      </c>
      <c r="H59" t="s">
        <v>366</v>
      </c>
      <c r="I59" t="s">
        <v>114</v>
      </c>
      <c r="K59" s="27">
        <v>505.4</v>
      </c>
      <c r="L59" s="27">
        <f>IF(B59&gt;0.0001, K59, FALSE)</f>
        <v>505.4</v>
      </c>
    </row>
    <row r="60" spans="1:12">
      <c r="A60" t="s">
        <v>365</v>
      </c>
      <c r="B60">
        <v>4.8896281999999999E-5</v>
      </c>
      <c r="D60" t="s">
        <v>393</v>
      </c>
      <c r="E60" t="s">
        <v>222</v>
      </c>
      <c r="F60" t="s">
        <v>112</v>
      </c>
      <c r="G60" t="s">
        <v>280</v>
      </c>
      <c r="H60" t="s">
        <v>366</v>
      </c>
      <c r="I60" t="s">
        <v>114</v>
      </c>
      <c r="K60" s="27">
        <v>633.20000000000005</v>
      </c>
      <c r="L60" s="27" t="b">
        <f>IF(B60&gt;0.0001, K60, FALSE)</f>
        <v>0</v>
      </c>
    </row>
    <row r="61" spans="1:12">
      <c r="A61" t="s">
        <v>365</v>
      </c>
      <c r="B61">
        <v>0.21396963499999999</v>
      </c>
      <c r="D61" t="s">
        <v>393</v>
      </c>
      <c r="E61" t="s">
        <v>222</v>
      </c>
      <c r="F61" t="s">
        <v>112</v>
      </c>
      <c r="G61" t="s">
        <v>281</v>
      </c>
      <c r="H61" t="s">
        <v>366</v>
      </c>
      <c r="I61" t="s">
        <v>114</v>
      </c>
      <c r="K61" s="27">
        <v>450.5</v>
      </c>
      <c r="L61" s="27">
        <f>IF(B61&gt;0.0001, K61, FALSE)</f>
        <v>450.5</v>
      </c>
    </row>
    <row r="62" spans="1:12">
      <c r="A62" t="s">
        <v>365</v>
      </c>
      <c r="B62">
        <v>0</v>
      </c>
      <c r="D62" t="s">
        <v>393</v>
      </c>
      <c r="E62" t="s">
        <v>222</v>
      </c>
      <c r="F62" t="s">
        <v>112</v>
      </c>
      <c r="G62" t="s">
        <v>282</v>
      </c>
      <c r="H62" t="s">
        <v>366</v>
      </c>
      <c r="I62" t="s">
        <v>114</v>
      </c>
      <c r="K62" s="27">
        <v>99.194000000000401</v>
      </c>
      <c r="L62" s="27" t="b">
        <f>IF(B62&gt;0.0001, K62, FALSE)</f>
        <v>0</v>
      </c>
    </row>
    <row r="63" spans="1:12">
      <c r="A63" t="s">
        <v>365</v>
      </c>
      <c r="B63">
        <v>0</v>
      </c>
      <c r="D63" t="s">
        <v>393</v>
      </c>
      <c r="E63" t="s">
        <v>222</v>
      </c>
      <c r="F63" t="s">
        <v>112</v>
      </c>
      <c r="G63" t="s">
        <v>283</v>
      </c>
      <c r="H63" t="s">
        <v>366</v>
      </c>
      <c r="I63" t="s">
        <v>114</v>
      </c>
      <c r="K63" s="27">
        <v>96.9080000000003</v>
      </c>
      <c r="L63" s="27" t="b">
        <f>IF(B63&gt;0.0001, K63, FALSE)</f>
        <v>0</v>
      </c>
    </row>
    <row r="64" spans="1:12">
      <c r="A64" t="s">
        <v>365</v>
      </c>
      <c r="B64">
        <v>0</v>
      </c>
      <c r="D64" t="s">
        <v>393</v>
      </c>
      <c r="E64" t="s">
        <v>222</v>
      </c>
      <c r="F64" t="s">
        <v>112</v>
      </c>
      <c r="G64" t="s">
        <v>284</v>
      </c>
      <c r="H64" t="s">
        <v>366</v>
      </c>
      <c r="I64" t="s">
        <v>114</v>
      </c>
      <c r="K64" s="27">
        <v>-76.629999999999498</v>
      </c>
      <c r="L64" s="27" t="b">
        <f>IF(B64&gt;0.0001, K64, FALSE)</f>
        <v>0</v>
      </c>
    </row>
    <row r="65" spans="1:12">
      <c r="A65" t="s">
        <v>365</v>
      </c>
      <c r="B65">
        <v>1.9203711600000001E-17</v>
      </c>
      <c r="D65" t="s">
        <v>393</v>
      </c>
      <c r="E65" t="s">
        <v>222</v>
      </c>
      <c r="F65" t="s">
        <v>112</v>
      </c>
      <c r="G65" t="s">
        <v>285</v>
      </c>
      <c r="H65" t="s">
        <v>366</v>
      </c>
      <c r="I65" t="s">
        <v>114</v>
      </c>
      <c r="K65" s="27">
        <v>1100.7392</v>
      </c>
      <c r="L65" s="27" t="b">
        <f>IF(B65&gt;0.0001, K65, FALSE)</f>
        <v>0</v>
      </c>
    </row>
    <row r="66" spans="1:12">
      <c r="A66" t="s">
        <v>365</v>
      </c>
      <c r="B66">
        <v>1.13099392E-8</v>
      </c>
      <c r="D66" t="s">
        <v>393</v>
      </c>
      <c r="E66" t="s">
        <v>222</v>
      </c>
      <c r="F66" t="s">
        <v>112</v>
      </c>
      <c r="G66" t="s">
        <v>286</v>
      </c>
      <c r="H66" t="s">
        <v>366</v>
      </c>
      <c r="I66" t="s">
        <v>114</v>
      </c>
      <c r="K66" s="27">
        <v>666.41</v>
      </c>
      <c r="L66" s="27" t="b">
        <f>IF(B66&gt;0.0001, K66, FALSE)</f>
        <v>0</v>
      </c>
    </row>
    <row r="67" spans="1:12">
      <c r="A67" t="s">
        <v>365</v>
      </c>
      <c r="B67">
        <v>5.1542908800000003E-7</v>
      </c>
      <c r="D67" t="s">
        <v>393</v>
      </c>
      <c r="E67" t="s">
        <v>222</v>
      </c>
      <c r="F67" t="s">
        <v>112</v>
      </c>
      <c r="G67" t="s">
        <v>287</v>
      </c>
      <c r="H67" t="s">
        <v>366</v>
      </c>
      <c r="I67" t="s">
        <v>114</v>
      </c>
      <c r="K67" s="27">
        <v>213.68119999999999</v>
      </c>
      <c r="L67" s="27" t="b">
        <f>IF(B67&gt;0.0001, K67, FALSE)</f>
        <v>0</v>
      </c>
    </row>
    <row r="68" spans="1:12">
      <c r="A68" t="s">
        <v>365</v>
      </c>
      <c r="B68">
        <v>1.35401956E-4</v>
      </c>
      <c r="D68" t="s">
        <v>393</v>
      </c>
      <c r="E68" t="s">
        <v>222</v>
      </c>
      <c r="F68" t="s">
        <v>112</v>
      </c>
      <c r="G68" t="s">
        <v>288</v>
      </c>
      <c r="H68" t="s">
        <v>366</v>
      </c>
      <c r="I68" t="s">
        <v>114</v>
      </c>
      <c r="K68" s="27">
        <v>303.36799999999999</v>
      </c>
      <c r="L68" s="27">
        <f>IF(B68&gt;0.0001, K68, FALSE)</f>
        <v>303.36799999999999</v>
      </c>
    </row>
    <row r="69" spans="1:12">
      <c r="A69" t="s">
        <v>365</v>
      </c>
      <c r="B69">
        <v>5.0612665000000002E-6</v>
      </c>
      <c r="D69" t="s">
        <v>393</v>
      </c>
      <c r="E69" t="s">
        <v>222</v>
      </c>
      <c r="F69" t="s">
        <v>112</v>
      </c>
      <c r="G69" t="s">
        <v>289</v>
      </c>
      <c r="H69" t="s">
        <v>366</v>
      </c>
      <c r="I69" t="s">
        <v>114</v>
      </c>
      <c r="K69" s="27">
        <v>258.11599999999999</v>
      </c>
      <c r="L69" s="27" t="b">
        <f>IF(B69&gt;0.0001, K69, FALSE)</f>
        <v>0</v>
      </c>
    </row>
    <row r="70" spans="1:12">
      <c r="A70" t="s">
        <v>365</v>
      </c>
      <c r="B70">
        <v>0</v>
      </c>
      <c r="D70" t="s">
        <v>393</v>
      </c>
      <c r="E70" t="s">
        <v>222</v>
      </c>
      <c r="F70" t="s">
        <v>112</v>
      </c>
      <c r="G70" t="s">
        <v>321</v>
      </c>
      <c r="H70" t="s">
        <v>366</v>
      </c>
      <c r="I70" t="s">
        <v>114</v>
      </c>
      <c r="K70" s="27">
        <v>395.56939999999997</v>
      </c>
      <c r="L70" s="27" t="b">
        <f>IF(B70&gt;0.0001, K70, FALSE)</f>
        <v>0</v>
      </c>
    </row>
    <row r="71" spans="1:12">
      <c r="A71" t="s">
        <v>365</v>
      </c>
      <c r="B71">
        <v>0</v>
      </c>
      <c r="D71" t="s">
        <v>393</v>
      </c>
      <c r="E71" t="s">
        <v>222</v>
      </c>
      <c r="F71" t="s">
        <v>112</v>
      </c>
      <c r="G71" t="s">
        <v>324</v>
      </c>
      <c r="H71" t="s">
        <v>366</v>
      </c>
      <c r="I71" t="s">
        <v>114</v>
      </c>
      <c r="K71" s="27">
        <v>475.952</v>
      </c>
      <c r="L71" s="27" t="b">
        <f>IF(B71&gt;0.0001, K71, FALSE)</f>
        <v>0</v>
      </c>
    </row>
    <row r="72" spans="1:12">
      <c r="A72" t="s">
        <v>365</v>
      </c>
      <c r="B72">
        <v>0</v>
      </c>
      <c r="D72" t="s">
        <v>393</v>
      </c>
      <c r="E72" t="s">
        <v>222</v>
      </c>
      <c r="F72" t="s">
        <v>112</v>
      </c>
      <c r="G72" t="s">
        <v>325</v>
      </c>
      <c r="H72" t="s">
        <v>366</v>
      </c>
      <c r="I72" t="s">
        <v>114</v>
      </c>
      <c r="K72" s="27">
        <v>501.8</v>
      </c>
      <c r="L72" s="27" t="b">
        <f>IF(B72&gt;0.0001, K72, FALSE)</f>
        <v>0</v>
      </c>
    </row>
    <row r="73" spans="1:12">
      <c r="A73" t="s">
        <v>365</v>
      </c>
      <c r="B73">
        <v>0</v>
      </c>
      <c r="D73" t="s">
        <v>393</v>
      </c>
      <c r="E73" t="s">
        <v>222</v>
      </c>
      <c r="F73" t="s">
        <v>112</v>
      </c>
      <c r="G73" t="s">
        <v>326</v>
      </c>
      <c r="H73" t="s">
        <v>366</v>
      </c>
      <c r="I73" t="s">
        <v>114</v>
      </c>
      <c r="K73" s="27">
        <v>161.25800000000001</v>
      </c>
      <c r="L73" s="27" t="b">
        <f>IF(B73&gt;0.0001, K73, FALSE)</f>
        <v>0</v>
      </c>
    </row>
    <row r="74" spans="1:12">
      <c r="A74" t="s">
        <v>365</v>
      </c>
      <c r="B74">
        <v>0</v>
      </c>
      <c r="D74" t="s">
        <v>393</v>
      </c>
      <c r="E74" t="s">
        <v>222</v>
      </c>
      <c r="F74" t="s">
        <v>112</v>
      </c>
      <c r="G74" t="s">
        <v>327</v>
      </c>
      <c r="H74" t="s">
        <v>366</v>
      </c>
      <c r="I74" t="s">
        <v>114</v>
      </c>
      <c r="K74" s="27">
        <v>213.68119999999999</v>
      </c>
      <c r="L74" s="27" t="b">
        <f>IF(B74&gt;0.0001, K74, FALSE)</f>
        <v>0</v>
      </c>
    </row>
    <row r="75" spans="1:12">
      <c r="A75" t="s">
        <v>365</v>
      </c>
      <c r="B75">
        <v>0</v>
      </c>
      <c r="D75" t="s">
        <v>393</v>
      </c>
      <c r="E75" t="s">
        <v>222</v>
      </c>
      <c r="F75" t="s">
        <v>112</v>
      </c>
      <c r="G75" t="s">
        <v>328</v>
      </c>
      <c r="H75" t="s">
        <v>366</v>
      </c>
      <c r="I75" t="s">
        <v>114</v>
      </c>
      <c r="K75" s="27">
        <v>271.00580000000002</v>
      </c>
      <c r="L75" s="27" t="b">
        <f>IF(B75&gt;0.0001, K75, FALSE)</f>
        <v>0</v>
      </c>
    </row>
    <row r="76" spans="1:12">
      <c r="A76" t="s">
        <v>365</v>
      </c>
      <c r="B76">
        <v>0</v>
      </c>
      <c r="D76" t="s">
        <v>393</v>
      </c>
      <c r="E76" t="s">
        <v>222</v>
      </c>
      <c r="F76" t="s">
        <v>112</v>
      </c>
      <c r="G76" t="s">
        <v>329</v>
      </c>
      <c r="H76" t="s">
        <v>366</v>
      </c>
      <c r="I76" t="s">
        <v>114</v>
      </c>
      <c r="K76" s="27">
        <v>312.02600000000001</v>
      </c>
      <c r="L76" s="27" t="b">
        <f>IF(B76&gt;0.0001, K76, FALSE)</f>
        <v>0</v>
      </c>
    </row>
    <row r="77" spans="1:12">
      <c r="A77" t="s">
        <v>365</v>
      </c>
      <c r="B77">
        <v>0</v>
      </c>
      <c r="D77" t="s">
        <v>393</v>
      </c>
      <c r="E77" t="s">
        <v>222</v>
      </c>
      <c r="F77" t="s">
        <v>112</v>
      </c>
      <c r="G77" t="s">
        <v>331</v>
      </c>
      <c r="H77" t="s">
        <v>366</v>
      </c>
      <c r="I77" t="s">
        <v>114</v>
      </c>
      <c r="K77" s="27">
        <v>308.44400000000002</v>
      </c>
      <c r="L77" s="27" t="b">
        <f>IF(B77&gt;0.0001, K77, FALSE)</f>
        <v>0</v>
      </c>
    </row>
    <row r="78" spans="1:12">
      <c r="A78" t="s">
        <v>365</v>
      </c>
      <c r="B78">
        <v>0</v>
      </c>
      <c r="D78" t="s">
        <v>393</v>
      </c>
      <c r="E78" t="s">
        <v>222</v>
      </c>
      <c r="F78" t="s">
        <v>112</v>
      </c>
      <c r="G78" t="s">
        <v>333</v>
      </c>
      <c r="H78" t="s">
        <v>366</v>
      </c>
      <c r="I78" t="s">
        <v>114</v>
      </c>
      <c r="K78" s="27">
        <v>404.06720000000001</v>
      </c>
      <c r="L78" s="27" t="b">
        <f>IF(B78&gt;0.0001, K78, FALSE)</f>
        <v>0</v>
      </c>
    </row>
    <row r="79" spans="1:12">
      <c r="A79" t="s">
        <v>365</v>
      </c>
      <c r="B79">
        <v>0</v>
      </c>
      <c r="D79" t="s">
        <v>393</v>
      </c>
      <c r="E79" t="s">
        <v>222</v>
      </c>
      <c r="F79" t="s">
        <v>112</v>
      </c>
      <c r="G79" t="s">
        <v>335</v>
      </c>
      <c r="H79" t="s">
        <v>366</v>
      </c>
      <c r="I79" t="s">
        <v>114</v>
      </c>
      <c r="K79" s="27">
        <v>464.21600000000001</v>
      </c>
      <c r="L79" s="27" t="b">
        <f>IF(B79&gt;0.0001, K79, FALSE)</f>
        <v>0</v>
      </c>
    </row>
    <row r="80" spans="1:12">
      <c r="A80" t="s">
        <v>365</v>
      </c>
      <c r="B80">
        <v>0.11950516799999999</v>
      </c>
      <c r="D80" t="s">
        <v>393</v>
      </c>
      <c r="E80" t="s">
        <v>222</v>
      </c>
      <c r="F80" t="s">
        <v>112</v>
      </c>
      <c r="G80" t="s">
        <v>337</v>
      </c>
      <c r="H80" t="s">
        <v>366</v>
      </c>
      <c r="I80" t="s">
        <v>114</v>
      </c>
      <c r="K80" s="27">
        <v>428.45179999999999</v>
      </c>
      <c r="L80" s="27">
        <f>IF(B80&gt;0.0001, K80, FALSE)</f>
        <v>428.45179999999999</v>
      </c>
    </row>
    <row r="81" spans="1:12">
      <c r="A81" t="s">
        <v>365</v>
      </c>
      <c r="D81" t="s">
        <v>290</v>
      </c>
      <c r="E81" t="s">
        <v>222</v>
      </c>
      <c r="F81" t="s">
        <v>112</v>
      </c>
      <c r="G81" t="s">
        <v>291</v>
      </c>
      <c r="H81" t="s">
        <v>366</v>
      </c>
      <c r="I81" t="s">
        <v>114</v>
      </c>
      <c r="L81" s="27" t="b">
        <f>IF(B81&gt;0.0001, K81, FALSE)</f>
        <v>0</v>
      </c>
    </row>
    <row r="82" spans="1:12">
      <c r="A82" t="s">
        <v>365</v>
      </c>
      <c r="D82" t="s">
        <v>290</v>
      </c>
      <c r="E82" t="s">
        <v>222</v>
      </c>
      <c r="F82" t="s">
        <v>112</v>
      </c>
      <c r="G82" t="s">
        <v>292</v>
      </c>
      <c r="H82" t="s">
        <v>366</v>
      </c>
      <c r="I82" t="s">
        <v>114</v>
      </c>
      <c r="L82" s="27" t="b">
        <f>IF(B82&gt;0.0001, K82, FALSE)</f>
        <v>0</v>
      </c>
    </row>
    <row r="83" spans="1:12">
      <c r="L83" s="18" t="s">
        <v>344</v>
      </c>
    </row>
    <row r="84" spans="1:12">
      <c r="L84" s="18">
        <f>MIN(L2:L82)</f>
        <v>291.72199999999998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A0AC-DEF2-4494-8D7A-4275D5D0D036}">
  <dimension ref="A3:X27"/>
  <sheetViews>
    <sheetView workbookViewId="0">
      <selection activeCell="A16" sqref="A16"/>
    </sheetView>
  </sheetViews>
  <sheetFormatPr defaultRowHeight="16.5"/>
  <cols>
    <col min="1" max="1" width="36.5" bestFit="1" customWidth="1"/>
    <col min="2" max="2" width="12" bestFit="1" customWidth="1"/>
    <col min="4" max="4" width="15.625" bestFit="1" customWidth="1"/>
    <col min="12" max="12" width="9.625" bestFit="1" customWidth="1"/>
    <col min="18" max="18" width="13" bestFit="1" customWidth="1"/>
  </cols>
  <sheetData>
    <row r="3" spans="1:9">
      <c r="A3" s="39" t="s">
        <v>0</v>
      </c>
      <c r="B3" s="39"/>
    </row>
    <row r="4" spans="1:9">
      <c r="A4" s="1" t="s">
        <v>1</v>
      </c>
      <c r="B4" s="1"/>
      <c r="D4" s="7">
        <f>B4+SUM(R20:R26)</f>
        <v>166320404.12527263</v>
      </c>
    </row>
    <row r="5" spans="1:9">
      <c r="A5" s="2" t="s">
        <v>2</v>
      </c>
      <c r="B5" s="2"/>
      <c r="D5" s="14">
        <f>B5</f>
        <v>0</v>
      </c>
    </row>
    <row r="6" spans="1:9">
      <c r="A6" s="3" t="s">
        <v>3</v>
      </c>
      <c r="B6" s="3"/>
      <c r="D6" s="21">
        <f>B6+U22</f>
        <v>34004.597248066289</v>
      </c>
    </row>
    <row r="7" spans="1:9">
      <c r="A7" s="4" t="s">
        <v>4</v>
      </c>
      <c r="B7" s="4"/>
      <c r="D7" s="14">
        <f>B7</f>
        <v>0</v>
      </c>
    </row>
    <row r="8" spans="1:9">
      <c r="A8" s="3" t="s">
        <v>5</v>
      </c>
      <c r="B8" s="3"/>
      <c r="D8" s="7">
        <f>B16*8000</f>
        <v>15889637.76</v>
      </c>
    </row>
    <row r="9" spans="1:9">
      <c r="A9" s="4" t="s">
        <v>6</v>
      </c>
      <c r="B9" s="4"/>
      <c r="D9" s="14"/>
    </row>
    <row r="10" spans="1:9">
      <c r="A10" s="3" t="s">
        <v>7</v>
      </c>
      <c r="B10" s="3"/>
      <c r="D10" s="14"/>
    </row>
    <row r="11" spans="1:9">
      <c r="A11" s="4" t="s">
        <v>8</v>
      </c>
      <c r="B11" s="4"/>
    </row>
    <row r="12" spans="1:9">
      <c r="A12" s="5" t="s">
        <v>9</v>
      </c>
      <c r="B12" s="5"/>
    </row>
    <row r="14" spans="1:9">
      <c r="A14" t="s">
        <v>10</v>
      </c>
    </row>
    <row r="15" spans="1:9" ht="33">
      <c r="A15" s="6" t="s">
        <v>101</v>
      </c>
      <c r="B15" s="6" t="s">
        <v>102</v>
      </c>
      <c r="C15" s="6" t="s">
        <v>103</v>
      </c>
      <c r="D15" s="6" t="s">
        <v>104</v>
      </c>
      <c r="E15" s="6" t="s">
        <v>105</v>
      </c>
      <c r="F15" s="6" t="s">
        <v>106</v>
      </c>
      <c r="G15" s="6" t="s">
        <v>107</v>
      </c>
      <c r="H15" s="6" t="s">
        <v>108</v>
      </c>
      <c r="I15" s="6" t="s">
        <v>109</v>
      </c>
    </row>
    <row r="16" spans="1:9">
      <c r="A16" t="s">
        <v>125</v>
      </c>
      <c r="B16">
        <v>1986.20472</v>
      </c>
      <c r="C16" t="s">
        <v>392</v>
      </c>
      <c r="D16" t="s">
        <v>393</v>
      </c>
      <c r="E16" t="s">
        <v>126</v>
      </c>
      <c r="H16" t="s">
        <v>127</v>
      </c>
      <c r="I16" t="s">
        <v>128</v>
      </c>
    </row>
    <row r="18" spans="1:24">
      <c r="L18" s="14" t="s">
        <v>129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66">
      <c r="A19" s="10" t="s">
        <v>101</v>
      </c>
      <c r="B19" s="10" t="s">
        <v>102</v>
      </c>
      <c r="C19" s="10" t="s">
        <v>103</v>
      </c>
      <c r="D19" s="10" t="s">
        <v>104</v>
      </c>
      <c r="E19" s="10" t="s">
        <v>105</v>
      </c>
      <c r="F19" s="10" t="s">
        <v>106</v>
      </c>
      <c r="G19" s="10" t="s">
        <v>107</v>
      </c>
      <c r="H19" s="10" t="s">
        <v>108</v>
      </c>
      <c r="I19" s="10" t="s">
        <v>109</v>
      </c>
      <c r="L19" s="15" t="s">
        <v>130</v>
      </c>
      <c r="M19" s="15" t="s">
        <v>131</v>
      </c>
      <c r="N19" s="15" t="s">
        <v>132</v>
      </c>
      <c r="O19" s="15" t="s">
        <v>133</v>
      </c>
      <c r="P19" s="15"/>
      <c r="Q19" s="15" t="s">
        <v>134</v>
      </c>
      <c r="R19" s="15" t="s">
        <v>135</v>
      </c>
      <c r="S19" s="15"/>
      <c r="T19" s="15" t="s">
        <v>136</v>
      </c>
      <c r="U19" s="15" t="s">
        <v>137</v>
      </c>
      <c r="V19" s="14"/>
      <c r="W19" s="15" t="s">
        <v>138</v>
      </c>
      <c r="X19" s="15" t="s">
        <v>139</v>
      </c>
    </row>
    <row r="20" spans="1:24">
      <c r="A20" t="s">
        <v>115</v>
      </c>
      <c r="B20">
        <v>6654.7636400000001</v>
      </c>
      <c r="C20" t="s">
        <v>395</v>
      </c>
      <c r="D20" t="s">
        <v>393</v>
      </c>
      <c r="E20" t="s">
        <v>116</v>
      </c>
      <c r="F20" t="s">
        <v>112</v>
      </c>
      <c r="H20">
        <v>510</v>
      </c>
      <c r="I20" t="s">
        <v>114</v>
      </c>
      <c r="L20" s="14" t="s">
        <v>140</v>
      </c>
      <c r="M20" s="14" t="s">
        <v>141</v>
      </c>
      <c r="N20" s="14">
        <v>9600</v>
      </c>
      <c r="O20" s="14" t="s">
        <v>100</v>
      </c>
      <c r="P20" s="14"/>
      <c r="Q20" s="15">
        <v>5266304</v>
      </c>
      <c r="R20" s="19">
        <f>Q20*B20/N20</f>
        <v>3650625.8725402667</v>
      </c>
      <c r="S20" s="14"/>
      <c r="T20" s="14"/>
      <c r="U20" s="14"/>
      <c r="V20" s="14"/>
      <c r="W20" s="14"/>
      <c r="X20" s="14"/>
    </row>
    <row r="21" spans="1:24">
      <c r="A21" t="s">
        <v>117</v>
      </c>
      <c r="B21">
        <v>829.00636499999996</v>
      </c>
      <c r="C21" t="s">
        <v>378</v>
      </c>
      <c r="D21" t="s">
        <v>393</v>
      </c>
      <c r="E21" t="s">
        <v>118</v>
      </c>
      <c r="F21" t="s">
        <v>112</v>
      </c>
      <c r="H21">
        <v>200</v>
      </c>
      <c r="I21" t="s">
        <v>114</v>
      </c>
      <c r="L21" s="14" t="s">
        <v>142</v>
      </c>
      <c r="M21" s="14" t="s">
        <v>143</v>
      </c>
      <c r="N21" s="14">
        <v>2058</v>
      </c>
      <c r="O21" s="14" t="s">
        <v>144</v>
      </c>
      <c r="P21" s="14"/>
      <c r="Q21" s="14">
        <v>7020728</v>
      </c>
      <c r="R21" s="19">
        <f>Q21*B21/N21</f>
        <v>2828099.2220280464</v>
      </c>
      <c r="S21" s="14"/>
      <c r="T21" s="14"/>
      <c r="U21" s="14"/>
      <c r="V21" s="14"/>
      <c r="W21" s="14"/>
      <c r="X21" s="14"/>
    </row>
    <row r="22" spans="1:24">
      <c r="A22" t="s">
        <v>119</v>
      </c>
      <c r="B22">
        <v>165519.715</v>
      </c>
      <c r="C22" t="s">
        <v>378</v>
      </c>
      <c r="D22" t="s">
        <v>393</v>
      </c>
      <c r="E22" t="s">
        <v>111</v>
      </c>
      <c r="F22" t="s">
        <v>112</v>
      </c>
      <c r="H22">
        <v>404</v>
      </c>
      <c r="I22" t="s">
        <v>114</v>
      </c>
      <c r="L22" s="14" t="s">
        <v>145</v>
      </c>
      <c r="M22" s="14" t="s">
        <v>146</v>
      </c>
      <c r="N22" s="14">
        <v>24717.514124293783</v>
      </c>
      <c r="O22" s="14" t="s">
        <v>24</v>
      </c>
      <c r="P22" s="14"/>
      <c r="Q22" s="14">
        <v>780993</v>
      </c>
      <c r="R22" s="19">
        <f>Q22*B22/N22</f>
        <v>5229884.2888064263</v>
      </c>
      <c r="S22" s="14"/>
      <c r="T22" s="14">
        <v>5078</v>
      </c>
      <c r="U22" s="19">
        <f>T22/N22*B22</f>
        <v>34004.597248066289</v>
      </c>
      <c r="V22" s="14"/>
      <c r="W22" s="14"/>
      <c r="X22" s="14"/>
    </row>
    <row r="23" spans="1:24">
      <c r="A23" t="s">
        <v>120</v>
      </c>
      <c r="B23">
        <v>446452.16800000001</v>
      </c>
      <c r="C23" t="s">
        <v>395</v>
      </c>
      <c r="D23" t="s">
        <v>393</v>
      </c>
      <c r="E23" t="s">
        <v>116</v>
      </c>
      <c r="F23" t="s">
        <v>112</v>
      </c>
      <c r="H23" t="s">
        <v>121</v>
      </c>
      <c r="I23" t="s">
        <v>114</v>
      </c>
      <c r="L23" s="14" t="s">
        <v>147</v>
      </c>
      <c r="M23" s="14" t="s">
        <v>148</v>
      </c>
      <c r="N23" s="14">
        <v>862853</v>
      </c>
      <c r="O23" s="14" t="s">
        <v>100</v>
      </c>
      <c r="P23" s="14"/>
      <c r="Q23" s="14">
        <v>297930841</v>
      </c>
      <c r="R23" s="19">
        <f>Q23*B23/N23</f>
        <v>154153569.4707132</v>
      </c>
      <c r="S23" s="14"/>
      <c r="T23" s="14"/>
      <c r="U23" s="14"/>
      <c r="V23" s="14"/>
      <c r="W23" s="14"/>
      <c r="X23" s="14"/>
    </row>
    <row r="24" spans="1:24">
      <c r="A24" t="s">
        <v>122</v>
      </c>
      <c r="B24">
        <v>9236.3253199999999</v>
      </c>
      <c r="C24" t="s">
        <v>378</v>
      </c>
      <c r="D24" t="s">
        <v>393</v>
      </c>
      <c r="E24" t="s">
        <v>111</v>
      </c>
      <c r="F24" t="s">
        <v>112</v>
      </c>
      <c r="H24">
        <v>255</v>
      </c>
      <c r="I24" t="s">
        <v>114</v>
      </c>
      <c r="L24" s="14" t="s">
        <v>149</v>
      </c>
      <c r="M24" s="14" t="s">
        <v>150</v>
      </c>
      <c r="N24" s="14">
        <v>35.314999999999998</v>
      </c>
      <c r="O24" s="14" t="s">
        <v>24</v>
      </c>
      <c r="P24" s="14"/>
      <c r="Q24" s="14"/>
      <c r="R24" s="19">
        <f>B24/N24/W24*X24</f>
        <v>99120.604425194222</v>
      </c>
      <c r="S24" s="14"/>
      <c r="T24" s="14"/>
      <c r="U24" s="14"/>
      <c r="V24" s="14"/>
      <c r="W24" s="14">
        <v>0.5</v>
      </c>
      <c r="X24" s="14">
        <v>189.49333333333334</v>
      </c>
    </row>
    <row r="25" spans="1:24">
      <c r="A25" t="s">
        <v>123</v>
      </c>
      <c r="B25">
        <v>8512.4489799999992</v>
      </c>
      <c r="C25" t="s">
        <v>378</v>
      </c>
      <c r="D25" t="s">
        <v>393</v>
      </c>
      <c r="E25" t="s">
        <v>111</v>
      </c>
      <c r="F25" t="s">
        <v>112</v>
      </c>
      <c r="H25">
        <v>210</v>
      </c>
      <c r="I25" t="s">
        <v>114</v>
      </c>
      <c r="L25" s="14" t="s">
        <v>151</v>
      </c>
      <c r="M25" s="14" t="s">
        <v>152</v>
      </c>
      <c r="N25" s="14">
        <v>35.314999999999998</v>
      </c>
      <c r="O25" s="14" t="s">
        <v>24</v>
      </c>
      <c r="P25" s="14"/>
      <c r="Q25" s="14"/>
      <c r="R25" s="19">
        <f>B25/N25/W25*X25</f>
        <v>91352.248735672285</v>
      </c>
      <c r="S25" s="14"/>
      <c r="T25" s="14"/>
      <c r="U25" s="14"/>
      <c r="V25" s="14"/>
      <c r="W25" s="14">
        <v>0.5</v>
      </c>
      <c r="X25" s="14">
        <v>189.49333333333334</v>
      </c>
    </row>
    <row r="26" spans="1:24">
      <c r="A26" t="s">
        <v>124</v>
      </c>
      <c r="B26">
        <v>42495.300999999999</v>
      </c>
      <c r="C26" t="s">
        <v>378</v>
      </c>
      <c r="D26" t="s">
        <v>393</v>
      </c>
      <c r="E26" t="s">
        <v>111</v>
      </c>
      <c r="F26" t="s">
        <v>112</v>
      </c>
      <c r="H26">
        <v>272</v>
      </c>
      <c r="I26" t="s">
        <v>114</v>
      </c>
      <c r="L26" s="14" t="s">
        <v>153</v>
      </c>
      <c r="M26" s="14" t="s">
        <v>154</v>
      </c>
      <c r="N26" s="14">
        <v>35.314999999999998</v>
      </c>
      <c r="O26" s="14" t="s">
        <v>24</v>
      </c>
      <c r="P26" s="14"/>
      <c r="Q26" s="14"/>
      <c r="R26" s="19">
        <f>B26/N26/W26*X26</f>
        <v>267752.41802381742</v>
      </c>
      <c r="S26" s="14"/>
      <c r="T26" s="14"/>
      <c r="U26" s="14"/>
      <c r="V26" s="14"/>
      <c r="W26" s="14">
        <v>0.22</v>
      </c>
      <c r="X26" s="14">
        <v>48.952444444444446</v>
      </c>
    </row>
    <row r="27" spans="1:24"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</sheetData>
  <mergeCells count="1">
    <mergeCell ref="A3:B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20250529_175057</vt:lpstr>
      <vt:lpstr>20250531_220044_OilComponent</vt:lpstr>
      <vt:lpstr>20250531_223825_Grid</vt:lpstr>
      <vt:lpstr>20250601_103250_BO_LCOsaf</vt:lpstr>
      <vt:lpstr>20250602_094223</vt:lpstr>
      <vt:lpstr>20250601_211036_BO_LCOgas</vt:lpstr>
      <vt:lpstr>20250602_012254_BO_LCOdiesel</vt:lpstr>
      <vt:lpstr>InteractiveSheet</vt:lpstr>
      <vt:lpstr>FrzPt</vt:lpstr>
      <vt:lpstr>DiesFlash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2025-05-29T08:02:29Z</dcterms:created>
  <dcterms:modified xsi:type="dcterms:W3CDTF">2025-06-02T05:50:59Z</dcterms:modified>
</cp:coreProperties>
</file>