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B91E3D52-EEDE-4786-80AB-F19897241420}" xr6:coauthVersionLast="36" xr6:coauthVersionMax="36" xr10:uidLastSave="{00000000-0000-0000-0000-000000000000}"/>
  <bookViews>
    <workbookView xWindow="0" yWindow="0" windowWidth="28800" windowHeight="14535" firstSheet="9" activeTab="13" xr2:uid="{B5F413B2-41FC-421B-955B-2609FC0034CB}"/>
  </bookViews>
  <sheets>
    <sheet name="ASWXL.Storage" sheetId="4" state="veryHidden" r:id="rId1"/>
    <sheet name="20250531_220044_OilComponent" sheetId="27" r:id="rId2"/>
    <sheet name="20250531_223825_Grid" sheetId="28" r:id="rId3"/>
    <sheet name="20250602_153217_ARMB2" sheetId="40" r:id="rId4"/>
    <sheet name="20250603_135559_BO_SEP" sheetId="42" r:id="rId5"/>
    <sheet name="20250604_133649_OilComp551" sheetId="45" r:id="rId6"/>
    <sheet name="20250606_192743" sheetId="47" r:id="rId7"/>
    <sheet name="20250606_192743_D1" sheetId="48" r:id="rId8"/>
    <sheet name="20250607_065115_D2" sheetId="49" r:id="rId9"/>
    <sheet name="20250607_173844_D3" sheetId="50" r:id="rId10"/>
    <sheet name="20250608_211122_TSOL2" sheetId="54" r:id="rId11"/>
    <sheet name="20250608_211122_CUT" sheetId="57" r:id="rId12"/>
    <sheet name="20250608_223227_retune" sheetId="56" r:id="rId13"/>
    <sheet name="InteractiveSheet" sheetId="6" r:id="rId14"/>
    <sheet name="FrzPt" sheetId="7" r:id="rId15"/>
    <sheet name="DiesFlash" sheetId="23" r:id="rId16"/>
    <sheet name="Cost" sheetId="2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6" i="2" l="1"/>
  <c r="R25" i="2"/>
  <c r="R24" i="2"/>
  <c r="R23" i="2"/>
  <c r="U22" i="2"/>
  <c r="R22" i="2"/>
  <c r="R21" i="2"/>
  <c r="R20" i="2"/>
  <c r="D4" i="2" s="1"/>
  <c r="O24" i="6" s="1"/>
  <c r="D8" i="2"/>
  <c r="O28" i="6" s="1"/>
  <c r="D7" i="2"/>
  <c r="O27" i="6" s="1"/>
  <c r="D6" i="2"/>
  <c r="O26" i="6" s="1"/>
  <c r="D5" i="2"/>
  <c r="O25" i="6" s="1"/>
  <c r="L82" i="23"/>
  <c r="L81" i="23"/>
  <c r="L80" i="23"/>
  <c r="L79" i="23"/>
  <c r="L78" i="23"/>
  <c r="L77" i="23"/>
  <c r="L76" i="23"/>
  <c r="L75" i="23"/>
  <c r="L74" i="23"/>
  <c r="L73" i="23"/>
  <c r="L72" i="23"/>
  <c r="L71" i="23"/>
  <c r="L70" i="23"/>
  <c r="L69" i="23"/>
  <c r="L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AE85" i="7"/>
  <c r="AD85" i="7"/>
  <c r="AC85" i="7"/>
  <c r="AA85" i="7"/>
  <c r="Z85" i="7"/>
  <c r="Y85" i="7"/>
  <c r="X85" i="7"/>
  <c r="W85" i="7"/>
  <c r="V85" i="7"/>
  <c r="T85" i="7"/>
  <c r="S85" i="7"/>
  <c r="AE84" i="7"/>
  <c r="AD84" i="7"/>
  <c r="AC84" i="7"/>
  <c r="AA84" i="7"/>
  <c r="Y84" i="7"/>
  <c r="W84" i="7"/>
  <c r="V84" i="7"/>
  <c r="U84" i="7"/>
  <c r="T84" i="7"/>
  <c r="S84" i="7"/>
  <c r="B84" i="7"/>
  <c r="AE83" i="7"/>
  <c r="AD83" i="7"/>
  <c r="AC83" i="7"/>
  <c r="AB83" i="7"/>
  <c r="AA83" i="7"/>
  <c r="Z83" i="7"/>
  <c r="Y83" i="7"/>
  <c r="W83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L82" i="7"/>
  <c r="AE81" i="7"/>
  <c r="AD81" i="7"/>
  <c r="AC81" i="7"/>
  <c r="AB81" i="7"/>
  <c r="AA81" i="7"/>
  <c r="Z81" i="7"/>
  <c r="Y81" i="7"/>
  <c r="W81" i="7"/>
  <c r="V81" i="7"/>
  <c r="U81" i="7"/>
  <c r="T81" i="7"/>
  <c r="S81" i="7"/>
  <c r="L81" i="7"/>
  <c r="AE80" i="7"/>
  <c r="AD80" i="7"/>
  <c r="AC80" i="7"/>
  <c r="AB80" i="7"/>
  <c r="AA80" i="7"/>
  <c r="Z80" i="7"/>
  <c r="Y80" i="7"/>
  <c r="X80" i="7"/>
  <c r="W80" i="7"/>
  <c r="V80" i="7"/>
  <c r="U80" i="7"/>
  <c r="L80" i="7"/>
  <c r="AE79" i="7"/>
  <c r="AD79" i="7"/>
  <c r="AC79" i="7"/>
  <c r="AB79" i="7"/>
  <c r="AA79" i="7"/>
  <c r="Z79" i="7"/>
  <c r="Y79" i="7"/>
  <c r="X79" i="7"/>
  <c r="W79" i="7"/>
  <c r="U79" i="7"/>
  <c r="T79" i="7"/>
  <c r="L79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L78" i="7"/>
  <c r="AE77" i="7"/>
  <c r="AD77" i="7"/>
  <c r="AC77" i="7"/>
  <c r="AB77" i="7"/>
  <c r="AA77" i="7"/>
  <c r="Z77" i="7"/>
  <c r="Y77" i="7"/>
  <c r="X77" i="7"/>
  <c r="W77" i="7"/>
  <c r="U77" i="7"/>
  <c r="T77" i="7"/>
  <c r="L77" i="7"/>
  <c r="AE76" i="7"/>
  <c r="AD76" i="7"/>
  <c r="AC76" i="7"/>
  <c r="AB76" i="7"/>
  <c r="AA76" i="7"/>
  <c r="Z76" i="7"/>
  <c r="Y76" i="7"/>
  <c r="W76" i="7"/>
  <c r="V76" i="7"/>
  <c r="S76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AB56" i="7"/>
  <c r="AB85" i="7" s="1"/>
  <c r="U56" i="7"/>
  <c r="U85" i="7" s="1"/>
  <c r="L56" i="7"/>
  <c r="AB55" i="7"/>
  <c r="AB84" i="7" s="1"/>
  <c r="Z55" i="7"/>
  <c r="Z84" i="7" s="1"/>
  <c r="X55" i="7"/>
  <c r="X84" i="7" s="1"/>
  <c r="L55" i="7"/>
  <c r="X54" i="7"/>
  <c r="X83" i="7" s="1"/>
  <c r="V54" i="7"/>
  <c r="V83" i="7" s="1"/>
  <c r="U54" i="7"/>
  <c r="U83" i="7" s="1"/>
  <c r="T54" i="7"/>
  <c r="T83" i="7" s="1"/>
  <c r="S54" i="7"/>
  <c r="S83" i="7" s="1"/>
  <c r="L54" i="7"/>
  <c r="L53" i="7"/>
  <c r="X52" i="7"/>
  <c r="X81" i="7" s="1"/>
  <c r="L52" i="7"/>
  <c r="T51" i="7"/>
  <c r="T80" i="7" s="1"/>
  <c r="S51" i="7"/>
  <c r="S80" i="7" s="1"/>
  <c r="L51" i="7"/>
  <c r="V50" i="7"/>
  <c r="V79" i="7" s="1"/>
  <c r="S50" i="7"/>
  <c r="S79" i="7" s="1"/>
  <c r="L50" i="7"/>
  <c r="L49" i="7"/>
  <c r="V48" i="7"/>
  <c r="V77" i="7" s="1"/>
  <c r="S48" i="7"/>
  <c r="S77" i="7" s="1"/>
  <c r="L48" i="7"/>
  <c r="X47" i="7"/>
  <c r="X76" i="7" s="1"/>
  <c r="U47" i="7"/>
  <c r="U76" i="7" s="1"/>
  <c r="T47" i="7"/>
  <c r="T76" i="7" s="1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O29" i="6"/>
  <c r="N11" i="6"/>
  <c r="N9" i="6"/>
  <c r="N8" i="6"/>
  <c r="N7" i="6"/>
  <c r="N5" i="6"/>
  <c r="AG21" i="27"/>
  <c r="AF21" i="27"/>
  <c r="AE21" i="27"/>
  <c r="AD21" i="27"/>
  <c r="AC21" i="27"/>
  <c r="AB21" i="27"/>
  <c r="AA21" i="27"/>
  <c r="Z21" i="27"/>
  <c r="Y21" i="27"/>
  <c r="X21" i="27"/>
  <c r="V21" i="27"/>
  <c r="AA19" i="27"/>
  <c r="Z19" i="27"/>
  <c r="Y19" i="27"/>
  <c r="X19" i="27"/>
  <c r="V19" i="27"/>
  <c r="AG18" i="27"/>
  <c r="AF18" i="27"/>
  <c r="AG16" i="27"/>
  <c r="AG19" i="27" s="1"/>
  <c r="AF16" i="27"/>
  <c r="AF19" i="27" s="1"/>
  <c r="AE16" i="27"/>
  <c r="AE19" i="27" s="1"/>
  <c r="AD16" i="27"/>
  <c r="AD19" i="27" s="1"/>
  <c r="AC16" i="27"/>
  <c r="AC19" i="27" s="1"/>
  <c r="AB16" i="27"/>
  <c r="AB19" i="27" s="1"/>
  <c r="AA16" i="27"/>
  <c r="Z16" i="27"/>
  <c r="Y16" i="27"/>
  <c r="X16" i="27"/>
  <c r="V16" i="27"/>
  <c r="AG15" i="27"/>
  <c r="AF15" i="27"/>
  <c r="AE15" i="27"/>
  <c r="AE18" i="27" s="1"/>
  <c r="AD15" i="27"/>
  <c r="AD18" i="27" s="1"/>
  <c r="AC15" i="27"/>
  <c r="AC18" i="27" s="1"/>
  <c r="AB15" i="27"/>
  <c r="AB18" i="27" s="1"/>
  <c r="AA15" i="27"/>
  <c r="AA18" i="27" s="1"/>
  <c r="Z15" i="27"/>
  <c r="Z18" i="27" s="1"/>
  <c r="Y15" i="27"/>
  <c r="Y18" i="27" s="1"/>
  <c r="X15" i="27"/>
  <c r="X18" i="27" s="1"/>
  <c r="V15" i="27"/>
  <c r="V18" i="27" s="1"/>
  <c r="S58" i="7" l="1"/>
  <c r="S87" i="7" s="1"/>
  <c r="L84" i="23"/>
  <c r="N10" i="6" s="1"/>
  <c r="L84" i="7"/>
  <c r="N6" i="6" s="1"/>
</calcChain>
</file>

<file path=xl/sharedStrings.xml><?xml version="1.0" encoding="utf-8"?>
<sst xmlns="http://schemas.openxmlformats.org/spreadsheetml/2006/main" count="2472" uniqueCount="422">
  <si>
    <t>Summary</t>
  </si>
  <si>
    <t>Total Capital Cost [USD]</t>
  </si>
  <si>
    <t>Total Operating Cost [USD/Year]</t>
  </si>
  <si>
    <t>Total Raw Materials Cost [USD/Year]</t>
  </si>
  <si>
    <t>Total Product Sales [USD/Year]</t>
  </si>
  <si>
    <t>Total Utilities Cost [USD/Year]</t>
  </si>
  <si>
    <t>Desired Rate of Return [Percent/'Year]</t>
  </si>
  <si>
    <t>P.O. Period [Year]</t>
  </si>
  <si>
    <t>Equipment Cost [USD]</t>
  </si>
  <si>
    <t>Total Installed Cost [USD]</t>
  </si>
  <si>
    <t>For Quotation</t>
    <phoneticPr fontId="2" type="noConversion"/>
  </si>
  <si>
    <t>Name</t>
  </si>
  <si>
    <t>Value</t>
  </si>
  <si>
    <t>Units</t>
  </si>
  <si>
    <t>Status</t>
  </si>
  <si>
    <t>Variable Name</t>
  </si>
  <si>
    <t>Object ID1</t>
  </si>
  <si>
    <t>Object ID2</t>
  </si>
  <si>
    <t>Container</t>
  </si>
  <si>
    <t>Container Type</t>
  </si>
  <si>
    <t>Specified</t>
  </si>
  <si>
    <t>Costing Result</t>
  </si>
  <si>
    <t>USD</t>
  </si>
  <si>
    <t>USD/Year</t>
  </si>
  <si>
    <t>cuft/hr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</si>
  <si>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</si>
  <si>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</si>
  <si>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</si>
  <si>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</si>
  <si>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</si>
  <si>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</si>
  <si>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</si>
  <si>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</si>
  <si>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</si>
  <si>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</si>
  <si>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</si>
  <si>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</si>
  <si>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</si>
  <si>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</si>
  <si>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</si>
  <si>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</si>
  <si>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</si>
  <si>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</si>
  <si>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</si>
  <si>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</si>
  <si>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</si>
  <si>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</si>
  <si>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</si>
  <si>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</si>
  <si>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</si>
  <si>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</si>
  <si>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</si>
  <si>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</si>
  <si>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</si>
  <si>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</si>
  <si>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</si>
  <si>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</si>
  <si>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</si>
  <si>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</si>
  <si>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</si>
  <si>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LGLM-INT</t>
  </si>
  <si>
    <t>EXTR-INT</t>
  </si>
  <si>
    <t>CYC6-HCK</t>
  </si>
  <si>
    <t>N-HCK-A</t>
  </si>
  <si>
    <t>N-HCK-B</t>
  </si>
  <si>
    <t>No Carbons</t>
  </si>
  <si>
    <t>Class</t>
  </si>
  <si>
    <t>BICYCLOS, CYC7+</t>
  </si>
  <si>
    <t>무시된 값들 (엄청 적긴 함)</t>
  </si>
  <si>
    <t>INDENES, NAPHTHAL</t>
  </si>
  <si>
    <t>INDAN</t>
  </si>
  <si>
    <t>Freezing Matrix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</si>
  <si>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</si>
  <si>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</si>
  <si>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</si>
  <si>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</si>
  <si>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</si>
  <si>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</si>
  <si>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</si>
  <si>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</si>
  <si>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</si>
  <si>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</si>
  <si>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</si>
  <si>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</si>
  <si>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</si>
  <si>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L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</si>
  <si>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</si>
  <si>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</si>
  <si>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</si>
  <si>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</si>
  <si>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</si>
  <si>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</si>
  <si>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</si>
  <si>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</si>
  <si>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</si>
  <si>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</si>
  <si>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K</t>
  </si>
  <si>
    <t>Element-wise calculation result</t>
  </si>
  <si>
    <t>Freezing point</t>
  </si>
  <si>
    <t>lb/hr</t>
  </si>
  <si>
    <t>Name</t>
    <phoneticPr fontId="2" type="noConversion"/>
  </si>
  <si>
    <t>Value</t>
    <phoneticPr fontId="2" type="noConversion"/>
  </si>
  <si>
    <t>Units</t>
    <phoneticPr fontId="2" type="noConversion"/>
  </si>
  <si>
    <t>Status</t>
    <phoneticPr fontId="2" type="noConversion"/>
  </si>
  <si>
    <t>Variable Name</t>
    <phoneticPr fontId="2" type="noConversion"/>
  </si>
  <si>
    <t>Object ID1</t>
    <phoneticPr fontId="2" type="noConversion"/>
  </si>
  <si>
    <t>Object ID2</t>
    <phoneticPr fontId="2" type="noConversion"/>
  </si>
  <si>
    <t>Container</t>
    <phoneticPr fontId="2" type="noConversion"/>
  </si>
  <si>
    <t>Container Type</t>
    <phoneticPr fontId="2" type="noConversion"/>
  </si>
  <si>
    <t>326SAF.VOLFLMX</t>
    <phoneticPr fontId="2" type="noConversion"/>
  </si>
  <si>
    <t>VOLFLMX</t>
    <phoneticPr fontId="2" type="noConversion"/>
  </si>
  <si>
    <t>MIXED</t>
    <phoneticPr fontId="2" type="noConversion"/>
  </si>
  <si>
    <t>326SAF</t>
    <phoneticPr fontId="2" type="noConversion"/>
  </si>
  <si>
    <t>MATERIAL</t>
    <phoneticPr fontId="2" type="noConversion"/>
  </si>
  <si>
    <t>510.MASSFLMX</t>
    <phoneticPr fontId="2" type="noConversion"/>
  </si>
  <si>
    <t>MASSFLMX</t>
    <phoneticPr fontId="2" type="noConversion"/>
  </si>
  <si>
    <t>200.VLSTDMX</t>
    <phoneticPr fontId="2" type="noConversion"/>
  </si>
  <si>
    <t>VLSTDMX</t>
    <phoneticPr fontId="2" type="noConversion"/>
  </si>
  <si>
    <t>404.VOLFLMX</t>
    <phoneticPr fontId="2" type="noConversion"/>
  </si>
  <si>
    <t>622X.MASSFLMX</t>
    <phoneticPr fontId="2" type="noConversion"/>
  </si>
  <si>
    <t>622X</t>
    <phoneticPr fontId="2" type="noConversion"/>
  </si>
  <si>
    <t>255.VOLFLMX</t>
    <phoneticPr fontId="2" type="noConversion"/>
  </si>
  <si>
    <t>210.VOLFLMX</t>
    <phoneticPr fontId="2" type="noConversion"/>
  </si>
  <si>
    <t>272.VOLFLMX</t>
    <phoneticPr fontId="2" type="noConversion"/>
  </si>
  <si>
    <t>Utility-Sum.TOTUTCOST</t>
    <phoneticPr fontId="2" type="noConversion"/>
  </si>
  <si>
    <t>TOTUTCOST</t>
    <phoneticPr fontId="2" type="noConversion"/>
  </si>
  <si>
    <t>UTIL-SUMMARY</t>
    <phoneticPr fontId="2" type="noConversion"/>
  </si>
  <si>
    <t>DATA</t>
    <phoneticPr fontId="2" type="noConversion"/>
  </si>
  <si>
    <t>Base</t>
  </si>
  <si>
    <t>Equipment</t>
  </si>
  <si>
    <t>Scaling Stream</t>
  </si>
  <si>
    <t>Original Flow</t>
  </si>
  <si>
    <t>Unit</t>
  </si>
  <si>
    <t>CAPEX [1Q-2022$] at Base</t>
  </si>
  <si>
    <t>Base CAPEX</t>
  </si>
  <si>
    <t>OPEX at Base</t>
  </si>
  <si>
    <t>Base OPEX</t>
  </si>
  <si>
    <t>LHSV</t>
  </si>
  <si>
    <t>Unit Price</t>
  </si>
  <si>
    <t>R-510</t>
  </si>
  <si>
    <t>#340</t>
  </si>
  <si>
    <t>R-225</t>
  </si>
  <si>
    <t>#200</t>
  </si>
  <si>
    <t xml:space="preserve">liq scfh </t>
  </si>
  <si>
    <t>PSA</t>
  </si>
  <si>
    <t>#404</t>
  </si>
  <si>
    <t>CCS</t>
  </si>
  <si>
    <t>#622x</t>
  </si>
  <si>
    <t>R-202-cat</t>
  </si>
  <si>
    <t>#255</t>
  </si>
  <si>
    <t>R-220-cat</t>
  </si>
  <si>
    <t>#210</t>
  </si>
  <si>
    <t>R-225-cat</t>
  </si>
  <si>
    <t>#272</t>
  </si>
  <si>
    <t>C:\Program Files\AspenTech\Aspen Simulation Workbook V14.0</t>
    <phoneticPr fontId="2" type="noConversion"/>
  </si>
  <si>
    <t>SAF</t>
  </si>
  <si>
    <t>PYROIN.EXPR2</t>
    <phoneticPr fontId="2" type="noConversion"/>
  </si>
  <si>
    <t>Specified</t>
    <phoneticPr fontId="2" type="noConversion"/>
  </si>
  <si>
    <t>EXPR2</t>
    <phoneticPr fontId="2" type="noConversion"/>
  </si>
  <si>
    <t>PYROIN</t>
    <phoneticPr fontId="2" type="noConversion"/>
  </si>
  <si>
    <t>DESIGN-SPEC</t>
    <phoneticPr fontId="2" type="noConversion"/>
  </si>
  <si>
    <t>T-310.NSTAGE</t>
    <phoneticPr fontId="2" type="noConversion"/>
  </si>
  <si>
    <t>NSTAGE</t>
    <phoneticPr fontId="2" type="noConversion"/>
  </si>
  <si>
    <t>T-310</t>
    <phoneticPr fontId="2" type="noConversion"/>
  </si>
  <si>
    <t>RADFRAC</t>
    <phoneticPr fontId="2" type="noConversion"/>
  </si>
  <si>
    <t>T-310.FEED_STAGE</t>
    <phoneticPr fontId="2" type="noConversion"/>
  </si>
  <si>
    <t>FEED_STAGE</t>
    <phoneticPr fontId="2" type="noConversion"/>
  </si>
  <si>
    <t>310-1</t>
    <phoneticPr fontId="2" type="noConversion"/>
  </si>
  <si>
    <t>T-310.BASIS_RR</t>
    <phoneticPr fontId="2" type="noConversion"/>
  </si>
  <si>
    <t>BASIS_RR</t>
    <phoneticPr fontId="2" type="noConversion"/>
  </si>
  <si>
    <t>T-320.NSTAGE</t>
    <phoneticPr fontId="2" type="noConversion"/>
  </si>
  <si>
    <t>T-320</t>
    <phoneticPr fontId="2" type="noConversion"/>
  </si>
  <si>
    <t>T-320.FEED_STAGE</t>
    <phoneticPr fontId="2" type="noConversion"/>
  </si>
  <si>
    <t>T-320.BASIS_RR</t>
    <phoneticPr fontId="2" type="noConversion"/>
  </si>
  <si>
    <t>T-330.NSTAGE</t>
    <phoneticPr fontId="2" type="noConversion"/>
  </si>
  <si>
    <t>T-330</t>
    <phoneticPr fontId="2" type="noConversion"/>
  </si>
  <si>
    <t>T-330.FEED_STAGE</t>
    <phoneticPr fontId="2" type="noConversion"/>
  </si>
  <si>
    <t>T-330.BASIS_RR</t>
    <phoneticPr fontId="2" type="noConversion"/>
  </si>
  <si>
    <t>Settings.economics_active</t>
    <phoneticPr fontId="2" type="noConversion"/>
  </si>
  <si>
    <t>economics_active</t>
    <phoneticPr fontId="2" type="noConversion"/>
  </si>
  <si>
    <t>Settings</t>
    <phoneticPr fontId="2" type="noConversion"/>
  </si>
  <si>
    <t>Settings.auto_evaluate</t>
    <phoneticPr fontId="2" type="noConversion"/>
  </si>
  <si>
    <t>auto_evaluate</t>
    <phoneticPr fontId="2" type="noConversion"/>
  </si>
  <si>
    <t xml:space="preserve">Pure BP (F) </t>
  </si>
  <si>
    <t>Minimum BP</t>
    <phoneticPr fontId="2" type="noConversion"/>
  </si>
  <si>
    <t>LHV</t>
  </si>
  <si>
    <t>SG</t>
  </si>
  <si>
    <t>SLF</t>
  </si>
  <si>
    <t>ARM</t>
  </si>
  <si>
    <t>Flash Point (Minimum Boiling Point)</t>
  </si>
  <si>
    <t>Freezing Point (Maximum Freezing Point)</t>
  </si>
  <si>
    <t>vol%</t>
    <phoneticPr fontId="2" type="noConversion"/>
  </si>
  <si>
    <t>C</t>
    <phoneticPr fontId="2" type="noConversion"/>
  </si>
  <si>
    <t>PYROTEMP</t>
  </si>
  <si>
    <t>GAS.N</t>
  </si>
  <si>
    <t>GAS.F</t>
  </si>
  <si>
    <t>GAS.RR</t>
  </si>
  <si>
    <t>SAF.N</t>
  </si>
  <si>
    <t>SAF.F</t>
  </si>
  <si>
    <t>SAF.RR</t>
  </si>
  <si>
    <t>DSL.N</t>
  </si>
  <si>
    <t>DSL.F</t>
  </si>
  <si>
    <t>DSL.RR</t>
  </si>
  <si>
    <t>TCC</t>
  </si>
  <si>
    <t>TOC</t>
  </si>
  <si>
    <t>TRC</t>
  </si>
  <si>
    <t>TPS</t>
  </si>
  <si>
    <t>TUC</t>
  </si>
  <si>
    <t>MJSP</t>
  </si>
  <si>
    <t>MBP</t>
  </si>
  <si>
    <t>MFP</t>
  </si>
  <si>
    <t>ERRSIM</t>
  </si>
  <si>
    <t>ERR_0</t>
  </si>
  <si>
    <t>ERR_1</t>
  </si>
  <si>
    <t>ERR_2</t>
  </si>
  <si>
    <t>ERR_3</t>
  </si>
  <si>
    <t>ERR_4</t>
  </si>
  <si>
    <t>ERR_5</t>
  </si>
  <si>
    <t>ERR_6</t>
  </si>
  <si>
    <t>ERR_7</t>
  </si>
  <si>
    <t>326SAF.MASSFRAC</t>
    <phoneticPr fontId="2" type="noConversion"/>
  </si>
  <si>
    <t>MASSFRAC</t>
    <phoneticPr fontId="2" type="noConversion"/>
  </si>
  <si>
    <t>WATER</t>
    <phoneticPr fontId="2" type="noConversion"/>
  </si>
  <si>
    <t>H2</t>
    <phoneticPr fontId="2" type="noConversion"/>
  </si>
  <si>
    <t>O2</t>
    <phoneticPr fontId="2" type="noConversion"/>
  </si>
  <si>
    <t>N2</t>
    <phoneticPr fontId="2" type="noConversion"/>
  </si>
  <si>
    <t>AR</t>
    <phoneticPr fontId="2" type="noConversion"/>
  </si>
  <si>
    <t>CO</t>
    <phoneticPr fontId="2" type="noConversion"/>
  </si>
  <si>
    <t>CO2</t>
    <phoneticPr fontId="2" type="noConversion"/>
  </si>
  <si>
    <t>METHANE</t>
    <phoneticPr fontId="2" type="noConversion"/>
  </si>
  <si>
    <t>ETHANE</t>
    <phoneticPr fontId="2" type="noConversion"/>
  </si>
  <si>
    <t>PROPANE</t>
    <phoneticPr fontId="2" type="noConversion"/>
  </si>
  <si>
    <t>N-BUTANE</t>
    <phoneticPr fontId="2" type="noConversion"/>
  </si>
  <si>
    <t>ETHENE</t>
    <phoneticPr fontId="2" type="noConversion"/>
  </si>
  <si>
    <t>PROPENE</t>
    <phoneticPr fontId="2" type="noConversion"/>
  </si>
  <si>
    <t>1-BUTENE</t>
    <phoneticPr fontId="2" type="noConversion"/>
  </si>
  <si>
    <t>SO2</t>
    <phoneticPr fontId="2" type="noConversion"/>
  </si>
  <si>
    <t>NO2</t>
    <phoneticPr fontId="2" type="noConversion"/>
  </si>
  <si>
    <t>ACIDS</t>
    <phoneticPr fontId="2" type="noConversion"/>
  </si>
  <si>
    <t>ALDEHYDE</t>
    <phoneticPr fontId="2" type="noConversion"/>
  </si>
  <si>
    <t>KETONES</t>
    <phoneticPr fontId="2" type="noConversion"/>
  </si>
  <si>
    <t>ALCOHOLS</t>
    <phoneticPr fontId="2" type="noConversion"/>
  </si>
  <si>
    <t>GUAIACOL</t>
    <phoneticPr fontId="2" type="noConversion"/>
  </si>
  <si>
    <t>SUGLMW</t>
    <phoneticPr fontId="2" type="noConversion"/>
  </si>
  <si>
    <t>SUGHMW</t>
    <phoneticPr fontId="2" type="noConversion"/>
  </si>
  <si>
    <t>EXTRACT</t>
    <phoneticPr fontId="2" type="noConversion"/>
  </si>
  <si>
    <t>LIGLMW-A</t>
    <phoneticPr fontId="2" type="noConversion"/>
  </si>
  <si>
    <t>LIGLMW-B</t>
    <phoneticPr fontId="2" type="noConversion"/>
  </si>
  <si>
    <t>LIGHMW-A</t>
    <phoneticPr fontId="2" type="noConversion"/>
  </si>
  <si>
    <t>LIGHMW-B</t>
    <phoneticPr fontId="2" type="noConversion"/>
  </si>
  <si>
    <t>N-COMP</t>
    <phoneticPr fontId="2" type="noConversion"/>
  </si>
  <si>
    <t>S-COMP</t>
    <phoneticPr fontId="2" type="noConversion"/>
  </si>
  <si>
    <t>S</t>
    <phoneticPr fontId="2" type="noConversion"/>
  </si>
  <si>
    <t>ASH</t>
    <phoneticPr fontId="2" type="noConversion"/>
  </si>
  <si>
    <t>SAND</t>
    <phoneticPr fontId="2" type="noConversion"/>
  </si>
  <si>
    <t>ACID-INT</t>
    <phoneticPr fontId="2" type="noConversion"/>
  </si>
  <si>
    <t>CRBN-INT</t>
    <phoneticPr fontId="2" type="noConversion"/>
  </si>
  <si>
    <t>LGHM-INT</t>
    <phoneticPr fontId="2" type="noConversion"/>
  </si>
  <si>
    <t>SG-INT-A</t>
    <phoneticPr fontId="2" type="noConversion"/>
  </si>
  <si>
    <t>SG-INT-B</t>
    <phoneticPr fontId="2" type="noConversion"/>
  </si>
  <si>
    <t>SC-PARAF</t>
    <phoneticPr fontId="2" type="noConversion"/>
  </si>
  <si>
    <t>MC-PARAF</t>
    <phoneticPr fontId="2" type="noConversion"/>
  </si>
  <si>
    <t>I-PRF-A</t>
    <phoneticPr fontId="2" type="noConversion"/>
  </si>
  <si>
    <t>I-PRF-B</t>
    <phoneticPr fontId="2" type="noConversion"/>
  </si>
  <si>
    <t>CYC5-A</t>
    <phoneticPr fontId="2" type="noConversion"/>
  </si>
  <si>
    <t>CYC5-B</t>
    <phoneticPr fontId="2" type="noConversion"/>
  </si>
  <si>
    <t>CYC6-A</t>
    <phoneticPr fontId="2" type="noConversion"/>
  </si>
  <si>
    <t>CYC6-B</t>
    <phoneticPr fontId="2" type="noConversion"/>
  </si>
  <si>
    <t>BICYCLOS</t>
    <phoneticPr fontId="2" type="noConversion"/>
  </si>
  <si>
    <t>CYC7PLUS</t>
    <phoneticPr fontId="2" type="noConversion"/>
  </si>
  <si>
    <t>ARM-A</t>
    <phoneticPr fontId="2" type="noConversion"/>
  </si>
  <si>
    <t>ARM-B</t>
    <phoneticPr fontId="2" type="noConversion"/>
  </si>
  <si>
    <t>PHENANTH</t>
    <phoneticPr fontId="2" type="noConversion"/>
  </si>
  <si>
    <t>PYRENES</t>
    <phoneticPr fontId="2" type="noConversion"/>
  </si>
  <si>
    <t>DIP-COMP</t>
    <phoneticPr fontId="2" type="noConversion"/>
  </si>
  <si>
    <t>INDANS</t>
    <phoneticPr fontId="2" type="noConversion"/>
  </si>
  <si>
    <t>INDENES</t>
    <phoneticPr fontId="2" type="noConversion"/>
  </si>
  <si>
    <t>124-NAPH</t>
    <phoneticPr fontId="2" type="noConversion"/>
  </si>
  <si>
    <t>NAPHTHAL</t>
    <phoneticPr fontId="2" type="noConversion"/>
  </si>
  <si>
    <t>POLY-ARM</t>
    <phoneticPr fontId="2" type="noConversion"/>
  </si>
  <si>
    <t>PHENOLS</t>
    <phoneticPr fontId="2" type="noConversion"/>
  </si>
  <si>
    <t>SULFAGN</t>
    <phoneticPr fontId="2" type="noConversion"/>
  </si>
  <si>
    <t>PENTANE</t>
    <phoneticPr fontId="2" type="noConversion"/>
  </si>
  <si>
    <t>H2S</t>
    <phoneticPr fontId="2" type="noConversion"/>
  </si>
  <si>
    <t>LGLM-INT</t>
    <phoneticPr fontId="2" type="noConversion"/>
  </si>
  <si>
    <t>EXTR-INT</t>
    <phoneticPr fontId="2" type="noConversion"/>
  </si>
  <si>
    <t>CYC6-HCK</t>
    <phoneticPr fontId="2" type="noConversion"/>
  </si>
  <si>
    <t>N-HCK-A</t>
    <phoneticPr fontId="2" type="noConversion"/>
  </si>
  <si>
    <t>N-HCK-B</t>
    <phoneticPr fontId="2" type="noConversion"/>
  </si>
  <si>
    <t>BIOMASS</t>
    <phoneticPr fontId="2" type="noConversion"/>
  </si>
  <si>
    <t>CHAR</t>
    <phoneticPr fontId="2" type="noConversion"/>
  </si>
  <si>
    <t>326SAF.STRM_UPP</t>
    <phoneticPr fontId="2" type="noConversion"/>
  </si>
  <si>
    <t>STRM_UPP</t>
    <phoneticPr fontId="2" type="noConversion"/>
  </si>
  <si>
    <t>VLSTDFR</t>
    <phoneticPr fontId="2" type="noConversion"/>
  </si>
  <si>
    <t>LHVMS-15</t>
    <phoneticPr fontId="2" type="noConversion"/>
  </si>
  <si>
    <t>SG-R</t>
    <phoneticPr fontId="2" type="noConversion"/>
  </si>
  <si>
    <t>MASSFRS</t>
    <phoneticPr fontId="2" type="noConversion"/>
  </si>
  <si>
    <t>R-110.COEF1</t>
  </si>
  <si>
    <t>COEF1</t>
  </si>
  <si>
    <t>R-110</t>
  </si>
  <si>
    <t>RSTOIC</t>
  </si>
  <si>
    <t>LIQ PRESSURE</t>
  </si>
  <si>
    <t>Pentane</t>
  </si>
  <si>
    <t>HIGH (volatile)</t>
  </si>
  <si>
    <t>Gasoline</t>
  </si>
  <si>
    <t>Diesel</t>
  </si>
  <si>
    <t>Hydrocracking</t>
  </si>
  <si>
    <t>D30</t>
  </si>
  <si>
    <t>D33</t>
  </si>
  <si>
    <t>D23</t>
  </si>
  <si>
    <t>D24</t>
  </si>
  <si>
    <t>D32</t>
  </si>
  <si>
    <t>Pyrolysis</t>
    <phoneticPr fontId="2" type="noConversion"/>
  </si>
  <si>
    <t>PHENOL1</t>
  </si>
  <si>
    <t>Hydrotreated Product</t>
    <phoneticPr fontId="2" type="noConversion"/>
  </si>
  <si>
    <t>R-225.2HT-MAIN.MOLE_YIELD</t>
    <phoneticPr fontId="2" type="noConversion"/>
  </si>
  <si>
    <t>MOLE_YIELD</t>
    <phoneticPr fontId="2" type="noConversion"/>
  </si>
  <si>
    <t>R-225.2HT-MAIN</t>
    <phoneticPr fontId="2" type="noConversion"/>
  </si>
  <si>
    <t>RYIELD</t>
    <phoneticPr fontId="2" type="noConversion"/>
  </si>
  <si>
    <t>PHENOL1</t>
    <phoneticPr fontId="2" type="noConversion"/>
  </si>
  <si>
    <t>PHENOL2</t>
  </si>
  <si>
    <t>PHENOL3</t>
  </si>
  <si>
    <t>PHENOL2</t>
    <phoneticPr fontId="2" type="noConversion"/>
  </si>
  <si>
    <t>PHENOL3</t>
    <phoneticPr fontId="2" type="noConversion"/>
  </si>
  <si>
    <t>CYC5-A1</t>
    <phoneticPr fontId="2" type="noConversion"/>
  </si>
  <si>
    <t>CYC6-A1</t>
    <phoneticPr fontId="2" type="noConversion"/>
  </si>
  <si>
    <t>CYC6-A2</t>
    <phoneticPr fontId="2" type="noConversion"/>
  </si>
  <si>
    <t>CYC6-A3</t>
    <phoneticPr fontId="2" type="noConversion"/>
  </si>
  <si>
    <t>ARM-A1</t>
  </si>
  <si>
    <t>ARM-A1</t>
    <phoneticPr fontId="2" type="noConversion"/>
  </si>
  <si>
    <t>ARM-A2</t>
  </si>
  <si>
    <t>ARM-A2</t>
    <phoneticPr fontId="2" type="noConversion"/>
  </si>
  <si>
    <t>ARM-B1</t>
  </si>
  <si>
    <t>ARM-B1</t>
    <phoneticPr fontId="2" type="noConversion"/>
  </si>
  <si>
    <t>ARM-B2</t>
  </si>
  <si>
    <t>ARM-B2</t>
    <phoneticPr fontId="2" type="noConversion"/>
  </si>
  <si>
    <t>CYC-5A</t>
  </si>
  <si>
    <t>CYC-5A1</t>
  </si>
  <si>
    <t>CYC-6A</t>
  </si>
  <si>
    <t>CYC-6A1</t>
  </si>
  <si>
    <t>CYC-6A2</t>
  </si>
  <si>
    <t>CYC-6A3</t>
  </si>
  <si>
    <t>MinBP</t>
    <phoneticPr fontId="2" type="noConversion"/>
  </si>
  <si>
    <t>CYC5-B, PHENOL3</t>
    <phoneticPr fontId="2" type="noConversion"/>
  </si>
  <si>
    <t>PHENOL1</t>
    <phoneticPr fontId="2" type="noConversion"/>
  </si>
  <si>
    <t>CYC5-A, CYC6-HCK, CYC6-A1, CYC6-A2</t>
    <phoneticPr fontId="2" type="noConversion"/>
  </si>
  <si>
    <t>ARM-A1</t>
    <phoneticPr fontId="2" type="noConversion"/>
  </si>
  <si>
    <t>ARM-A, ARM-A2</t>
    <phoneticPr fontId="2" type="noConversion"/>
  </si>
  <si>
    <t>ARM-B1</t>
    <phoneticPr fontId="2" type="noConversion"/>
  </si>
  <si>
    <t>N-COMP, ARM-B2</t>
    <phoneticPr fontId="2" type="noConversion"/>
  </si>
  <si>
    <t>Gas T10</t>
    <phoneticPr fontId="2" type="noConversion"/>
  </si>
  <si>
    <t>Gas T90</t>
    <phoneticPr fontId="2" type="noConversion"/>
  </si>
  <si>
    <t>Dies Flash</t>
    <phoneticPr fontId="2" type="noConversion"/>
  </si>
  <si>
    <t>Dies T90</t>
    <phoneticPr fontId="2" type="noConversion"/>
  </si>
  <si>
    <t>C</t>
    <phoneticPr fontId="2" type="noConversion"/>
  </si>
  <si>
    <t>GT10</t>
  </si>
  <si>
    <t>GT90</t>
  </si>
  <si>
    <t>DFP</t>
  </si>
  <si>
    <t>DT90</t>
  </si>
  <si>
    <t>ERR_8</t>
  </si>
  <si>
    <t>ERR_9</t>
  </si>
  <si>
    <t>ERR_10</t>
  </si>
  <si>
    <t>ERR_11</t>
  </si>
  <si>
    <t>336DIES.MASSFRAC</t>
    <phoneticPr fontId="2" type="noConversion"/>
  </si>
  <si>
    <t>336DIES</t>
    <phoneticPr fontId="2" type="noConversion"/>
  </si>
  <si>
    <t>MAX</t>
    <phoneticPr fontId="2" type="noConversion"/>
  </si>
  <si>
    <t>MIN</t>
    <phoneticPr fontId="2" type="noConversion"/>
  </si>
  <si>
    <t>LOWER</t>
    <phoneticPr fontId="2" type="noConversion"/>
  </si>
  <si>
    <t>HIGHER</t>
    <phoneticPr fontId="2" type="noConversion"/>
  </si>
  <si>
    <t>AVERAGE</t>
    <phoneticPr fontId="2" type="noConversion"/>
  </si>
  <si>
    <t>316GAS.STRM_UPP</t>
    <phoneticPr fontId="2" type="noConversion"/>
  </si>
  <si>
    <t>D86-10</t>
    <phoneticPr fontId="2" type="noConversion"/>
  </si>
  <si>
    <t>316GAS</t>
    <phoneticPr fontId="2" type="noConversion"/>
  </si>
  <si>
    <t>D86-90</t>
    <phoneticPr fontId="2" type="noConversion"/>
  </si>
  <si>
    <t>336DIES.STRM_UPP</t>
    <phoneticPr fontId="2" type="noConversion"/>
  </si>
  <si>
    <t>Main Product</t>
    <phoneticPr fontId="2" type="noConversion"/>
  </si>
  <si>
    <t>cuft/hr</t>
    <phoneticPr fontId="2" type="noConversion"/>
  </si>
  <si>
    <t>0.75757$/lb</t>
    <phoneticPr fontId="2" type="noConversion"/>
  </si>
  <si>
    <t>0.6$/lb</t>
    <phoneticPr fontId="2" type="noConversion"/>
  </si>
  <si>
    <t xml:space="preserve">US national price (Jan 2024-Jan 2025) </t>
    <phoneticPr fontId="2" type="noConversion"/>
  </si>
  <si>
    <t>$ 0.99/L</t>
    <phoneticPr fontId="2" type="noConversion"/>
  </si>
  <si>
    <t>$ 0.87/L</t>
    <phoneticPr fontId="2" type="noConversion"/>
  </si>
  <si>
    <t>316GAS.VLSTDMX</t>
    <phoneticPr fontId="2" type="noConversion"/>
  </si>
  <si>
    <t>326SAF.VLSTDMX</t>
    <phoneticPr fontId="2" type="noConversion"/>
  </si>
  <si>
    <t>336DIES.VLSTDMX</t>
    <phoneticPr fontId="2" type="noConversion"/>
  </si>
  <si>
    <t>$ 2.4/L</t>
    <phoneticPr fontId="2" type="noConversion"/>
  </si>
  <si>
    <t>Stream-Price.PRICE</t>
    <phoneticPr fontId="2" type="noConversion"/>
  </si>
  <si>
    <t>PRICE</t>
    <phoneticPr fontId="2" type="noConversion"/>
  </si>
  <si>
    <t>STREAM-PRICE</t>
    <phoneticPr fontId="2" type="noConversion"/>
  </si>
  <si>
    <t>OBJ</t>
  </si>
  <si>
    <t>initial</t>
    <phoneticPr fontId="2" type="noConversion"/>
  </si>
  <si>
    <t>opt</t>
    <phoneticPr fontId="2" type="noConversion"/>
  </si>
  <si>
    <t xml:space="preserve">carbon no. </t>
    <phoneticPr fontId="2" type="noConversion"/>
  </si>
  <si>
    <t>class</t>
    <phoneticPr fontId="2" type="noConversion"/>
  </si>
  <si>
    <t>groups</t>
    <phoneticPr fontId="2" type="noConversion"/>
  </si>
  <si>
    <t>PHENOL1</t>
    <phoneticPr fontId="2" type="noConversion"/>
  </si>
  <si>
    <t>PHENOL2</t>
    <phoneticPr fontId="2" type="noConversion"/>
  </si>
  <si>
    <t>PHENOL3</t>
    <phoneticPr fontId="2" type="noConversion"/>
  </si>
  <si>
    <t>CYC5-A1</t>
    <phoneticPr fontId="2" type="noConversion"/>
  </si>
  <si>
    <t>CYC6-A1</t>
    <phoneticPr fontId="2" type="noConversion"/>
  </si>
  <si>
    <t>CYC6-A2</t>
    <phoneticPr fontId="2" type="noConversion"/>
  </si>
  <si>
    <t>CYC6-A3</t>
    <phoneticPr fontId="2" type="noConversion"/>
  </si>
  <si>
    <t>ARM-A1</t>
    <phoneticPr fontId="2" type="noConversion"/>
  </si>
  <si>
    <t>ARM-A2</t>
    <phoneticPr fontId="2" type="noConversion"/>
  </si>
  <si>
    <t>ARM-B1</t>
    <phoneticPr fontId="2" type="noConversion"/>
  </si>
  <si>
    <t>ARM-B2</t>
    <phoneticPr fontId="2" type="noConversion"/>
  </si>
  <si>
    <t>&lt;7</t>
    <phoneticPr fontId="2" type="noConversion"/>
  </si>
  <si>
    <t>&lt;37</t>
    <phoneticPr fontId="2" type="noConversion"/>
  </si>
  <si>
    <t>NIST WEBBOOK</t>
    <phoneticPr fontId="2" type="noConversion"/>
  </si>
  <si>
    <t>Tetralin</t>
    <phoneticPr fontId="2" type="noConversion"/>
  </si>
  <si>
    <t>Sigma Aldrich</t>
    <phoneticPr fontId="2" type="noConversion"/>
  </si>
  <si>
    <t>Pure FP (F)</t>
    <phoneticPr fontId="2" type="noConversion"/>
  </si>
  <si>
    <t>GAS.N</t>
    <phoneticPr fontId="2" type="noConversion"/>
  </si>
  <si>
    <t>Not calculated</t>
    <phoneticPr fontId="2" type="noConversion"/>
  </si>
  <si>
    <t>$/lb</t>
    <phoneticPr fontId="2" type="noConversion"/>
  </si>
  <si>
    <t>ASWXL Storage Version 40.0.0.10</t>
  </si>
  <si>
    <t>FRZPoint(F)</t>
    <phoneticPr fontId="2" type="noConversion"/>
  </si>
  <si>
    <t>TSOL</t>
    <phoneticPr fontId="2" type="noConversion"/>
  </si>
  <si>
    <t>UEsDBBQAAAAIAJuByVpVb1JLuDABADAKCgAYAEIAQXNwZW5UZWNoLkFTV1hMLldvcmtib29rTlU2AE5VQ1gYAEEAcwBwAGUAbgBUAGUAYwBoAC4AQQBTAFcAWABMAC4AVwBvAHIAawBiAG8AbwBrAAoABAAAAAAA7L0JnBvJdR5O7pJckntoV7dkyYLolWVbO0P0DYyHVDAYDAdaYGY0GC53LekPNTE9Q4gYYISD5Mhx4vvIHTt24iRO4vi+7/u+7/vI6SRO4px2EieOE+fSv15faAxeA9Xoqm6gp7m/fYMGqrteV/X33qvqr16dO3/u3LmPkn/wF/499RgRn1LoHRvtPaNxb7lQu/NyZbmwv99sv5B5yej2mp32DTm7DP8J2RcyxUGrP+gaN9rGoN/VWy9kdgZ3W83Gi8bJXue+0b6R1RsNRWpkc/kDMZvbP7gIFb3x9PXvdLr373Y6919Dfny8/qDxVL3XPBq09D6prfdcXW/0mw+MmvvVU/XjrnFgdI12w+g9VW+2m/2m3mp+xNh/pn6k9/pGd13v6zWj//rRw2X7Bl7n+brYafe7nVbL6D5d7+rtQ6Oqt/VDo/tU/bDbGRwXGqSK3mvq+qDfOSKVN/b0w9vH+3rfeGt93WgZfWNPv9sy7twz2uZhs324C1d5R31glio9ahitjUG7Yd4KFNsmt+7c75vrPf2BUWm27xv75Pa2yTXMeyUnvsX8qXR019jfH/vxbfWDTrdhbAxarV3joGv07m23dwftYufoGFTahyYDvTcMHXqnqh+/vt4HPddaevt+sdOCuzba/d6b63rvoXkHBVPDHb1tlNpwvH+B/DtH/iPS/Hfh8XPXTvfbS3q3CYWL0IDmBeDxUU4XG/7cs74ZduXomW8fe/BqZfh/WB5KPX+61I77NIxe7vzHni4JPW59hE9Q5vInTC4zfD6g9FtOF971PDJQ4GNOF7g1fIpMlcx/mbH7PNVdUPS7H6+dkKf0aKT5bhlto9tsLK83zS/07skHxfe9zy5Y63fJ8/dC5qjX6HRbzbsexJqApcDrXU3TlYaiCnlJNghqP/DC+4JqUW73JZGTEtt3P0R0YHvxDzC+3HnovCuPgwDoXLkI4hL0/ZUnQMLhZRBXiLj4x8T4TnpooPgTD/TWwKjXz12GS8OVyXNELnTlSbjMU3B4Eb6lxOelut7t6ieX6o3OoN2/MP7Mlp3z3vcBEyLmDT1te4iLF0JB/HTlbx2rfHimt/pn7Ka7eJHKTrwWitYPB839i/Ut/ch4iljrXqPbPIYfn6s/aPaaYPT6tb7e7Q+On6u3muQBa+91qqTNCZh7r64bD4iFrHQOa8SxVJpHzf4FYkMPScnOoWk+H/UtvD1plSzAbb2+fkdv9ouDbq/TBWNPjHKbFHlzfaM16N0bqmfXQq7+ZJ3oWIS2MLrP1CvEL9U6rQfGXvPIeHW9YNt7V8+n6+SK7tHlOrliUe8Zb7S9zfoAFFo/aetHzQYp2XtDfd86sHzWRtf48IDYyZPXjH5/m3jQ3jOmrB0bDVOdx8+fN58zx/xD8z9pw/AW0fn8+ctLk56CEjSKfZ9m21jm7/LT58+PPafQfZ4HhtyRWfiS2fUX/pBAxFszPPWP1fXH6ncfqzceq+8/Vjceqx88Vj98rH7vsXrzsfqHHqvfPzf8d/mJJx6z/33eV9x74VXvvbX2ZZ/ye1/85c/98aVLz5Lf37lzQiz8Sa/Zq7+n0zZ6dUURSFDR79QVTQBP+94BiS76J5eeMy93/o9Iw1x6NTyU5n3skK69BJHL82JDzelSTltShOzBkizK2lJ+X9GXDCWv6IIgHKhZ9cprzWb41HedO/clf3DnTypf8zufTy70OvvpNv9dec6B2iVabweG5Wqlo+9vkBCh033CNmOXISLQu0b32U29d6/Y2Td2up0HzX2jexm+gCf7ArFkvUsvgYHpEdvyOAHYk5ffgtj8snOt57Efx64PPff77829+5NBs6twR1feAOKNcF+g7hTfDPbsDU7ctmscdSC0sm/rystHrVrjnnGkP0k+rTcPDm519SPywD5jq2aXMw3Hm8DovJmIn/mix1ff/eiolXlg2/hrwnL2WoY0ZIdEt4c3rg36B0uCeu3dN5++uvqot9Iza8g0929cc7W6liHIOzT6YFJ6x3rDuHHtXr9/vHL9Oqn2mKBvudM9vA4le0ZfWH7U27+WIVW2eytHvX67R1ua+qqPhkUfPny4/FAyS4rZrHD95WrFaqOhBgTqOrnNbtu+t94SsQDdTq9z0F9qdI5WSLklq9TwnONu53j6OVDqWkbvE4N4d0DsTKd7tG4c6MR33rj2YUDPQdMgSpMI+YhYBZ+fSbtnMtDydrEMsVDGSONbyq2Ue/aDceNavzsw3O9v9wxierum2W7oLcP+2byudeWGGSE/2js5Nuxv7e/vdZoNI3PUbG83GsR637hGnowj/ZFzNGjfJTZx31FyeOKoqmRw4LhOUApaZcXztInes/0VGv7as8z16Z+wqsvrbjPsGvr+drt1cqp1CmQIU243uuZZzm99UvGNa+RqxN65JYM/49cpNITreSrsmc6Tc50ep8+y6tHnhEYR08B6VNjvDOyHJDIVTPcebyvYjjReJczgOl4VzFFjhH2xet3PmJi/4EbI/MnWm8Lq7flZveyZtnpzY4HMZy5eFUiQuEl6yejudh56NLnb6bQMnTTPvhMTHOitXrTGkajm6an50w8eYwib9H68XbjW6ZL+K3QhGmKGo9ma405zv39vzrrJNIK1/kkrZqTtNftzoQfAndQ5B5qU222jaz29MT63VYPUUWjvFw2Y78Ee3giVqfX1/gCLQlwAbb+4+CFJpdnrc4xAzDogDIkwpijea7b2I66TuMTtgwNyTkTo4f58FJzJijMdng5bIVbrXOy0BkftGA2z7ahi9lGH7U7X2J/HmIahtZnFUY2GD1HXv0bOjjiE4Wv+qp19o5XOVPppyHqmMvgTNzezBqfnLWNQwZ63tB/Sqn6yqT8wts22IRfZ68atX6XzcCSUj6OJjo/jVmEOZlXBNMWrwY4+MiMRgwbDt+hzMNsY89sGE5jFln507FZb1E27Yf+WsX+cq3DLxLKP1uZvc6l1sdPed9/unFYbfmzCR2M/MxevgEAh27NN0nUOnJ8TIU3s7pHgKRJkNYFFajdUzBPSeq85jA52us1OlzxeN64tiYKsyTlJlXPur8Nwc8MBiPm9G0zU+np7X+/u2+SE3gsZ+9Nmc3/fiPlOLe6j5eROP7XWbxnnx0BtsWc/PQvXFFaY7tMUzo9JbwpnFIc3hvMrz+aIec5kXfB9BuzfEnjP4oR7FhN6z9KEe5bOAtTL6/KEJpDPRhMoE5pAORtNoE5oAvUsNEFFv2u0zsKNwjoDvdmGuZ0EmnT37up4UOv+zjOujXm6xn4Fn8Bbs7U4CzBdb/aOW/oJHoLbP56ZAcmgc1TvWJoiE1jtZj/TOchUDb036BqZ7WHBpLdLUW/XS8D6qZf3EVuntzPmrxnr9VjiZzNMDkvdXGmGtAb8mHF/THxjrDfJQc+cSzsDdwtGoG5SbFHzYP+S+GYYhj9FvW8cdrr4zLkdAnnLJL5pzEnd+rafFzF/ntl3LGKDuM5jguc4Ew2xqffqpnfoGu3xtiC/Zry/Jr45yr2WoR+MN0S5l6nYPyS+DaxIorw/wWBY8UR5PblGgztd1nlvm/LC+K1g5duJpUfESbT1Fv+e5N1OUx7RJBDUHYZmuqoS1XBu+JHpqsopqs31qsqNVvPYXrJ3ainUPGiXrvlM13ymaz7TNZ/pms/gIVO66jNd9Yk/Iem6z3TdZ7ruM133eRbXfe7ph6JpBLEZhbO95tPKGOHR0508Jr9kXB51rHio7rd8dDQ7dU60JO2FM2GgIVlPDc7UiLh6VhvGr6CVf31cPzsv+3ytBDJhgy6ksmATe9ZDEzOogg5mYl/jBVsKOGucx9twDtI2kjb0UdBqwzlQMV1/yEdTe3E7vnzWzIoec1JTa+U7vlB2DvSbvgbZVNJa04sb97laezxP2kLibysRerx97JN3wHXKI1F3tG+mYrbK5M6rJgc81u7RD8fmsOJRA96FxezJ4TGMVo2IRrTptF46rZdO66XTemd6Wi9lC6EapmyhlC2U8nFSPk7Kx0n5OCkfx6NOhFFJSshJCTk+I4FIQtO4Y1DL7MU8H7fRacccu2wNju4a3XmIou509eM941E/ZgdQBifU7HSLnVYn5hS+8HRErAZf82Jh7gwZmUqzPQ8R5x2jeXgvZnibD3K5vW88SsrTbE2qnqGnOfVWqbea/HQkylvtdDsHzZYxuvIznbZNp23nf9rWJIDNpWZzPaFM9NvdG3tXOg+abXW2D0h79WKcpttrHhmmu3mgt2JmbhBN5oDimL5+SF8/pK8f0tcP6euHwOF0Sg7ztEis3J+UoDZiFVOCWkpQOwMEtVrDaOvdZied00jnNEaGv+XtNR2isrkcm6cTLjNoBrarSP6HS82lgnM9IzTfCcnmYFYonQRJJ0HSSZB0EoRpuK8/MIqd48l7rEaPoVjnZtCQ0eiRavpb4N7nzTXtGk0SEjX1VvMjxpypVtUb3c6acUCG2jWjX24fD/q9QqPffIDlpICyGatwhpTOWMUzTvkJNxZ56g/Pfe0O2lR3RMrN760UDogpmnonZqn5vpFTzxrUSP+kWaUn2Jx2oXbHGc/XT1UV4/NHcZfQabPcHjkvvqdx0n0Nn8Vgt+VcO3IvW+k09L69zdHoDcGvmeHPsZK+bP92WsWtzGnHZ0ZNbhsL3LSMZnIufUnibY1YJ6Ct1xPQ3DFTDtK3NfPztiba9yKcbY5xrHf1fqfbK7cPOhwNzq1uZ3BMaou369aNRvNIb0WqB7sOtMrf6zTd6/hcAW580G6SKu37NrNVvmgMU7LtdEk7dE/IV7ZpH1ZiatsyGuShyDw61vv3blxbvn79qNdv91as5JxNK7vB9ZFzDppGa985wSoNGLnu1dTSyU9Jz8Wh9YudNukZHbDFQzkrUgugntPnpM1ENu24x6cdSYT5cgW0JVopwRUyF4hOV8q1glNLusszZ2tsgUFje/wnz9aWw6rqcM45IcyrK4tmdXM4cjAFcG3AKFgtDgoFhr+37bSwbXd6CzDO+qqsnssILFZuFpXmwmaNoCvLpMk52i03KwBRzDManN0YOKkVuSkKjcFW2Sia13zm2KrNCYXjeSIC2d7TOSbihqP5jo9Jw9tvC1m3t2dVNBM1vausmSvrWfTKRFnvIlrmymIr+Oq4QxyOMrbYu010JSHXu3UtWt3HG0263/BOC+d6M7/jERpjHB07yqPkdn8x9+b4hDSLO71vnHSNA6wnkfpISaM7ucP53cuYfzJvyNLf74ZGRnD+NzQ6auR3C95Z9AB34XElpx51W/8x38UHN6Psrlm7wccqheiKWe2cZ+VHgJvB3Mjke6JwgHxvdBboeEKCyXc3FovwvZdTQUow+OAhQDgUzRhWzAym0eAeC/Xt+8EGPVGOH4Ldy/Tb4H4H+LiG+uE6PSIM91gFHl+yfqDGkc7ggYrQak24kRlN1kx3Edxeed6ceCZybNXdd0fsZ4KGe73N6trH1Z3FnQfRebj32ww6mw8YRRxC656jfsLZPt0RPNnjDT86ZRy27cNOQAd93ulugfa5n+UWQrospoFQlBGQ/apm7M0N0vwCt7dA2CsuavtuttI4eEfea1Pby2jdKkuHGoUrdeIaFKmzNXgElmY0DEB1Dx4MRGteRogVocPhaE3LCH8FMSsaFx7MVHtyiopk0Zka94wj/ealjzl37tzvfenrV/ebBweH3RXrj36UeXTUIpe2Zh9vXBt02/YZvaWjZqPb6XUO+kuNztEKKbdklbpmn2NdYto5TkVLD4itXXUbybrGdMbWzdURp5qx1W/un/K2Q45Et/NwGzrYZHjZxe/pveI9c3O3G9ea7Z7R7Rtw6fL6zezqdSJXYU72ZnnrpVJtr1ra2ltZ3uv09VaGDN/3B41+pqa3jN7qdbPUqrnF5E1Ny4qSlCXnW8er5vrim7dr69dfMfTu6nXreNXkeu0aemv1uvlxdYf06M29zvGyfnxs3sJyrfmRZvswo7f3M8VOr08+L5ceGY0BrJWoDY5gPnh5qm7mZVdrzaNByySE39w56XZaJ71mr/6eTtvo1RVFqDfb/U5d0YT6QadrP02r1z3nrFo74N0ENd6+pq1et49Xh3sy3jRXA61e93yzOtwD0fnV882qZ5/Rm7c6nf3V695vVt2NPT1NOvxu1eE8O1d2j1crzfZ9d+tP+8qj361u3/0QAZ7Z7mijeX63y55+EJwyTtcPSW/4FUdKkAdMGL0YfEG+FW+e7mD4SYSfpJvjjwP8KMGPMoE++aNYf1T4U9HvGi1cF+un1fVm77iln/jr7C2wWtTb9RKsMARoDA9WN/Ve3bT4XaMNP40cr5Z7LUM/MNFkfVq9PgJPWhiLCIwFChgLHhhvL2d2IOPq/rVRxJ6GKm+YXttZ9qrCAaBCNmKE8oHmsI188Lg9AYXDk8eht+0B3LUdD8ROYdLCFopJ2cSbDyaVUyj0dDiKvpHf5wh1EoI6kQJ1oo/zXDd6za6xn9nV+0amc5DZNfokSBhFo3gajqRdGiRuuf5O3rj0044DQPMR41PkA1C/FgvlPv0uGpMH9VMHgbFf0TlCtIwgWqJAtDQxHN4mj6QOzWk26yieBS0vktgtxoD4tHYc8KxEjGdPo3ILiU83G4OY+PQlYw2KTyvjGxWfLjhHcFYQOMsUcJYnwvl2v0keuKbRQ+CsiYqWj3N4e1o5DmjORT2+dduUG5hPtxoDMJ++ZKxgPq2ML5hPF5wjMKsImBUKMCvTpqqgGzNF/bgJx+OQlsWcqGqoh45ktgpRjwOo5YhB7WlVnrNWSOOxmbxCLhz3HBai0qSpLKT4HKFdQ9CuUqBd9aAdgdw6GYE0+nBkNj48OKfG16KsKbk8B7SjVfOY3RKjHj0Pm4zHIBprNh8MY/DxH0hjFx7HMA5JC8oWFiXrj/8QGasIGx9j5dhBUggLyRwCSY0CktpEB7yrP8xUddjrizwnWESdz+ezYowRNaYgB9iqUUfVbrty879YyzHwvthlY/W9mEK+nhcrPEd+N4+APEcB8txkv2vHGRMcr5AXZCmvcHC8eN08PK8Q9TzXsM04gBhvNxauF78yD9+L14SAEy84R97Xs9htiMw8BTLzXmQafWjF3rLR6LQ7R81Gr66buSVPYdHFoNnPsDfaodGdADr/yzKFmblJm3Xl2j3D6L+9IK6Uow53BS5gG285P6DZbT0BXuPXQqDlXiYYoMavjYBpvNAokAAc9WJn0O6bUPIcRgUmjPck0BCfhCwKp44+6Hd6OjsgeS7IEkJmRy4wSjzNEgIfnqswRIbnqhgmPD/PGxpQ+hAVf8hLINp5ZXe7vLVcenlnV3Rg4NkCAxo2c9whD2qm081YOegyD+D5yJBnNlM7NhoZ49Fx1+j1SOnljLnyW2/3X4DiG51uv6u3PQUyzXaGeIOjHrxK3mh1HvbAI5ALdsk37cy6cdBsG5nr7pnmz73lzC5sGL/UaDUb9zP9TsbimGbcNgIS7wuZ/j2jnRn0SJN19cMlEn8s7Xc7x1C+0Tk+gUrM0j1IyUqq2ffUaNdDOtlz67Y5yEvaspBX1VGrAJtt+5sE99YgEto2L9czuRiH7SVos2W72c20yE7jc/a62ko5apLjsOk4ETXs5vS1K1YzT7AqdtOPGRTLUFAaEfsitv0g2vZ18lB13dqH3wx/rFv3UKqVb20t1XZKRU8x67dVK8H/TbjB5kHTII1hfzNiouzK8aC3Xt4fiXvheKLtGupQJMPdw073xE9H93dPiC3EEWJjhC6BhtEleClde0uSkF3equ0VbpUwO7g1OLprdMFsEftGLvYCMWWN1gDSvhLz0t434NLmoKdr3O00W0YXtybScKhsAg54ZdYHC3Q38+SfDTfaAGSt1Wnc7y1bt2CZFOdGONuU3EoZf7EM6Tx8TYr140wWReIzarZa0NeMmC07wYo4rR3OjDhXGbMjdvX+ZmS3sL6xWwhmQqy05ObjZj1yzjcj1sXRiZ95WatsF1+cS8OC8coEGmKZII0Zlo1Sab3ua1w2DBKNmHYl0zbtDG47hPwp2yGcsh2SEN5yDDVdJl8uCdxtSH6ljFNHedkQaMb5syHeJ2R8fGN3RbDBjX1SNPbEYyDses+izcDIawINe02Qx2zGWqFWrtV3dzGLsWsctAaPMsDh62Q+YXhkQKv3m60W0HXh+BMzD+81G/fIGAyiFTL4OegaRuYhvMswR3B6q5VpwL4VUMI47pPiZBRFoNHcz+zcgx9uvKQfd7pLleaHB839pQ1y+h04u9A+qYHF8jFVwrKknLZWpSVBOWWxhKz7b9R0TX5hgNitYWtxtldCdqXssxiFm8WyWpOV0VrTSVvcrG5XiKmxPjO0Y8N+CBcNDa8TaTwklN4FTY0GQ0OVYjFtZlfV7dmEm9VCrXYV+vBqbW/9pe3KVbsv3QJxm0KM+ifQcP8EZdQUilGMy4TT1orpuEyMeFwmCMRG4S82udkohgYqkDUS4x2ZienILHLTgvEMBRqioaCOmRY2IzNp1HrAo2OZCnH2IZmIDclE/hPFgkiMB/6ClpvxkObReEwZkoli4AGZiE0TczEi3uGYyHV+eH7NBMZ9FGjIj4I2ZiYWeTCWXZaiGIqJ0Q/FJGKppEgtldmW8zIQm2i9ohmIcQt/0oEYKzOIsUMFGnqokBs1g1IkAzGR50BMinogJhMLhS/T4hZLiTHFUlK8AzEpHYhFbVpEjN4q0PBbhfyYaWEyEMtxGIdJ2DgMnjbetkMhtgPPwsDLduTm0XRMGYZJ2cDDMDglGhPiHYbB1c+ikcBouyINbVfMjhmJxR6GeUiEHMdhUvTjMJVYKnwtHL9xGEtaYdiB2ET7Fc1AjFv4kw7EWBlCjLEt0jC2RS9j28r2cbJUGxwt723v3d4rbtf2RlYwmFEPLL6DDxSmY9fokZ7tZZzltN4atgd9MCWeitivwbPtxyePGxaJhEASh0RUW51+pmb0/awLtBur4OdU4/paEU+jT1pMO+yHcMbEc6Exa3J7r1xZqt2uVgu7r0xkLxf2Cr4WBZq4obca0ON+IZFHiRH7Megc1Ts2aJ+/vq+fXH3++r0uEUfNNpEEGw3yp0P6dunE0OEH65uHhnGf/DG/u2+deN8887639H27RLVqFYG/w1/h6MRco+7VIoRJW28eGW1Y/HAT7nRpt7BnDhadL02k1nc7D6FvMPr1qUbGwro4ljaKaCJNqkyaXt61JKq1wsZybW+3Wr+9szNmx2hWD/e7hn7UW7YvZVss54rLL1WIO9jYXa6WXy6tgyErVJYLu9WlAv91jrDQkcNKxwitl922vlbLavMJBmvYseNDN7tnPCv9zT7yLO83e8uTtdbuNydV7ZhVs38fs2iOmv62rEpguVuGyk7bM69lsq/vG+yYGB6C3wfSpE1KhepcghrjPIs0nGdRmgtQr/EHtURAjb9zSkE9M6jXpoB6jTOo15IMaoyULNKQkkU5dlCXt9YLWzX+qJYJqjmk0zu7qHY6zhfWTgFuuHYqSC6wMYqtSEOxFZV5AHZpqxQBshWC7MWeQpg/ZFs9NwnaVgme2LZqSC64MZKrSENyFdXYwb1V2Nnc24RO5I1ulaCbQxa+s4vuYdf5wntYhBu+h1UkF+AYPVWkoaeKWuwA39ksbRW29jb5A1wjAOeQt+TsAnzYdb4AHxbhBvBhFckFOEa8FGmIl2JuLgC+XYkgPM8RfHPYnOJs49vsuYnwNktwRbdZQ2LBLWHUR5GG+ijm4wf3duWVpcJulT+68wTdHDaGO8PodrvOH95uEX74dqtILsAx2qJEQ1uUsvED/JXdSCbXpOxKWcJzYaT4ng3fTs/5w9spwQ/dTg3JBTdGxZNoqHiSEADcQUh4U1Be2XypWlsSFC/MecO7Kq7cXkD6ikn6hKtEhXKnb+hhPoGVx3Vazb6+L9lurT+43rp7taG3rh8eXb0Ff+8fXn0PiPv2wX3zqGqXrFpH7mHVKVat7jTMr6w/E9h0iC0ZsuOA07tU2oKpwJ0grLk5Nj0Yb06i4c1J0fLmareWdiO1NtLK7ZRX42tkoDsW08AkKnBAN5um2m06WoIcGM6N3VqkAJZXbqcUGl8A2z2SYjh2DGN8OImGDycF4cONBv+Fblc/mRnN6zl1SWC84th8oFKMjmDUaeeAe0XaZ3FDpFOBb9xevLpx9cWru7NG2Xul6k5pt7B3ezfQ0pTQEBd4bYgnYcw4iYYZJyHMOMtyw+pJVm7auaLtnu/AU8DYPW90P7LDba+thRzCD7sRcc6OK7Zds90jjmueYgDs0tzwb18/uR4Z47pJNFw3CeG6cYfrJuscjDZWpZXyAg6AY8fqpkgN1E0s/yIrlG5OSrO48BDF2GoSDVtNQthq3CG6zQmi8kp5AYe4sUN0mx6i2zwhup1oiGJ8M4mGbyYhfDPuEN3iBFFlpbyAyz1ih+gWPUS3eEJ0K8kQlTHWmETDGpMQ1hh3iBY4DUrVlfICrtmIHaIF+hFpgedwtJDksaiM8b5kGt6XjPC+uEO0uM0Honx2i008RKE7KCEKRblBFC6eXIhi7C2Zhr0lI+ytCCDKKdL13X01xehkjNKHukWuw9FiosejMsZ0kmmYTjLCdOIO02ppb7OwxTolvA1V301OU6hOgqrbJ5Rwdctzg6xbQ3Jhi1GcZBqKk4xQnLjDlidqJ2z1meJ2Em4DwpY7apMPWozTJNNwmmSE08QdtDu72zv8UOu/+WWK2kmodXuFErZueX4rkZwakgtcjKkk0zCV5DiYSltLa7f3+CHXf+fJFLkTX9643UL7Csc9gd+LHLeK5IIX4y3JNLwlOQ7eEomCStyg678VYwrdKaFyKVioXOIdKpeSDVqMySTTMJnkOJhMEALxQ63/9oQpaqeFykFg65bnGionHLgYv0mm4TfJcfCbBIh/+CHXf3PAFLmTkDvsFkroDk/ght1hFYkFr4Ixn2Qa5pMcB/Opxuud7YSt8lLcTsJtLcBb2xrXt7a1RL+1VTD+k0LDf1Li4D9tcQOqRoCaUqBmmIsKANQtrkDdSjZQMRaUQsOCUuJgQRWK5XXWCekcqOYIVFMm1AyEYqtPaDnFVml+tGLr+skFLMaHUmj4UEocfKhCZb20+co6r/FrnmA2pUTNgFm3W2hh657AD7luFckFL8aKUmhYUUocrKgXS3vb7BPAOjklsitlMaVFBceu2yuU0HXLc0OuW0NygYsxoxQaZpQSBzOqUClub7LfeMFBrkCQm1KjZvG6TrdQe13nBI5e16kiueDF2FEKDTtKiYMddet2oVwobrPOtOiAd0G3E48dvMNuoQTv8ARu4B1WkVzwYuwohYYdpcTBjqrdvlWp3uEE3QXdNDx26DqdQvvixy7O792PXUFyQYuxoxQadpQSBzuK9McmN9Au6J7g8wDazWCg3eQN2s1kgxZjRik0zCglDmZU6eU9crDHCbULut937Kh1e4WWieyU50dFdmpILHBVjBWl0LCilDhYUZUyRD9LBU7IXdC9vGNH7rBbKKE7PIEbdodVJBe8GFNKpWFKqXEwpeweWeME3gXdp3tewLsWFLxr/MG7lmTwYuwplYY9pcbBniI9ssnR8y7oJtzzAN7NoJ53k7/n3Uy658WYVCoNk0qNg0ll9wgvz7uge2zPC3gDed5N/p53M+meF2NSqTRMKjUOJtXWUnG7usNpw48F3T47dug6nUKd7cIqzjHXhVVBckGLsahUGhaVGgeLqsYTtAIBbcqhmuG1UDDQ1niDtpZ40GLsKZWGPaXGwZ7ixHmURILXlDY1A17pocoTpUkGKMaQUmkYUmocDKkiJ4DCvncpOWqGROb0acx5JjFPMkAxNpRKw4ZS42BDFWqbnCAqE4imVKgZ1g1Aj9AuGYCy/FYLwNWTC1SMAaXSMKDUOBhQtcLWOiekKgSpKf1phmjX7BLagNcszC/mNS+fWLBqGOtJpWE9qbHsglcsry+VtzjxFSWVADZlPc2WvMLqlgD5K6wTuKawsKpILngx1pNGw3rSYtkfb3dtiyN4NQLelPU0w9DV7RbaEax7Ar+BrFtFcsGLsZ40GtaTFgvr6dZmlSN4cwS8KetpBuKE2y20xAn3BH7ECbeK5IIXYz1pNKwnLQ7WU+0W9AcvyqKUJ+BNWU8zjHPdbqEd67on8BvvulUkF7wY60mjYT1pcbCe7B7hRFmUsytlOeU9zQxeesri8ATe4E0yZVHD2E8aDftJi4X9VFzaKexC33IBr0DAm/KfZgCv2y204HVP4Adet4rkghdjQWk0LCgtDhZUlS94RQLelAw1w07UQcFb5Q/e6hkAL8aQ0mgYUlocDKny0s7uBq8hrywR7KY8qeDYdXuFErpueW7IdWtILnAx5pRGw5zS4mBOWR3Ca7grE+Cm7KlZgUs/2nXLcwZuose6GJNKo2FSaXEwqYqvFBVuDlchuE25VDO83bU7hfbdrl2c35tdu4LEgjaHMao0GkaVFgejyuwPXs5WJaBN+VQzgpbe1zrF+YI2yZ42hzGpcjRMqlwsTKpXiio3T6sR0KY8qplAqwbztCpvT6sm29NiDKocDYMqFweDyuwPXp42R0Cb8qdmBG0gT6vy9rRqsj0txpzK0TCncnEwp9bKpEcq25zWw8t5AtuUORUctsNuoQTu8ARu0B1WkVzwYsypHA1zKhcHc4r0h7ZTuc0JvEp2paykzKmZfK7dLfRe1z6Bp9+1q0gueDHmVI6GOZWLZfe93SqvIa4iEOSmtKkZ1vlZfUK7yM8qzW+Fn3X95AIWY0vlaNhSuTjYUtAdnIa3ikgAm1KlZgMs/ejWLs0VsIke22IMqRwNQyoXB0NqZ7O0Vdja45SnRpEIZlOKVHDMDruFErbDE7ghd1hFcsGLsaRyNCypXBwsqZ1XdkvcdpVXZILdlCU1A3adXqGFrlOeH3KdGpILXIwllaNhSeXiYEmtl3c4ZkRWFILclCcVHLnDbqGE7vAEbtgdVpFY8OYxtlSOhi2Vi4MtVd5aL2zxcroqgW7KlpqBmmx3Ci0z2S7Oj5hsV5Bc0GJsqTwNWyofB1uK9AfHUFkjqE3pUjOhNlCo7JbniduEh8p5jDGVp2FM5eNgTAmivLRV2OE1QZUjyE05U8GRO+wWSugOT+CG3WEVyQUvxpzK0zCn8nEwp6A39jah37iAN0/AmzKnZtiuy+0W2g273BP4bdnlVpFc8GLMqTwNcyofB3NqZ7vyylJht8oHvGp2paymzKkZppfdbqGdX3ZP4DfB7FaRXPBizKk8DXMqHwdzCl7WbVc4jXdVgWA35U7N9lrX7JUAb3XN8lxf6po1JBe4GIMqT8Ogysey697tykbh1hYn4IoEuCmHaoZccU6v0KaKc8rzyxTn1JBc4GJMqjwNkyofC5OqtLVX2CpxAq5EgJsSqWbwuE6v0Hpcpzw/j+vUkFzgYiyqPA2LKh8Hi2pT5BUmywS0KYMqOGjNHqEErFmWG1jNqycXqBhrKk/DmsrHwZqq3Kpw3H5EVQhaU9bULNuPVIJuP1Lhv/1IJenbjwhZjDaVp6FN5eOgTZVe3tvliF6VoDclTgVH77BbKNE7PIEbeodVJBi9GH/KxPRU+JJScaWu2Sy+yAm/GsFvSqGaMXmN2S1B0teYJ/BNYGNWkWD8YjQqE9UU+I2DSLUFPcJrNb2aI/BNeVQzUDGcXqFlYjjl+RExnBoSjF2MRWUimgK7sfCozD7htLBezRPspjSqWbFLv7TeLc8Zu0leXi9kMRKViWgK7FLQqNgljduGb/hAVsuulLXIyFOhUBpfdji7/amTw9nlOeaGs2tIMDgxkpQJWQpwUtCkmI1lNwu7nJApEGRGRo1aSGRajU87WjUL8xupmpdPMCAx8pMJUwpAeulPipC1QFSpvjwW5t5uN/u9gPEuXNALTnLdZftJYYrLYqdHYCkShylmP7kMja83+s0HRu2eYcC+1dpKWToj806kyadB2OzdqRC2UDp1xz3rpDHsmmqEBa598RHkDjpH9c4xtE/v5q3Do+v7+slV+Huve9U+cg+Omm340zMaV+8fmj+RP+QnIuEn8qdD+nXpxNDN7+xy1mG/024b3t+tL8zPlSVy0DMvaH+8534JF27dNX8jf8j3RNrfDS9GDqAy8sc8rNqKVy3Nq/alhuWdb6wD+/JV6/rVkStX3WsiVxm9jHsd50KnruS51NiFPJc5/dvwJ6vFoArr0z3nq2FpT6O6Teo0qNucp2pwK1i97n0Wppn09eaR0e4BrAADSxuV7TvwZDlfmuatvtt5uIDmH6PQmU6Bwvx7SXRiNrv8UqW2t87I+sP1bOtvX5an8ScxmShgxj9HjP8ZmbUUs5OMv9u3nG2/qQVv218oblSv3r3bMm0G/CUmozE46JvH5gfnC7Ah5gewuY3BkV3iyCpwZP9+5DExcOQUNr841M3rwx/Tczj13ncud9++3n3nVOt38yzrnJb5ddU5s2qrXHV1rjpKV12tq87lq/blq87lq7ZGVUel6vDK7qU91x5e3D3TOXVWM/rSduV2tZQoQ4pRGk3zSmFIvaRGOSsvk+ZhFkbD9RxDal2WpyEViSEVMUOaJ4b0jEwhyzBR4W9Inb7lbEhNLVJDmhrSRTOkGOXUNK8UhtRLOlVF8WW2MxLmFSOckpCIMZUQYypnV8ryGVkZDW0+D3MSlh7ppEQ6KZFOSvB2AQLGWzYdA4UL8DKXRUVhGkvD9aKLpWVi/mXM/AvE/J+RxfUipKmNPZY2tUhj6TSWXjRDilLIBSoKueClkItClq0hHb7bi8CQKsSQKpghFYkhPSPJDsSJr/YiM6RRvNlLDWlqSFkbUpTLL1Bx+QUvl1/URLaGlFwvOkOqEkOqYoZUIob0jCSfIC0+D4YUtEgNaWpIF82QogsrBKqFFQKysIKlLR0lhPI0p8j7MWJapXR1crRGlBVHNLWjqR2N2o6ii1wEqkUugneRCzEO/Wb7sLesD4jtMh4Qq0DuccSewm1YHyxrCtbr0OhOMKg+1+RtQ4kJZW9BLbOHm8+b1mjWPmBGtj/VbD5m1GnlCYb01IXGzenwGsEs6qkL25bVawBPlRgl0A9xarag5zAy/KDrUASqdSiCdx3K7pIgZJeL26UNwQHNutFrdJvH1hPe6TXhEc30+p1m416zc2T0u81GptExDg6ajaZBTBV50DM9o0W60NjPHHc7+4NGnxQ4OiaYaPeXSeN5LuhAcjkrC7IiiZLigtN8vqHNrA80oc9aq9O431u2bqLchrjHvJVlYblQLK/XIop+ZI2MHzlw7Cdj19uEHFBsta0vfM02n4Bd+5Eax6zg3bkZOmm4VGYYHkkzBUS2Tv7x0G5tb7tcHI+Gan29P+jdrB0bjeZB0yDtYn9DwHCgD1r9m0LpXdDOzuHU+Mnr2+GWR44nWhDEW69VtiHXxGQ/LsTix9HlNwLV8htBmQ87lFUUWVO42aFKcXtzuxKZKcoRU8SB8T3VFLmtuKimyO6n1BotsDVCV4MIVKtBBHUurJEmaNlsLidyskYvlva2t0qRGaM8MUYcWNPTjNGwERfUGNndlNqiBbZF6IIKgWpBhaDNhS0S85Kcy8G0LqfIaL20+cp6KSJjpGRXygoH1vE0YzRsxQU1Rk4/pdZoga0RuipBoFqVIOTmwhoJeVlSTGW4WKNbtwvlQnG7EpU1Eog14kCCnWaNhq24oNbI6afUGi2uNRJRgrxARZAX8nNhjURJyamSymvWqHb7VqV6JypbJBJbxIFHOjUycttwQW2R1UupJVpgS4QyzEUqhrmYnQtLpEqSquYFgZ8l2ozOEknEEkX+EtzbhotriTZTS7TQlgilaItUFG1RmAtLJObFrCDzmi6qlMHZLhWiMkUyMUUc9jabPl1kN+KCWiKnm1JbtMC2CGU5i1QsZ1GcC1uUzclCXoas7zyN0VpUxkghxojD1m3TjNGwFRfbGq2l1miBrRHKFRapuMKiNB/WSJW0XD7HKzSC7cQKxb2ojJFKjBGHtR5TjZHbiAtqjOxuSm3RAtsilHctUvGuxfngXQsyTLrmNH6R0WaUwzSNGKMYqNfDVlxQY+T0U2qNFtgaoexrkYp9Lc4H+zorCZJm7lvE0xpFNk7LEWsUA/t62IqLbY3ScdoiWyOUfS1Ssa/F+WBfEyBpWVHlNU7bWipuV3eiskV5YotiIF8P23BBbZHVS6klWmBLhHKvRSrutTgH3OvcsppXs/nSUpYbvyhKS6RmV8pq1MzrkTZcUEtUSy3RolsilHctUvGuxVHetSgqy+Lm3lK1UN5arm5XSvVXyqXKOmaXXmkaLWJsjG5m0G72M0d6r5fpHGT6nb7eyhwYxBCRI9cG9TL9e3o/o3eNTLvTz7SaPTBVei9TJk3Z7+EmSlz2X6Jm4vWmkHX/2RAOZrTgftdJwznfuPduWbJhCyzvbJa2olthq8rEmuHEgH534G/MrB9nsmVmY8dhw7zP3KQs9p6ncdyi2d3jsWuuGaPaIdPfmo2qN8Gs2boFN2vZ1KSdNmkSSt4WqcjbYn6OTVp2zgyaEJVBU4hBw8kFvAwan7xDUZozITVnCTFnKANcomKAS/Mcoc2POSu+UlSWCpGZszwxZ/i8V2rOxs2Z3TmpOUuIOUNp5BIVjVxKozNKc6ZGZ840YaWs4QuFU3OGmjM1NWfJMWcoE12iYqLL2dScUZszMSpzJhJzhq81Ts2ZnzkTU3OWEHOGUtklKiq7LKTmjNqcSVGZM4mYM3zBcmrO/MyZlJqzhJgzlA0vUbHhZTE1ZxTmrLBbjXCsqRBrlr4JoLVmVt+kxiwhxgwl00tUZHpZSo0ZrTGLbKSpEmOGL1NMjZmPMUsHmkkxZigXX6Li4styaswojdlaZJFZjhgzfGFRasxwY7aWRmZJMWYonV+iovPLSmrMaI1ZZJFZnhizlKERyJilkVlSjBm6IkCiWhEgq6kxo6bPRmXNVDLOVNNxZjD6bGrOEmLOZHQ1gES1GkDWUnNGbc6ieqOpasSc4Ql1UnPmZ87SN5pJMWfoagCZajWAPM+rAYRl/41z4lkPEJU9yxF7Fu3MmdnWC2vRrN5JDVpCDBq6HkCmWg8gz/N6AHFZnieDpkZm0LTsSlnDs2nwW38uL7ZBU1ODlhiDhq4IkKlWBCjzvCJAWvZP9hMLUSMqeyYTexZtPg2zqRfWnpmdk5qzhJgzdEWATLUiQJnnFQHCnJmzqFLAahoxZ9HOnwkLb87WUnOWEHOGrgiQqVYEKN4VAZKkrpdLteVqoVbb2C0UHStmPuLQ/RSWotbvGvpRb9m51vagbxoG+5KWQVi+U9gr7TI2C+tNo7fR0nv33l4QV8octlbdIna4ZvT9TAI0UCgrsKaTG4ereLBvN6evPbCbeZIhcDtz3Ay4sLfNgN0tlGbALj1mBlyd/PFfhVPLhcq4BfAC2K7AF9Ogige25uE4PGt7u6VCdRpys7EgF6W/y1T0d0WKBbmbIj/YSitlDvuQJh+2myI1ZqEoP8DC1ROMVpTfLVPxuxU5FrRuc0SrvFLmsFVn8tG6TY/Wba5o3U42WlECs0xFYFaUWNC6xRGtsJllitbgaN2iR+sWV7RuJRutKENXpmLoKmosaC1wHMACvTVFa3C0FuhHrwWuQ9dCosetCkpAlakIqIoWC1qL2/zQCrPPKVqDoxX6hBKtUJQfWuHqCUYryq9UqPiVSi4mtHIMhXMrZQ7bBZ4FuNLHwkW+Q9disseuCkogVKgIhEo+FsRWS3ubha0SP9TmV8ocNtZLPmrdjqF9ueuU54det4oEIxhlzClUjDk1GwuCeQNYyK6UBQ470iUfwgERzB/AZwC/KEVMoaKIqUIs+N3Z3d7hC2CBABjPip8CeCKA3a6hRLBbnh+E3SoSjGGUF6VQ8aLUeHhRW0trt/f4glgkIE7JUbO8CXL7hvZ9kHsCx7dCbh0JxjHKklKoWFJqPCwpEiCVuKJYIihOuVKzxdKlYLF0iXssXUo4flHelELFm1Lj4U1BdMQXwDIBcEqfmjGWDoJgtzzfWDrpGEbZVAoVm0qNh00lQGjEF8QKAXHKqpoBxMO+oUTx8AR+MB7WkWAcozwrhYpnpcbDs6rxfBcsqATCKdVqBgjXArwNrvF9G1xL9ttgFWVbKVRsKzUettUWV8xqBLMp4WqWKawAmN3ii9mthGMW5VypVJwrNR7OVaFYXq9xRG2OoDblXc1CarY6hpbXbJXmSG22KkgwdlH2lUrFvlLjYV8VKuulzVfWeY518wS+KQFrFvi6fUOLYPcEjiB260gwjlEOlkrFwdLi4WC9WNrb3ipx9MJidqUspiSsGWDsdg0lit3y/EDsVpFgDKM8LJWKh6XFw8MqVIrbm9sVniAWCIhTItZMvtjpG2pf7JzA0xc7dSQYxygXS6XiYmnxcLFu3S6UC8XtCkccQ56qlIs1A46HfUOJ4+EJ/HA8rCPBOEa5WCoVF0uLh4tVu32rUr3DEcUSQXHKxZrlFZLdM7RvkeziHF8k2TUkGL8oF0ul4mJp8XCxSKdscsWvTPCbUrFmw+9mMPxucsfvZsLxi/KwVCoelhYPD6v08h452OMIYIUAOKVhzUKGdrqGlg3tlOdIh3aqSDCGUQ6WSsXB0uLhYFXKEBjBDgjcQKwSEKdErBlAPOwbShQPT+AH42EdycWxhvKyVCpelhYPL8vuljWOONYIjlNy1uw4XguK47UIcLyWaByjXC2NiqulxcPVIt2yydkf5wiOU7rWbDjeDOqPNyPwx5uJ98cob0uj4m1p8fC27G7h6Y/zBMcpb2t2HAfyx5sR+OPNxPtjlLelUfG2cvHwtraWitvVHY47o2RXylJK25opa4fVM9Q5O6ziPDN2WDUkGL8oZ0uj4mzl4uFs1XjjVyD4TRlbs7xjCobfGnf81pKPX5SrpVFxtXLxcLU4ki0lkUA3JWnNAl161HIFbKKxivKxNCo+Vi4ePlaRI1ZhB8GUijVLbnf6zO5c87onGqso90qj4l7l4uFeFWqbHNEqE7SmxKtZljFAt9CuYICyHBcvwOUTjFmUb6VR8a1y8fCtaoWtdY6gVQhoU7LVLOGw2S+0EbFZmGNQbF4/wbhFOVYaFccqF9N+gsXy+lJ5iyNRUlIJdlOO1YwpOKy+CZCFwzqBbyIOq47k4jiHcqw0Ko5VLqadBnfXtjjjWCM4TjlWswxz3b6hHe26J3Ac9Lp1JBjHKMcqR8WxysXEsbq1WeWM4xzBccqxmoWb4fYNLTfDPYEjN8OtI8E4RjlWOSqOVS4ejlXtFnQKT66klCc4TjlWs4yJ3b6hHRe7J3AcG7t1JBjHKMcqR8WxysfDsbK7hSNXUs6ulOWUZTU7jum5ksMTuOM40VzJHMq1ylFxrfIxca2KSzuF3cIGRxwLBMcp22oWHLt9Q4tj9wSOOHbrSDCOUc5VjopzlY+Hc1Xlj2OR4DilXs2y6XdQHFcjwHH1LOAY5WPlqPhY+Xj4WOWlnd0NnsNjWSIwTllZM8DY7RpKFLvl+YHYrSLBGEZ5WjkqnlY+Hp6W1Ss8h8YywXDK1ZoZw/QjY7c8bwwne1yM8rZyVLytfDy8reIrRYWrG1YIhFPm1ixvje2eoX1nbBfn+MbYriHB+EX5Wzkq/lY+Hv6W2Sk8XbBK8Juyt2bFL70Hdopzxm+i/W8e5W3lqHhb+Zh4W68UVa7+VyP4TVlbs+FXDeZ/Ve7+V022/82jfK08FV8rHw9fy+wUnv43R/CbsrVmxW8g/6ty979qwv0vytPKU/G08vHwtNbKpFsq2xyX8st5guCUpzUDgod9Q4nh4Qn8UDysI8E4RnlaeRqelpiNh6dFOkXbqdzmiGMlu1JWUp7WbJ7Y7ht6X2yfwNUb23UkGMcoTytPw9MSszHtY7hb5TkcVgQC4pSkNctiRKtjaFciWqU5LkO0KkgwdlFuVp6GmyVm4+FmQZ9wHAorIsFuSsyaEbv0I2G7NF/sJnscjPKx8jR8LDEbDx9rZ7O0Vdja45h4R5EIfFNC1gzwHfYNJYKHJ/AD8bCOBOMY5WTlaThZYjYeTtbOK7slc3d2bjCWCYxTTtYsMHa6hhbFTnmOIHaqSDCGUU5WnoaTJWbj4WStl3c4Z4ZWFALilJU1A4iHfUOJ4uEJ/GA8rCPBOEa5WXkabpaYjYebVd5aL2zxdMUqQXHKzZqFHm33DC072i7OkRxt15BY/IpZlJuVp+Fmidl4uFmkUzjH0hoBcErOmg3AgWJptzxXCCc8lhazGD/LRDYFhuPhZwmivLRV2OE5r5UjIE4ZWjOAeNg3lCgensAPxsM6EoxjjKdlopsCx/HwtKBL9jah87jhOE9wnPK0ZtntzO0b2v3O3BM47njm1pFgHGM8LRPd03EsxMPT2tmuvLJU2K3yw7GaXSmrKU9rlglqt29oZ6jdEzhOUbt1JBjHGE/LRDcFjuPhacHrv+0Kx7GxKhAYp0ytGV8Xm10T4G2xWZ7vy2KzigRjGONrmcimwHBM+xfermwUbm1xxLBIMJwytmZJied0DW1GPKc8x4R4ThUJxjDG2zKRTYHhmHhbpa29wlaJI4YlguGUtjWLH3a6htYPO+U5+mGnigRjGONsmcimwHA8nK1NkWccLRP8pnytGfBrdgslds2y/HBrXj7BmMU4WiaSKTAbD0ercqvCeZ8WVSHATTlaM+3TUgm6T0slgn1aKknfp0XMYhwtE90UOI6Ho1V6eW+XM45VguOUpTUDjod9Q4nj4Qn8cDysI7k4FjCuloluChzHmEdrs/giRxxrBMcpWWvWTDxm3wTJxWOewDkbj1lHgnGM8rUEKr6WEA9fawv6hGcGADVHYJzStWaheThdQ8vycMpzJHk4VSQYwyhXS6DiagkxcbXMXuGYCUDNEwynVK2ZMUyfC8AtzxvDSc4HIAooT0ug4mmJMfG0zDf2Aj8Ma9mVspbStGbmdwgB+R0Cf36HkGgMoxwtgYqjJcbJ0RI5YlggGE45WjNjWAyIYZE/hsVEYxjlaAlUHC0xHo6W1SsSRwyLBMMpR2tmDEsBMSzxx7CUaAyjHC2BiqMlxsPRsjbO4RlLSwTDKUdr5k2W6GNptzzvbZaSHUujHC2BiqMlxsPRsjbf4IlhmWA45WnNvFFLIAyr/DGsJh3DKGdLoOJsibHtdUh6hed4WCEYTilbM2OYfjzslueN4WSPh1G+lkDF1xJj2++Q9ArP8bBKMJzStWbGMP142C3PG8OJHg+LKFdLoOJqifFwtczc/TxDaY1AOGVqzbrJA30k7RTnvM1DouNoEeVoiVQcLTEejpbZKTzD6BzBb0rRmhW/9FG0U5wzfhMdQ4soP0uk4meJ8fCzzP03ePrfPMFvSs+adaOWYP53jbv/XUu2/0W5WSIVN0uKh5tldgpH/5vLrpRzKTVrVvwG879r3P3vWrL9L8rLEql4WRINL4sZbNfK2/ANR9wKBLeR0bFCQTXGPYXtTqDeUtguz3NHYbuKBIMUJV6JVMQriYZ4xW5+ebOwyxGhIkFoZGSrxUSo1QO0c8hmYY4TyOb1EwxMlE0lUrGppBE2lajWChtsgl/rUhHGvhvdj+z0o0ZnzHGv2cjzFvbaSqVR71TcogwqkYpBJclx4Zb1nJOD20jj3qThlsV0E0vcJnu2CWVNiVSsKUmJCbfM3/U4uD1L80ysccvkNQ9D3Cb8LQ/KlBKpmFKSGhduOfnbM/V+hzluWdArWOI20f5WQtlRIhU7StJiwC0ffqMD3LNErGAJXIbURkbQPQPMRgllRklUzCgpFxt2OQXLZ4rUyB67TJYWMMVuouNlCWVFSVSsKCkfG3Z5BcxnaU0Be+wyWdrHFLvJjplRRpRExYiSs/Fgl8P6ege7Z2lNH2Psslpazw67SV9ZL6FsKImKDSULMWCXT34bB7tnaU09S+wyTG3DCLtnILONhJKkJCqSlCzGhl1e492zlNOGPXaZpJZjit1kj3dRHpVExaOS4+BR8cnv6mD3LOWUY49dJqldmWI32TEzyqWSqLhU8giXSlBvFWrL5Far9ds7O2PYvd1u9ntBQWxd0waxc+nl9Zy6JGRtLO9t70E3ciItb4srdxYQy0EgbLbxBAgPe3QcwlZPeDDsYtpC8E27d+DjJCjbxcaBbCsXFsj29UdgPOgc1TvH0F69m8WrG1dfvLq7et375TSgrzePjHYP2nuvVN0p7Rb2bu+au4s6X5vPfH2383ABzQJK1ZKoqFqyEp9ZyEdkFqSVOwsYnkdpFvKpWUigWUCZYBIVE0zGcmaxtQuji5tiMQzyyp0FnHNjut4pVsvAau1TahoCmgYZJZtJVGQzWRuPGF7armxUqi9zCBjsKy/bjx5LS2A+oAuC+ZnG+9OiArfXpg73LUhPG+PbJ3GLAOzr+8K8UNyoXr17t3V9Xz8x/97rXm0MDvrmsfnB+eKo2bY+9IwG+XBklziyChzZvx9d75DeXjoxdOtbp7D5xaFuXh/+QOn7Tr33ncvdt6933znV+t08yzqnZX5ddc6s2ipXXZ2rjtJVV+uqc/mqffmqc/mqrVHVUak6vLJ7ac+1hxd3z3ROndVQkgfqdrW0tFHZvpMUQ4ky+2QqZp+M5TxjailHQ6jUVHLMrRKZrWQVE6XGMjWWURtLlEopU1Ep5TwSVVZqe+t8okrryjxM5c0ytLne6DcfGLV7hnHWVutPDTqdTk2DztSOpnYUtaMorVWmorUqCK2VqR0deVUfsR2ViB1dwJl8Li/rI7OjjF7Pp3Y0taNR21GUYixTUYwVLOEiU0N6avAerSWViSVdwFcfnMb2UZnSdGyf2tJFtaUo5VumonwrXsq3BdelnW6zYSzv7JaLJcecrhu9Rrd5bJk7+DnTOcj07xmZnnnKMmlJTwnL+t7MLmsK+Q+wC4eWKb75/PXWXWKlzM9URtnoD46XR1Qrt8EsmwouO2NJ3lZZIVaZwwIuy5TiJnnYgMOvGNjom1aeWOvziLWGlva11d4emGCw7cdm3Fw7HRXMXjtnjRlsC49LdnX+Vnu9sFcYt9i1vt4f9G7Wjo1G86BpkJayvyFP+oE+aPUBrs7HEfvuKORr4J+/fnh09fnr9w+JqCz1O+2r8MQTUbWk9cf6nsi2McGQgXEYOfaaNdPYeA49Nu72VnnPaRrExN2ELSPcA8zanW61oa0zH5v6tq0tPEpXq9uV0lXipollvQr/28+WW8hjH4VY7CNKq5epaPWKxNE+craM9uiQt2VUiWXksCx9smVMiE20uyigTbTPmh+baCuU2sTFsYnocgWZarmCIvOMGVXOVtEZ6PE2ixoxixwy7UwJGNWEGEanlwJaRue0+TGNjkapbVwc24iu2ZCp1mwoSHrd09xs2jc4Lu96r7ZdsVnXlfJ7b5f5T0LmsyvlfGRJdWnN1JoejnE97b3NJMI19MEEurXTL/58a68BcEqPGIXTT+uefmi3kPdRHX6L0d+y1mPofdFo2Xa7iuHZ06+PMUYE6/reCXizU5DLlx6Rh6qtt5A6Tv2E38gUsI3dm6fu7Kgm10/VF0Q3vBFodPO0i0cZYZpqzkOw52ejzB9marLhg+EJvMx5fyh7s9jp9d++Jq+sCQ4fxrS4mwSMRhcMv43Oke+ghOdqo8VO/bC60Woem+rb3tMuefrr1cKg39nodI/0/s1HLVOT4TdbHfCAnhKrax24/0KXOLV9uMGRY/Nad5r7xFratQ2/WLUrPWlZi+Kbfc8R3GKzfegel4nn7VqXNh9/z+Fq1egSFdv7RcP0U/3ugNRz6ksnhth+cRg8XB/pU9q+n+mRHIIW7fsxD/B84Xlh5fny8xL+KFi3ONdPghjFkyDF+iSgXBSaKCXIk1BQV8qCurCPgRzFY6DE+hhgr9JpXqRL05xBQVAWuu/VKPpei7XvsVd/NC/+5EAmQBRWylJ2YZ+DXBTPQT7W5wB7xUHzgkMJ8hxUhZXb8sI+BUI0sWG8wSE2rUszqatOeA6sfExORJjzGR0swhMQSUwoxBsUYpNXNFNX2vRoIL9SFhc3GhAiCQWFeGNBLK8ETVaJXMDBoSSDLZAXd3goRBIcCvFGhwKWS4Amk0A+4OMgq/A4qIsbIgqRxIhCvEGigE0bCjTzhsKkiUPsgVAleCDc/b0W74EQI4kWxXijRQGdS6SaTJw0mzhM45OAoFGMJGgU4w0aBWwqUaCZSxQmTSZ6HoRteBDuPL+4w0cxkvBRjDd8FLC5RIFmMlGYNJuIeYicZRi0xX0gIokgxZgjSGyCUaCZYRQCTTHCA5GHByK/uDGkGEkMKUYSQ1aavb7vQwE/zvQG2jzbeg3tfLQYStZMpPNxlfTY9sFBzzA5S8ODUyqDGkHVnunl6SS1JVRtgbHaM73pm6S2hqotMlZ7pjdTk9TOompLjNWe6aXKJLVlVG2ZsdozvQOYpLaIqq0wVnumKetJaguo2ipjtWeaZ52kdg5VW2Os9kwThJPUVlG1c4zVnm0my1FWQPTOR2K4Z5xycbQVsccbf76Zaz7b3MBEzXGDwtrrzDiYnag57uZZO54Zh18TNY/G98w4TpioOR4RsnY/AuY2BWq/iWqO20TWHkjAPKdA7TpRzfG4kLUTEjDnKVB7T1Rz3H0y90OY/xSoHSiqOe6J8qxHPpgHFahdKKa5iIfjAvNBG5rpldqJSpjq0ThREU27SO1EZUxz3Iky1xwdclI7UVRz3Imydv8ivntpKM1xJ8ra/Yt4Io9QmuNOlLX7F9El9tROFNUcd6Ks3b+ILoSldqKo5rgTZe3+RXSZGrUTRTWPZgwqorufUDtRVHPcibJ2/xK6OQO1E8U0l3Anytr9S5gPlah9qIJpHo0PlTAfKlH7UFTzaAaiEuZDJWofimoezUAU3QF8+gbgjroqpjnuiZg/LZgPnb798UTNcU/E/GnBfOj0zV8nao57IuZPC+ZDp299OVFz3BOxjlvQ7fmm7843UXPcE7GOW9AdxKZvIDZJcxn3RKzjFnSDo+n7G03UHPdErOMWdMeR6RuOTNQc90Ss4xY0/f/07P8TNcc9Eeu4BU24PT3f9kTN8dEc82kLNMft9BS3E1X3caKsvSiaUnJ6RsmJquNeVGD+zhlzo9OTvU1UHXejAms/iiZlmp6TaaLquB8VWDtSNGfK9JQpE1X3eUPH2pPKmCeVQ3lSxWdilLUrVTBXKodypYrPoI61L1UwX6qE8qWKz8woa2eqYM5UCeVMFR8aEWtvqmDeVAnlTRXcm4qsvamCeVMllDdVcG8qsvamCuZNlVDeVPEZk7L2pgpKKgrlTRUf7hlzFhfmTZVQ3lTBvanI2psqmDdVQnlTBfemImtvqmDeVAnlTVXcm4qsvamKeVMllDdVcW8qsvamKuZN1VDeVPWZI2XtTVXMm6qhvKnq86KRtTdVMW+qhvKmqs+bRtbeVMW8qRrKm6q4N5VYe1MV86ZqKG+q4t5UYu1NVcybqqG8qeozxcvam6ooTTeUN1Vxbyox50Vj3lQN5U1V3JtKrL2pinlTNZQ31Xw49Ky9qYZ5UzWUN9Vwbyqx9qYa5k21UN5Uw72pxNqbapg31UJ5U83nlSNrb6ph3lQL5U01H/Ira2+qYd5UC+VNNR/iDmtvqmHeVAvlTTXcm8qsvamGeVMtlDfVcG8qs/amGuZNtVDeVPN5Y8ram2rowpdQ3lTDvanMfKUR5k21UN40h3tTmflqI8ybaqG8aQ73pjJrb5rDvGkulDfN4d5UZu1Nc5g3zYXypjncm8qsvWkO86a5UN40h3tThbU3zWHeNBfKm+Z81pKw9qY5zJvmQnnTnA8PlrU3zWHeNBfKm+Zwb6qw9qY5zJvmQnnTHO5NFdbeNId501wob5rzISCx9qY5dClpKG+ax72pwtqb5jFvmgvlTfO4N1WYr9/FvGk+lDfN+6zzZu1N85g3zYfypnncmyqsvWke86b5UN40j3tTlbU3zWPeNB/Km+Zxb6qy9qZ5zJvmQ3nTvM/STNbeNI9503wob5r3WVbC2pvmMW+aD+VN87g3VVl70zzmTfOhvGke96Yqa2+ax7xpPpQ3FbI+hF7mC5GzaHaGUP5UyPqk8WC+FjmLp2gI5VKFLO5TVfZ5MdA0DdlQXlXI4m5VZe1WSUWo9qEcq5DFPavG2rOSilDtqX2rhmofzToZUg+qPLV3xZWPZqkMqQdVntq/4spHs1qG1IMqT+1hceWjWTBD6kGVp/axuPLRrJkh9aDKU3tZVHkhmmUzApoCybylMMpHs3JGwPMg0SdCyqHKR5RPyCcVErWPRZX3sfPMrQ2eDYk+HRKuvM8rPubKox6WPiMSrrzPtCRz5VEPS58UCVfeZyjFXHnUw9LnRcKVx+08e2uDelj61Ei4tcHtPPOIHk+ORJ8dCVcet/PMA3o8PxJ9giRM+Yhy9Qh4hiT6FElYlkHBJ3Mccx+F5kgS6JMk5VHlfVZKMlcedbD0eZJw5X1WdzBXHk83SO1gceV9GKnMlUcdLH22JFx5HxYNc+VRB0ufMAlX3ufNH3PlUQdLnzMJV95ntpK58qiDpU+bhCrvk06OeXSAJk4S6DMn4crjTop5dIDmThLokyfhyuMDKebRAZo+SaDPn4Qr77N2kvl0H5pCSaDPoYRr7+NimftYNI2SQJ9HCdfeZ7KSfUpf1MnS51LCtfdJScDcy6LplAT6fEq49j5ZCZi7WTSlkkCfU0lAk7T75Jpj/9yjfpY+r5KP9j7LKZlrjzpa+txKuPY+uTjYP/eop6XPr+SjfUThJZpiSaDPsYRr75PZinmIhqZZEujzLPloH02eRQFNtSTQ51ryeXKiybUooOmWBPp8Sz7a+8yDMA900JxLAn3SJR/1fdJzMLeZaN4lgT7xko/6PmEm+z0A8FT6Id2tX9Ir5uNaNP+SQJ+AyUd9n0CTvdlEHS59EiYf9SOaVEDTMAn0eZh8tI9o2h7NxCTQp2LCtfdLxsQ80kSzMQn06Zh81Pex+ux38EBdLn1KJgGd//ZLysRce9Tl0mdl8tE+otl7NC+TQJ+YyUf7aNLWC2hqJoE+N5OP9tGkrhfQ7EwCfXomH+2jSV8voAmaBPoMTT7aR5PCXkBzNAn0SZp8tI8mjb2ApmkS6PM0+Wgf0RALzdQk0KdqwrX3SdbEfIiFJmsS6LM1+Wgf1RALTdgk0Gds8lHfx9ky97Zo0iaBPmuTj/o+Qyzm7hZN3CTQZ27yUd9niMXc36LJmwT67E0+6vsMsZg7XDSBk0CfwclHfZ/JfPb7xaEelz6Lk4/6PrP5zF0umshJoM/k5KO+z2w+c5+LJnMS6LM5+ajvk2uYudNFEzoJ9BmdcPV9cjoxTx8roEmdBPqsTj7q+2RJZO510cROAn1mJx/1fWjIzL0umtxJoM/u5KO+zxiXuddFEzwJ9BmefNT3yT/M3OuiSZ4E+ixPPur7sNSYe1000ZNAn+nJR32fBT/MvS6a7Emgz/bko75PLmL2W7WiXpc+45OP+j75iJl7XTTpk0Cf9clHfZ+X6My9Lpr4SaDP/ISr75P7iXmaWQFN/iTQZ3/yUd8nmyJzr4smgBLoM0D5qO+TUZG510WTQAn0WaB81PfJqsjc66KJoAT6TFA+6vtMLTP3umgyKIE+G5SP+j6Lr5h7XTQhlECfEcpHfR/+DnOviyaFEuizQvmo77PQlrnXRRNDCfSZoXzU98lbzH6XdNTr0meH8lHfJ3cxc6+LJogS6DNE4er75Ihino5WQJNECfRZonzU98m6yNzroomiBPpMUT7q+2ReZO510WRRAn22KB/1fbIvMve6aMIogT5jlI/6PvmMmXtdNGmUQJ81ykd9nze6zL0umjhKoM8c5aO+z6Jn5l4XTR4l0GeP8lHfhzbL3OuiCaQE+gxSPur7JLhg7nXRJFICfRYpH/V9chwz97poIimBPpMUqr7ok0qKedpaEU0lJdDnkvJR3yc7I2uvK6LJpET6ZFI+6vtkaGTtdUU0m5RIn03KR32fLI2sva6IppMS6dNJ+ajvk/eYtdcV0XxSIn0+KR/1fXIfs/a6IppRSqTPKOWjvg+RirXXFdGcUiJ9Tikf9X2SjbD2uiKaVUqkzyrlo74PcZm11xXRvFIifV4pH/V9Ekux9roimllKpM8shavvk3KEeXpbEc0tJdLnlvJR3yeFI3Ovi2aXEumzS/mo75PDkbnXRfNLifT5pXzU90niyNzrohmmRPoMUz7q++RHZu510RxTIn2OKR/1fXIkM/e6aJYpkT7LlI/6PnmSmXtdNM+USJ9nykd9H/4yc6+LZpoS6TNN+ajvs0aUuddFc02J9LmmfNT3yULC3Oui2aZE+mxTuPo+eUiYZ78V0YRTYoCEU7j6PikdmXtdNOWUSJ9yykd93OtqzL0umnRKpE865aM+7nU15l4XTTsl0qed8lHfJ3cyc6+LJp4S6RNP+aiPe12NuddFU0+J9KmnfNTHva7G3OuiyadE+uRTPurjXldj7nXR9FMiffopH/V9lg0x97poAiqRPgGVj/o+q3SZe100BZVIn4IKV1/yyf7F3OuiSahE+iRUPur75P9i7nXRLFQifRYqH/Vxr5tj7nXRNFQifRoqLOO/KOFOl4P2qNOlT0OFa4/7XA6PDupz6dNQ4dr7uFz2uEVdLn0aKlx7H4/L3GiiaahE+jRUuPY+Dpe5x0LTUIn0aahw7X38LfNwAU1DJdKnocK193G3zGM1NA2VSJ+GCtXeJxMS+0AZTUMl0qehwrX3GeIyH6WgaahE+jRUuPY+I1zmQ0Q0DZVIn4YK195ngMvc16JZqMQAWahEVP1oUlqLaBIqMUASKlz7aHJai2gOKjFADipc+2jSDopoCioxQAoqCdXeZ40oc+1RXxsgAxWqvU8WJPZPDuprA2SgwrX3WavCXHvU1wbIQIVr70OaZa09moBKDJCACtfeh73DXHvU1wbIP4Vr7/Makbn2qK8NkH9KRrUPtRlcod/vNu8O+saY6u4vWJtPbXGiDLEmoJJ7nZsv6a2BsXp9+MVqsdMaHLWhpP1pddPQ95vtQ6esc7haPmx3usb+zQO91SPfO4du23jzotX6Jy0DvrE+2DfvqZb2zlF+OcWdC6fvfEs/or1xqyj1fQtj9y2Ev280qqK4b5G6x4XwPT5+52L4O8cisqnxGNFAOn3nt9vNfg+7c3H8zu2yIe5cCn/nWDQ3NZYjGsin77zW1/sD9Nal8Vt3Coe4dzn8vWOx4NRIkGigjD/v3SZo54d3GXvsrVMyoYGvhG8ILKycGlRao8DRhiivC9j9K+P3v333Q0ajnzFPCHHzavibx6LSqTFp2dw08fTNi9jNqxNuXgx181r4m8eC2qkhbdncjGv05ouddl9vto0u1gTaeBN4yodogVz4FkD5jVPj4rK584JPE9T3To5RO5Cb0A72SSEaI8+gMfANr2lin7Gwj1/wI44HPwyiPp+tPGnufSzw4xkAIXfPIPbD9wKlif6EsfCPZxCE3D2D+A/fTJQmAhTGQkC+gRBy/wyiQHw/Upo4UBgLBCMMhpDGYBAW4vub0gSGwlhkyDkgQhqAQTiI75FKExAKSETINShCGoBBSIjvs0oTFApjUWEUgRHSCgxiQ3zDVproUPAPD2eKjTIBYyOkPRhEivgmsDShojAWK/ILjqTxe2cQGOKEXprAUKSfD2QQHI3fvchiQhBfhUNz92OhIc/gCLl7BqGhD52Y5u7HQkO+wRFy/wyCQ5yPTBMcimPBYYTBEdIYDCJFnN1MEymKY5Ei5+AIaQAG0SHOj6aJDkUkOuQaHCENwCA6xBnWNNGhOBYdRhEcIa3AIETEido0IaLoHyJGEhwh7cEgWMSZ3zTBojgWLPILjuTxe2cQGOK0cZrAUBwLDHkGR8jdMwgNUdb5dNI5PIljoSHP4Gj87iUGoSFKWp/OWYe7HwsN+QZHyP2zeGeMBYfTWe9w/8hr48iCI6QxGESKKIt+OokeGmMsUuQcHCENwCA6RIn403n40ABIdMg1OEIagEF0iHL5p1P5oQHGosMogiOkFRiEiOiagOlLAqAV/EPESIIjpD0YBIvoKoPpiwygPcaCRX7BkTJ+7wwCQ3SNwvQlCnDvY4Ehz+AIuXsGoSG6xmH6Ege4+7HQkGdwhNw9g9AQXSMxfYkE4HAsNOQbHI3fv8wgOERXWUxfZAH3j7xSjiw4QhqDQaSILtqYvmYDGmMsUuQcHCENwIJkiEWH05d9QAMg0SHX4AhpAAbRIbp0ZPrKEWiAsegwiuAIaQUGISK6BGX6ChRoBf8QMZLgCGkPBsEiuqhl+poWaI+xYJFfcKSO3zuDwBBdEjN9RQzc+1hgyDM4Qu6eQWiILqmZvqIG7n4sNOQZHCF3zyA0RJfkTF+RA3c/FhryDY6Q+2cQHKKLeqav6QE7hLxSjiw4Gm8MhUGkiK4Rmr5ECBpjLFLkHBwhDcAgOkS3uZ++yz00ABIdcg2OkAZgEB0qWHSo0ESHylh0GEVwhLQCi+UoWIio0ISIin+IGElwhLQHg2BRQdeoUC1SGQsW+QVH2vi9MwgMFSwwVGgCQ2UsMOQZHCF3zyA0VLDQUKEJDZWx0JBncITcPYPQUMFCQ4UmNFTGQkO+wRFy/wyCQxULDhWa4FBBXilHFhwhjcEgUlSxSFGliRTVsUiRc3A0</t>
  </si>
  <si>
    <t>3gAqg+hQxaJDlSY6VJHokGtwhDQAg+hQxaJDlSY6VMeiwyiCI6QVGISIKhYiqjQhouofIkYSHCHtwSBYVLFgUaUJFtWxYJFfcJQbv3cWa5exwFClCQxVZPkyv+AIuXsGoaGKrlimWrI8FhryDI6Qu2cQGqpYaKjShIbqWGjINzhC7p9BcKhiwaFKExyqyCvlyIIjpDEYRIoaFimqNJGiOhYpcg6OkAZgEB1qWHSo0USHGhIdcg2OxhtAYxAdalh0qNFEh9pYdBhFcIS0AoMQUcNCRI0mRNT8Q8RIgiOkPRgEixoWLGo0waI2FizyC47y4/fOIDDUsMBQowkMNWQ5M7/gCLl7BqGhhoWGGk1oqI2FhjyDI+TuWeSywUJDjSY01MZCQ77BEXL/DIJDDc1nQ5XQBnmlHFlwhDQGg0hRwyJFjSZS1MYiRc7BEdIADKLDHBYdajTRoYZEh1yDI6QBGESHOSw6zNFEh7mx6DCK4Gi8FXIMQsQcFiLmaELEnH+IGElwhLQHg2AxhwWLOZpgMTcWLHJM8jie3TLHIDLMYZFhjiYyzCHrmTlmekRun0FwmMOCwxxNcJgbCw65pntEbp9BdJjDosMcTXSYG4sOOed8RBqAQYCYwwLEHE2AmENeK0eX+BFpDRbZD7FwMUcTLuaQBIh8sz8iLcAgRsyhORCpkiAiMSLfFJBICzAIEvNYkJijCRJz/kkQeeaBRJqBQaiYx0LFPE2omPcPFSMJkpAGyTOIGvNY1JiniRrzUabCRjJhMggR81iImKcJEfPR5sNGbp9BkJjHgsQ8TZCYjzYpNnL7DILEPBYk5mmCxHzUmbGRBmAQJuaxMDFPEybmY02PjbQGg5gxj8WMeZqYMR95jmykBRjEiXksTszTxIn5yBNlIy3AIlU2FifmaeLEfDzZspFmYJIvG02YTZUxm3HK7MBhEtIiLJJmZ/Gs2XRpsyPMmz2y9ZZ112b94RsATZ2dpcqdnY00eTbaBCzSZ2fR/NlZqgTa2UgzaKNNwCKHdhZNop2lyqKdjTiNNtoILBJpZ9FM2lmqVNrZOHNpoy3CIpt2Fk2nnaXKp52NOqE22gosUmpn0ZzaWaqk2tmos2qjrcAir3YWTaydpcqsnY0ltTbaFCySa2fR7NpZqvTa2Zjza6ONwiK2RDdjMZuKolEiTLI9sqGg0wBM9l9BQ0m6HVjGt2DhGkkhTcBkGxaffVjoNmKJNN022gQsgkl8Mxa63VjGt2PhHElhjcAinMT3ZKHblGV8V5YoIymsRVjElvguLXTbtIzv08I7ksJagUU8iW/PQrc/C7ZBC99ICmsFFvEkvkcL3SYt47u0RBJJYU3BIqjEd2uh265lwn4t0URSWKOwCC/xzVvodm8Z376FYyQ1nnFTYLFZi4Dv1kK3Xcv4fi1cIymsCVgEk+imLQLVri3C+LYtXCMppAlYbNwioDu3CFRbtwjje7dwjqSwRmARTqIbuAhUO7gI41u4RBlJYS3CIrZEt3QRqPZ0EcY3deEdSWGtwCKeRPdyEag2cxGw3Vz4RlJYK7CIJ9ENXQSqHV2E8S1dIomksKZgEVSiW7sIVHu7CBM2d4kmksIaZUJ4udaB2zN/9baI52vMe9L4TttzVshdWJU/armftzptovzwp9U7RvPwXp8UqRr7zcHR6nX7C2iiTrfc3jcekR+HB4VBv3Ok95sNs+mcEqvXPXrT3BvqFmm6eQHuDd2ujGYzlgW4N3SDCZps4gtwb2h2YJp0mAtwb2gaN5psTgtwb2guDpr8Awtwb+hiSprVcwtwbyjvnYb0vQD3hr5IouIoLcLN4Xwjqpdki3B7+AsgqombRbg9fDROFWMvwu2hQ2uqkfUiBCn4OxiqIfMixCn4yxWqsfAihCrhd7af79sLvW/9fN9e6A3p5/r2wu8vP9+3F3oL+fm+vdB7xM/37YXeBH6+by/0Hu/zfXuhd22f79sLvSf7fN9e6B3X5/v2Qm+lPt+3F3pn9Lm+vfCbn8d4e9bbp7Hb83wd8iXQdc+laKoL+V4maHUhX5UErS7k24ug1YV8oRC0upBz/EGrCzntHrS6kDPhQasLOTkdtLqw88WB6ws9hRu4xtCzqoFrDD3RGbjG0HOPgWsMPR0YuMbQM3SBaww9aRa4xtDzWIFrDD21FNjTh57tCVxj6AmYwDWGnhMJXGPoaYrANYaeOQhcY+jBfOAaQ4+vA9cYesgbuMbQo9DANYYeGAYO90OP1QLXiNkcicbmSDPaHAmzORKNzZFmHURhNkeisTnSjDZHQgdSVCOpGW2OhNkcicbmSDPaHAmzORKNzZFmtDkSZnMkGpsjzWhzJMzmSDQ2R5rR5kiYzZFobI40o82RMZsj0dgcaUabI2M2R6axOfKMNkfGbI5MY3PkGW2OjNkcmcbmyLPO3WA2R6axOfKMNkdG52+oJnBmtDkyZnNkGpsjz2hzZMzmyDQ2R57R5siYzZFpbI48o82RMZsj09gceUabo2A2R6axOfKMNif8ZvaBawy9Y3zgGkNv0R64xtB7ogeuMfT+44FrDL3Dd+AaQ++rHbjG0HtZB64x9P7RgWf/Q+/YHLjG0NsiB64x9D7EgWsMvfFv4BpDb7IbuMbQ29gGrjH05rGBawy9YWvgGkNvkhq4xtDbkgZ+BRh678/ANYbebDNwjaF3twxcY+idJAPXGHqvxsA1ht4hMXCNoXclDFxj6J0AA9cYeu+9wDWG3uAuMA8g9I5ygWsMvYVb4BpDb5cWuMbQG5IFrjH0LmCBawy98VbgGkPvdRW4xtCbSwWuMfQGToFrDL1hUmAyUOgNigLXGHovoMA1ht5sJ3CNoXe4CVxj6E1lAtcYeh+XwDWG3jglcI2hNycJXGPozUAC1xh6843gjMDQ+1wEr5LBRhLBK2WweUPwShlslxC8UgYbFASvlMGGAMErZZBzP3ilDFLcB6+UQUb54JUyyN0enDHMIDd68EoZ5CMPXimDDODBK2WQczt4pQxyXAevlEEa6eCVMsjaHLxSBkmSg1fKIB1x8EoZpPsNvqKAQYrd4JUySGobvFIGaWSDV8ogbWvwShlkRg1eKYNEpMErZZD3M3ilDDJsjlZaM471rt7vdHvl9kHHW+/oLzMtZLzV7QyOyXVuvrB63f28um40mkd6Cz4vr173HK1eH62TfFGo3Xm5sk6qJZ/tuqw/+tHNi5fPnTv3CYXesdHeMxr3ls2yy1B42T0N8oF2O62W0X2KFL5U7zxsG9031s1sni/pXTPj57DMa60fKs1ef/jlsHRztPTb6jvdzkGzZfhc7a31WsNok9M6tf5g/+TUr6+v7+mH4ye9zv56VAencPO0vuRr0azeq6/75ehF3jT84VSlFzz/3ni6Qe90uvfvdjr3HyMN+ALa2j73/5hv9yDKTb96c/zqEnrC5F6B8wT0vEm9BWd9EnoW2otQ/BMnFB+/90kXR+4cb1fkafBvV5+nBE5YmnwCcrPw/5XzIN4K4mNBvA1EBsTbQVwD8XEgngfxDhAfD+KdRFy8QsRbTle7Cyalqrf1Q6sWG79X6r17htGv6sdTHte3nv6xBufZVz0e1fsTQYsnicicPqnQaBi93oah9wddOE8ihV5daPSbD/S+UWseDVp6v9lpP13Y3x89Ig1Gih8324f20XsHeqvZP3nCOuo9Rf463dt7tbvinPx0+5iYWuM5y6aW2g+a3U77yGj3n7a+2R20oSOetY6Glb6q2Dk+sbqoAxWYx/Bhr2N++8y60TL6htNEz5YeHXe6/eH5z5aPRr+4an0Bl3hN2bTrDkjMZ+AZ6zvys3n4nHvoIMIu4By+hmjRPDgZucbrrO+GbWWd6H7rPXSu81y188AYucpr4JtT13jK/m544Jz/qh190PO027O7RrPd9Nz3a3aNo9NVPGt/5z3raKTW4Rd2R191v+g943607sA9dHWyvnGfh2fcY/Pnp0mfe56u2j3wwod6u/kRo/sMHA1/fKbW7xwPD9/0UtN4aD6u3icJQP8c/EJwfNA8HHTNspfhm0qHPDnwwX7MoOir4Xh4TfjqWfjK1M1GqFnG0d8CzWu8X9mtdCH4v485DUkzmLCqAASnv6e/p7+nv6e/p7/P8jv8f/63P/rRj/4x+f9xOPgt+8D85Te9B7/hPfh178GveQ9+1Xu1X/Ee/LL34Je8B7/oPfgF78HPey/9c96Dn/Ue/Iz34Ke9Bz/lPfhJ78FPeA9+3HvwY96DH/Ue/Ij34Ie9Bz/kPfhB78EPeA++33tz3+c9+F5vse/xHny39+C7vAff6T34Du/Bt3sPvs178K3eg2/xavDN3oNv8h58o/fgG7wHX++92td5f/la78HXeA++2nvOV3kPvtJzcAHmLb778dpJr28cLRdhwNWACKy3fMsgQ6FmY3m9aX6hd08+KL7vfXbBWr9LQq0XMke9Rqfbat59IfOS0e2RYjfk5Sz890KmOGjBgOZG2xj0u3rrhczO4G6r2XjRONnr3DfaN+5qmq40FFXIS7KRzeU/8ML7gmpRbvclkZMS1i5AbC/+AcaXg35+wr7O5WLn6FjvGt3Lm3rvXo3E7eceP3f5C89PaFP7b+nD1mjCucAHBa7d/AGYVjt35QPnrH9PPA0ShsjPwuP4ptOmtOyE9/C0Pv3sE884xS/A/2OWtzwcRJhj74tw1uNP1cmfF1udQ7lt9Ic3IZJbEGSau1DVvJHd3z/I3r0r6LqoX3ztOWQaw9vIpQdkFFQlDoAMXQrdrn4CnXWprsPHS/VGZ9DuX6k3Bt2K8cBoXTh34WNPX8x7gfd9AG7m8qvtOyAVdY1l88y67V6ufJCIryXtckUnHy6+johrYxMNtfLysHmKes+4Soo9V9/uNg+bbb210WwZO3r/3tV66eiusQ8Fnq6DdH54nXkEw3vyVKw3u+ReO92TZ+p2e24fm8ND59B6eF5Vh4Fmn3yyfn7aPd4hI//n3KPNTq/f1o+Mq1BZxWgf9u+dP3ce/pH7O3/5ijk/c5eI966vvL9EHtzDE5gfBRcLfwGs7988IePs95u3/f6dk26nddJr9urv6bSNXl1RhHqz3e/UFU2oH3S69hB6+e7943NX4LqXGkQoUy9O2gmu+n7nZ5i6urRPTr1aaJ/Yd37lObjeAXRLuW0XhMf2qv3Mn3v2DVAA/j+Eo+pL28s1Ax4dY7/SbN+/dO8cMmO30eke9dDpyktNUJ2+/LI5rIYdAI1LHyKnvttnPo4U2jOOjsnzYqwNmq19ozs6F7tcHHS75Cm9dJ9cpDDrRZxfe5daYXRZNw50guJn3+g07RERT8Jkw5+2rNmVNnRIB/rhyjHIC28i8hnb1Nldd8FEaVX/UKdL/jTb8Mes7wp5Uh80oQh04GXy7zG7Mz9q/7sIU5OBZ7CfqPfN+Rh77vHxC29BLDaYdLMY9esId/LxwyDA5F6ESVPq+fLz59zp0AvBKzXre9vU5kAmnq/WHzgzVLxapOdqmDk3+xw/734buFrC7PZsbxR46/jQ1fEaZrAmv7/grdyJqxy8FKB/W8LgyX9+Smuceu4Z1PgOX2wj72wY1Pfxvtj2ee3DoM53YiHX1DdHvB+zT3X1gzc8k98InTcNXLNN9IAaH5+oinn1T4MgF0LleQzkwfk98UEnHoeA/MLYKzZvFGve0Z8B8WdBfDqIzwDxmSA+C8Rng/gcEJ8L4vNAfD6ILwDx50D8eRB/AcRfBPGXQPxlEH8FxF8F8YUgvgjEXwPxxSC+BMRfB/E3QHwpiL8J4m+B+NsgvgzE3wHxd0H8PRBfDuLvg/gKEF8J4qtAfDWIrwHxtSC+DsTXg/gGEN8I4ptAfDOIbwHxrSC+DcS3g/gOEN8J4rtAfDeI7wHxvSC+D8T3g/gBED8I4odA/DCIHwHxoyB+DMSPg/gJED8J4qdA/DSInwHxsyB+DsTPg/gFEL8I4pdA/DKIXwHxqyB+DcSvg/gNEL8J4rdA/DaIfwDiH4L4RyD+MYh/AuKfgvgdEP8MxD8H8S9A/C6IfwniX4H41yB+D8S/AfFvQfw7EP8exH8A8R9B/D6IPwDxn0D8ZxD/BcQfgvivIP4biD8C8d9B/DGI/wHif4L4ExD/C8T/BvF/QPxfEP8PxEdBwFN75TyIx0A8DuICiIsgLoF4AsRlEPAS98pVEE+CeArE0yCeAfEqEM+CeA7Eq0G8BsRrQbwOxOtBvAHEG0G8CcSbQXwMiLeAeCuIjwXxNhAZEG8HcQ3Ex4F4HsQ7QHw8iHeC+AQQnwjik0C8C8QLIJZALIO4DiILQgAhgpBAyCAUECoIDUQORB7ECohPBrEK4gaImyDeDeJPgSiAWANRBLEOogRiA8QtEJsgyiDeA+JFEBUQVRBbILZB7IB4L4hdEDUQeyBug3gJxB0QL4N4BcSngHgfiPeD+ACI/w9EHcQHzdEwiLsgGiD2QRggDkAcgrgHogniQyDug2iBOALRBtEBAeb7yodBgDe70gPRBzEA8QDEQxCPQJyA+AiITwXxp0F8Gog/A+LPgvh0EJ8B4jNBfBaIzwbxOSA+F8Tngfh8EF8A4s+B+PMg/gKIvwjiL4H4yyD+Coi/CuILQXwRiL8G4otBfAmIvw7ib4D4UhB/E8TfAvG3QXwZiL8D4u+C+HsgvhzE3wfxFSC+EsRXgfhqEF8Dwpx1+DoQXw/iG0B8I4hvAvHNIL4FxLeC+DYQ3w7iO0B8J4jvAvHdIL4HxPeC+D4Q3w/iB0D8IIgfAvHDIH4ExI+C+DEQPw7iJ0D8JIifAvHTIH4GxM+C+DkQPw/iF0D8IohfAvHLIH4FxK+C+DUQvw7iN0D8JojfAvHbIP4BiH8I4h+B+Mcg/gmIfwrid0D8MxD/HMS/APG7IP4liH8F4l+D+D0Q/wbEvwXx70D8exD/AcR/BPH7IP4AxH8C8Z9B/BcQfwjiv4L4byD+CMR/B/HHIP4HiP8J4k9A/C8Q/xvE/wHxf0H8PxAfBQHxy5XzIB4D8TiICyAugrgE4gkQMNC9AvMvV66CeBLEUyCeBvEMiFeBeBbEcyBeDeI1IF4L4nUgXg/iDSDeCOJNIN4M4mNAvAXEW0F8LIi3gciAeDuIayA+DsTzIN5BxDMvE3FRJ3YcmRSDqbanjuot+PyS3hoYT9oHW/qR8Wr783qzd9zST+Crc+fPX4aJtD9FwoBLH08ufKG8tbF9BT5dhOH+GGXnVre5b06fVA0gO3SegArJxTqDPom0DP3o8m7nYRHm+J5y5nXIF71njEfHenvf2DffD/We3Osck6/NrR+e3ug0Bj1j3yJPPmsfkV83yQkt4/FzT0Adr3cmvreXSc2d7old22VnPuLKO4k0HeAnQEt9IhHgleEf+MaLMPtxA58oWtN7BtyXHeO+y4ylK/Y9DW8VanmODI+PjW7/BMrfae73773O+81LzV7zLgSi585dhufr3O9C/RdhzsVvzOCZ3RkGuOaU38iM6YVzz0+/gD1ZajbHJz1mTQZdgGmQieE2NO/VSkff39BhVnNsWv1ZKFkkgwxypw+a+5559gskRO5dMp+z3rlzjz9+7uLFJy9jdZWdaz2P/Th2/d9/b+7drwatrppctndBh75AxHmYwID7gQIQfly9atrXJSiwDAUGngLnzCsAIq5chwJZKPAQLyBAAREKnOAFJCggQ4FPxQsoUECFAp/mKXDRLAAtfEWDAjkAFgwEpg4XLtUN+OZy/cj67sL5N43CvXN4SAY25mnuVHjeNETk03kYZ5gDjk+G52CViBurqxnSwqTDjzKk7kbzoNkwp8N7mSPggDWN/YwgrMjiiqJkqp125j2Ddib/QkbMisrNm+c/3bngDbeOz3C+erf71Wc6XxWg2jUi3rF0054HJtpmmu3jQf909cvLy+c/yzmx6F7rs52vSu5Xn+N8dcv96nOdr8pQ43uIEDKZT8pkMncKu1vlrVuZO5vlSilT3CwVX4TD8tbO7b1MbadULG+Ui4W98vZW7fznORd5ES5SIWI1Y/4rbxXJ7+XaXmlrL7OxWyqRy+6VdjO10t4eXG29tFcq7pXWMxvbuxklU9vbLRWqtfOf71yvCtfbIqJiXa+2fXu3WMqsVbaLL2bsf97LmueT79ZLNXJ9Uzu38LDc+S9wrr8N198ZXv/G+L/M/8/eecdHUfz/n5MkJKF3EMGjKS2QXpBiGiSQAumAGFMOEkgjBQgWxC6CKAgqKCoICAiKDUUBQVFRARsoKiJYQRERsWH57Wvu3kNmNzNzSfzy+f3hPfTNZN47z9frPbt3u7d3t1tLU7OcbS7xx4KfYoQYJz/NLzDC3y4+xsWmUjMwIsTZyIhM8AuJiBCWS0q23UHcVHDTjBBLAwNi0sckmJbnTSPtF6DQt80jcDrAGW4bDvKvYTgoQFzSMDyfuJngZrk/EeEB57ih1om4k7jjwB1fl4nIOqefZZ2IBQSewJ8hd1HXRN51N3VlQ/4qI/TxGzaisKSwosB4FSg793wtccwwPVttC2lsDsctoq484PKN0MHYXIuM/T7OAdnpkyP7YNs9tKSDD15MXZMxuMAIw+1RRaV5U+29khMyYlP8A+x9Eh2VBaX5g+2ZsSONp2J8Ul97QU6FPdfhKLHnOyYVlhimK0vteaUl0x3lkx22JYQsBHKKEc5NUgU7bqgYbE/xCwwMGRgYGGbMamCE7V4aM5U7u4+6ioEpsToLrLOz+wmJowkvfFH64tqchQT4D4yLHu0Xl5xmW0pDpnFjy6gL37HxqrQaCz9nLDU2OtJ47bJrjD1AyCogpxuhU405M7YAY+3Zx4xLSY5Psj1Iy87gjpZTVzWGz7I6iqizo4cIeTWQ19TuaGxAXGxkmu1hWvZa7ugR6pqN4ddbHBnP9bo6WkHIOUDeIHEUyBytpGVv5I4epa6bMfwW7Bvt0cmJxu7I+TqfnBJj7AKwI0mLi7WPSEjOTI2LjU0bbFtFA2/FwNuMcJk9YUyqPTI+xR6daY9NMHZBKfHR9tToyITY9DH2OCPHXneMGhOj2T/RfoEh/vZYIwbYVhPuduDmGiGcLW7k7GP8wvz92V9h/tQbZLzYBAQ4ewNCgwxKQDiIAf4BtjXEugOseUboioxr6YhAe2pMSmz0uGij0AQ24DEaMB8D7jRCm3MbLVMIDIm0raWlFmCpu9hSfVJi09JTkvjSfW3raKm7sdRCvIoZzx2Ip7I41rmvN9wHBWcZpbF/DPdB4Vm29TR2EcbeY4SO5zbVxPSENGMp50jb47ToYiy6pDYzEX1tG2ipe7HUfUbo75R0KhpbanJ6GuywIoNCGTzEaSsky7aRht+P4UuN0O3chsr8BIcyUkSWc6TtCRqxDCMeqMVWgH9f25O01INYarkRwjA+OAyryYhM3thoa5oLDnEqOf8ytgpjOkNCbJsI9RBQD7PNcIxfoGt7MQ4T8ZJqRGMrM/aqGUYMYvlQVz4EW6GxlpEP9Lc9RbhHgFvBNsPUmMTI0diEjY0mIMS1yQVHYK0GBttj0hP9jCdMlGs7CcWzJ4o9254m1kqwHjXChfZe0X4RLuVw/BHk/CMg2PYMLb0KS682wuBz+xpjSayywABMgrFjYDGc7S3YEygwwMkJDLLHGTHQ9izR1oD2mBEG2q+xgxPi2sfAd2Bcmt343y9uXEyK2B1ne44Ia0FYx3ZXBsG1gzIGJUbGJ7n+dGqH2TbTmPUY83htG2VAX9vztNQGLLWRrX3UEIbVE+RacUERMVgzQQHO6Kov2D+GLcTWZ0Sw7QVCPQHUk2zS2IIRbFoigvihi/PQiA6ojP9dvUYL225QoH+WbQvRNoH2lBEGIBXkXCIAyCC2Boy2v3MQ/ggMcS5le5HGP43xzxgh5NxO+dz+c5Rx4NwLr1TG4BCjMsRQFjEDIYEBtpcI9CxAz7EZusZ1/BqIGUGMCzRgaAc5JyfEeI0wsOHnlFKy0mxbCbUZqOeNMMi5GsmNsVCNv1wrle/qsR1vI8QLQGwxQmsRMSYlxradFnoRC71U26oP7Gt7mZbaiqW2OdeXUU0oPzZP8wv2x+t4sD8mJtiYuDGpkca/QawvmPVhEw4NCLDtINp20F5m0zQyzUhh8wgNwMKh/s6nW2h4BOszhPxCA/1de6IIe3S0sSsyZnwnoXYAtZOh2DKBsBHkfAqydRUUFELHuXQYneEX5tq3GP/aXiHUK0C9yvaoLAdZYw8WwvZnzorDwsOxY/SLT0obaXuVBu7ie+dd1PU6WG9g5+43LDqnKM/1pTEcFxhvuNmb1ddo2d18+OvU9RbveoO69oC41wjBw+xRgJTg0DradVhRkuewJ5SWlp3bDYqHJbbdxNkHzjvsxY1GA8SOPPjB2Zu09LvcyFvU9T4AHxghaJhS0nVIE1/pcP54CX8E2N4mzH5gDmh87KGlP8TSHxkhsCevOV9845KYM9MeW14+KK20yG738x9oHGUEBMT29/e37SXKQV7NPur6BOBP3Z3WCPO0vkOcQ+B8JivHdYT5Li19mBt5j7qOAHDUOq1mydqn9X3CfAHMlxofH9DSX2Hpr+s2rYHhIWGxfsZR2H6ifMOrOUBdxwA+7ua04uBEnNYPifMdON9Ly3EeJn9ES5/gRg5S10kAfrRMq0Wy9mn9mDCngPlJ4+MTWvo0lv7Z/Wm1G9MaERwWxrbWT4lyhldziLp+Bfg3I4S6s7UG2M1vLG2fEel3kP4wQl+hoEpHTrn03e1hGnyWO/ucuv4C72/r5mv1UNs8HyEMvlTv1ahxnWwdpcE2Y5zXBY3rMu3+eLBp/4IojRtTcV9SlyfAXkbobgxi7/8Gu44wgMQ3ZwxTkTEjUiKjbV/RoCac8zV1+YCDM73dXHZqrrlCmpKKwbZvaERTjGjmUnY+knFeJxEh3nmGx1WP7Vsa1ByDWgiD7AE8hDo7goMHhoUG247RoJYY1EocFMgHBbsoA8MDIvxtx2lQawxqIw4KMg3yHxgWFhIcaPuOBrXlE/M9dbUHp0Nj5ykW1wQ7D97OTTCeYrEpthM0piPH/EBdnYG50Irx97dgTtKYLhzzI3V1BaabZXUH1ra6T9GgiznnJ+rqDk4PN1b3aRrREyN6ube6f6ZBvTHoEsnqprORIcEDQ4zX7DM06FIM6qNZ3eEDA8ICw22/0KC+GNRPtrqDXJSBoWHhIbZfaVB/DBogDgq2bCPBYREhYbbfaJAfn83fqWsQOP6WlRtYyzbyB40J4Jiz1BUETLBl5QbVtnL/pEEhnPMXdYWBE+7Gyv2bRkRgxGD3Vu4/NOgyDBoiey6HOTvCwo2VG2LDN3LYoKEYNEy2cl3ryXgzEGEcSdto0HAMulyzcgMGBoZHBNkuoEGRGBQlW7lBrpVrvF823jE3pkHRfDY9qCsWnBGN3dyxBVp3bJ5EGglSXGOcxlHtQWqeHPWisfHcWBPqGg1cQmPnKVbX5kLv3mhzSYzPMjY6bxqSyCk+1JUMyhjXxuKisPd+NTY6vMG1+dKIsRzSlLpSAUkzgh+2NtebitJy1wlJ5/tHIxNXaGx75XkF1a4ybc0IkM6ZzakrE8ysxnj7xI3Ru0wylho75tzKtdBbEGocp7ekrgmgX2Gls3et9FwbFx+bECOjtyIUfqzldaURmgsfzNla0wLZWOCqxngPzx7s9GdyQkJyJj5ii02ITYxNSku1R6bE2pOS0+yGgci05ER7VGRCZFJ07GBbGwLlAJTrVGKenM9uW1taII8X2o66HLyrPXVNBqbAWjteosSXK1ntHQhVyOkdqWsq6EVWuvHWXtwspeutE6GKOb0zdZWCXtbYcjBnfd4xtulg7kLCTAOmvE5PxS40tgJjK63r+yJaoAoLTDeC/7n1bTwx02NT2dnv1ORE/J0SHxmVEOtc7YnxqakGYqCtKzFmgDGzMc6xuBjxqfbEyHH2qFh7dGR6amyMPWqcPdI+PjYl2Q/n0l2frQ60dSMEfpfmNasxzjtyG2NSYjPik9NTyU/yCJc7cpMZn5AADSgMtF1MrKvBuqYx/6AJg1ymxVIG2+w05lqMuc4IbZ1jegSEBvYYwP4N7WHrTovN5iu5B3XNwcgbcLRsrLRA+/Sc8gp7SWkl/6Qif4D1TYrraDnM1pMoN3JwL+q6GeBbrNsmzqPV3PL5B4+WbbM3oW7l9Euo63bQ51peSoVjcfZSeimNuIND+lDXfEDuFF/VnSf37KJFW18asoBT+lHX3aAsNB+R4OSg3XxE0p/GLOKYAdS1GJglVkyYFeNHY+7lmIHUdT8wS0UMOz1ZAzMiITI1LtA2iMYs4xh/6noQmOUmjOtEJsekjkmIT7MF0JiHOCaQuh4BZoU4w9EmN/jcKsUWRENWckowda0CZbUROte6y8MZVVsILbyGjw+lrrUYv87iIsjqIoyGrOeUcOraAMpGd44BImjIE5wymLo2gfKUG8cAl9GIpzlkCHU9C8hzdT8GGEqAzZw5jLpeAHNLQ44BhhPqRU6/nLq2gr6tIccAkYTaDtTL1n1CFC2wAwvsrP8xQDSBXgHoVesxQAwtsIsXGktdr/OuEdS1G5g3G3IMMJJQb3F6HHXtAX1vQ44B4gm1j9NHUde7oL9Xv2OAQNtowrwPzAd1OgZIoLH7MfaAcw9ld2MP5We80wgOCcEeKsCWSJQPeW1J1HUQ4I8bsodKJtQnnD6Gug6B/pkbe6ixNOIwh6RQ1xFAjrqzh0qlIV9wShp1fQXK127todJpzDcck0Fdx4A57tYeKpPGfMcxWdR1Apgf3NpDjaMxJzlmPHWdAuYnt/ZQE2jMaY65grrOAPOLO3uoiTTkV065krp+B+UP9R4qmxY+y8dfRV1/Yfzf7uyhcmjIP5ySS102D5z59HBjD5VHQxp7ECWfujxB8fLQ76EcNKIJh0yiLh9AfD3qvIeaTICmnFlAXc3BbOHRgD1UIaFacvoU6moNehsr3f091FRCtQWqnYdlD1VEC7THAh086r2HKiZQR4A6eVj2UCW0QGdeaCl1deFdZdTVFZhu1trd30NNI9TFnF5OXd1B72Glu7+HqiBUT06vpK7eoF/iUa89VJCtijCXAtPHoy57qOk0ti/G9vOoyycOgeFhgfj8LNA2gyj9eW0zqcsP4IEelpfKmi/crpfKahoziGNmUVcAMIG1vC5EmF8XrqYhQZxyDXWFgBLqga9l1ThlGuxfc4dmPP1s19KAMM64jroiwBgsFuT81sA5RqLzhW42jbmMY66nrqHADPMw7YnwtQPLnmgOjRnOMTdQVyQwUWJF9L2FmhXdyE9ZcsZN/JQlGCM8TK/c+M6D+ZX7Zn5uklNu4accQRllLaiWs9q38nOSHHMbP+cITJKIYV+6qIFJSU1Ljo+23c5PSnLMXH7WEZgUsSbXNzRMNd3Bz0pyyjx+nhGUDHNN+IKHpab5/EQkx9zJTygCM97DdAiEb4jYTYdAC/gJR065i584BOVKD8vRAr5hYjpauJufS+SYhfysIDC51ppqOZJaxE8Ucsw9/EQhMJPMz+tQ4aMl1/N6MT+TyDFL+BlBYKZYn9f4ioz4vL6XnzHklPv4mT9QSsRngesLNsKz4H5+XpAzlvJzfGCU1zK91oOxZfzcHsc8wM/mATPdPL1B/ubDXaOiB/nZO45Zzs/GATPLcgQjPA3YEcxD/JwbhzzMT6kBcp3FS1AtT8lH+Pk1jlnBz68Bc0Mt68jy2ruSn0zjlEf5yTRQbjFvMGEBtWwwq/hZM45Zzc+aATPXupoYSFxNa/h5M455jJ83A+bOWjCBFsxafuKMY9bxE2fALLQUJbzouYpaz0+ccczj/MQZMEvEte38rtY5zJj0xDG2Dfy0GYds5KfNAFlaS0nh4eaSnuCnzTjmSX7aDJjl8OI3jF1PIgdX5bLnsqPeckdFVVGl8zdKm/hJMw55ip80A2SFh+vTNPX7tadp0ErOeYa6VoGzuhZOLW/YnqVBazjnOepaC846C6fWp+VmGrSec56nrg3gbLRyavt8/wUa9ATnbKGuTeA8ZeXU9hnwizToac55ibqeBec51zpXv7veSmM2c8w26noBmC21lFXL9w2206AXOedl6toKzjbXK4VyQ95BQ7Zzyk7q2gHKToubWo+NXqFBr3DOq9S1C5zXauHUMsm7aNDrnPMade0G503r7NT2Ovo6DXqLc96grj3g7LVwat317qZB+zjnTep6F5z3LCu9tuOJt2jM+xzzNnXtB+aAyU7tb5lse2jQh5yzl7oOgvOxyU6tJ6Fs+2jMJxzzDnUdAuYzD/bbq+gCRx4uLWgvK8ipcNgd06oKiwpzywurioVXoHdp7GGOe4+6jgB31AiX+g07d61De17Nr7DmlRaX4T4F+Yz2Pg39gtM+oK6veNd+6vqGdx2grmPQPO6B7xbb+/Uz3jZn5pTj4/8+FX3tMxzlDnthRUWVoZZfhYvw2OPZrz/TynNKKlzujEG2D4n2HWjfe7AfXzIamxV7ZYHDnlJVYsdvsasq7Cmu+ZhUWm4vLjU0cEOb8uJzvI+Id4IbPkhdJ3nXx9R1Cqo/efD39fzBLKRWFRfnlFfbSyfZa0yq8a6wtLyCLWL7hECnOftT6joD9i9G6GK3PsYUVFcUGqvHdogW/xWL/+bBf30qLu76nTnvcP6Umv/F3dk+I97v4P3hwT7hTHOUF+NSl9w7HuZfMFr+th0m1lmw/vRwfVqa6piO1Vs31ufE+gusvz34J6/sUTfWEWL9A1Yjz5os10boHisozHaUWDZPWoNfUFdjo8vLw7MuT9Ivaawnx31FXU2A8/ZkXy6vcaxRc/jXtKwPH/4NdTXlXd9SV3PedYy6WvKu49TVmnd9R11tedf31NUe7jp4uv1b8ZDgwUERtfxW/AQBO3KNH6irM+86SV1dIHuRp9u/Ff+RBnblrFPUdTFYds96/Qr8J4J0B6SHZ0N/BX6aeD3B6+X5b/8K/Gfi9wb/Es9/+1fgZ4h/Kfh9PP+tX4H/Qty+4Pbz/Nd+Bf4rgfsDPMBtw7pfgf9GXD9wB7o/EZpfgf9O3EHg+tdlItS/Av+DwAH8GXKWuoJ415/UFQL5UM+6/Ar8LxobxnF/U1cE7/qHui6DwhBP1Y9qcAUL54lCPtxGXcN51wXUFQlilGcdDnca09BoTvOgrlje5UldI3mXF3XFQ3OUZ8MOd5oQbTRoCZ4NPdzxJl4iN+xDXcm8y5e6xkI1xbPehztNCZTK2c2oKx3sDE/N4U5zWjwTi2d5NvRwpwXxxoE33rMhhzstiTUBrCs8G3K404pYE8G60rMhhzutiZUN1lUNONwJt7UhVg5fg22pKw/4fOXxSTta1sGHt6euybyrA3UV8q6O1DWVd3WirmLe1Zm6SnnXhdQ1jXd1oa4K3nURdVWhhunKGrrSsjP48G7UVY3hs4zQtrmvcRjEnoo5041n9bBhzX1tF9NiV/ORduq6FiOvUwp3p2Vn8+E9qGsO7+pJXTfyrl7UdTNEbjFCS5M5W29a5FYa5YFrYkmunIUrsjfJzq2aNMlR3iS7lF0I3ye7rLSiEE+qJtlF7EL0Ptl5OWU5eYWV1U2znZfwwhWjfLJnlBeya0f5ore0gl1GKruwIrnMUdI1Mae8oiCnKKo6xTHJeS+J/tnZhfmOkkrcoa+R63HBBbhyF65y73O7ZyP+eGRAo0b+lzdi17/3bYlLeRm7kEbe+ElCS1zTCw/vJri4FUuwK1xZLvdvvTIWlveZi3m5A2EewnyEOxEWGKEVrjLVEnTvFiw2Z7EZi01Z9GXRh0VvFpuw6MWiJ4seLDZm8QIWmX9254dWA1wSPndB9W6EhQiLEO5BWIywBOFehPsQ7kdYirAM4QGEBxGWwzauffUbk/iHxb9Z/IvFP1k8y+IfLP7OonP5X1n8hcUzLP7M4mkWf2LxFIs/sniSxR9YPMHi9yx+x+JxFo+x+C2L37D4NYtfsfgli1+weJTFIyx+zuJhFj9j8RCLn7L4CYsfs3iQxY9Y/JDFAyzuZ/EDFt9n8T0W32XxHRb3sbiXxT0svs3iWyy+yeJuFt9g8XUWX2NxF4uvsvgKiztZ3MHiyyxuZ3Ebi1tZfInFF1ncwuILLD7P4mYWn2PxWRafYfFpFp9icROLT7L4BIsbWdzA4uMsrmdxHYtrWXyMxTUsrmZxFYuPsriSxRUsPsLiwyw+xOJyFh9k8QEWl7G4lMX7WbyPxXtZXMLiYhbvYXERiwtZvJvFu1hcwOKdLM5ncR6Ld7A4l8U5LF7P4mwWr2PxWhavYfFqFmexWM3iTBZnsDidxSoWK1msYLGcxWkslrFYymIJi8UsFrE4lcUpLBayWMDiZBYnsehgMZ/FPBZzWcxh8SoWs1m8ksWJLF7B4gQWx7M4jsUsFjNZzGAxncU0FlNZTGFxLItjWExmMYnFRBYTWBzN4igW41mMY3EkiyNYjGUxhsVoFqNYjGTxchaHsziMxaEsDmHxMhYHsxjBYjiLYSyGshjCYjCLQSwGshjAoj+Lg1gcyKIfiwNY7M9iPxb7stiHxUtZvITF3iz2YrEniz1Y7M6incWLWezGYlcWL2KxC4sXstiZxU4sdmSxA4vtWWzHYlsW27DYmsVWLP4f7ywGul7YfR7Ca/3DCI8grEBYifAowiqE1QhrEB5DWIuwDmE9wuMIGxA2IjyB8CTCJoSnEJ5GeAbhWYTnEDYjPI/wAsIWhBcRXkLYirANYTvCywg7EHYivILwKsIuhNcQXkd4A2E3wpsIbyG8jbAHYS/CPoR3EN5FeA/hfYQPEPYjHED4EOEjhIMIHyN8gvApwiGEzxAOI3yOcAThKMIXCF8ifIXwNcI3CN8iHEM4jvAdwvcIJxB+QDiJ8CPCKYSfEE4j/IxwBuEXhF8RfkP4HeEPhLMIfyL8hfA3wj8IOJLxsSFcgNAYwQPBE8ELoQkCth8fHwRfhKYIzRCaI7RAaInQCqE1QhuEtgjtENojdEDoiNAJoTPChQhdEC5C6IrQDeFiBDtCd4QeCD0ReiH0RrgE4VKEPgh9Efoh9EcYgOCHMBBhEII/QgBCIEIQQjBCCEIoQhhCOEIEwmCEyxCGIAxFGIYwHOFyhEiEKIRohBiEWIQRCCMR4hDiEUYhjEZIQEhESEJIRhiDMBYhBSEVIQ0hHSEDIRMhC2EcwniECQhXIExEuBIhG+EqhByEXIQ8hHwEB8IkhMkIBQiFCFMQpiIUIRQjlCCUIpQhTEMoR6hAqESoQpiOMANhJkI1wiyEqxGuQbgW4TqE2QjXI8xBuAHhRoSbEG5GuAXhVoTbEG5HmItwB8I8hPkIdyIsQLgL4W6EhQiLEO5BWIywxAitBrkO51v5UyOAGoHUCKJGMDVCqBFKDVxYFa+kPvcCfR/C/QhLIRJOyWXoegDhQYTlRvDE5VLlV1XF67gvOhzluFSyJ7vAchPXJVp90wqMd1H5SPikFRbjllLFZc0SSp3nx3COxju9wjmwZezMPAe7A5jzXhS+rlMbhY4Kr5jS4pzCEu9417sjm4fN1sj43/hPcsez5ma/5wSR7k7Z9MrCooHnhM7dRBBL4X+vh4wZaB6ZWuO2cewGauyNo9cKtpWnpkVmJxr+sl+a9NqoNYdu81lpdHs9inmNGxcbn+QXOyY2wXl7MDbMZzXya4xwWfRg3CdscnlOsR23Nau4gr9Hc7Zqnl6iu6bbM3BLuiucb3hx3Vp2OduH2DMHptZ7NfQqtj6oi1ezAW43yqt5EsqoxuloqMWRczEwA75wMTeD+bycuUVkDneHuQPMnXLmqyIz0jpzu73c/XBFVH4Lym/LlfeKytHuVLMfzANy5kciM1bBnP/KIifzMJify5lHReZIBfOm4y7mMTCPy5nfi8x466yf8qrPx1DMxezW9zhdnIaLn+UufhFdjLa6OOvVwM+xREN/wdDfckONmgiGEq2GPJv8yx+EiQZxuXgvHGxLDPqKBpOtBls2+Zc/SRMNtobBNnKD7USDY60GOzf5lz6KE411gbGL5Ma6icZSrcZ6Nvm3PssTnfWGs0vkzvqIztKtzvzcnjLNh4FOY+EuY4NgzF9uLFA0lmk1Fub+ulR/migai4CxwXJjQ0Rj46zGIuuyLpUfR4rOouEsRu5shOhsguK1mjMTwUySM8eIzIkK5rEF9zmZmWBmyZnjRWa2dQazm9ThE1VRPAfiuXLxfFE8x52CpoJZJGeWiMw8a0EVTaRX9mZSo72WOqWqIDVdLjVTlHIo7P+22cWcDeb1cuYNInOy1f6tTRp+bXHR0+3wNFfuaZ7oqdDq6e4mblycnIn++JlLdBFE75GLLhFFpyomlzMfBHO5nPmwyCy2FrLKOrl1vjy66GkNPD0m97RO9FRq9fREE/311UXNTdB8Sq75jKg5TTG3X3suczJfBPMlOXObyKyw1vGKdW7rfIV35ungAJenXfD0mtzTG6KnKqunPU0Ul4gXxfZB7B252Hui2AzFpHLmQTA/ljM/FZnV1gKOWCe1zhepFz19AU9fyj19LXq62urpu9on1XntT1HsBMR+kIv9KIpd686k/grmb3LmHyJztrWAfyyTWvfr7DNP76a6PNm8DewF3lJPHt6CpzlWT7hHqfRC/aJYU4g1k4u1EMVuVEwqZ7YHs4Oc2Ulk3mwtoKu3u7cKEJUvhrJdrtxDVL7Vqnypd8PuNSD66Qs//eR+Boh+brf6CfBuwM0KRDNBMBMsNxMqmrnDauYyb93dDkTFoVAcJle8XFScb1WM9a71dglMZtcsl8xIyMTJZUaJMgusMsnetd5vQZQZC5kUuUyaKHO3VWacdx1u2CCKT4D4FXLxK0XxRVbxPG/5HR9ELQe0Jsm1CkStxVat4trmM8I0n6WQKZPLlIsy91plZnjX7Z4Ton419GfJ9a8R9e+36s/x1t60gkluecQleSMkb5JL3iJKLrNK3lHLzAb49xVl5kPmTrnMXaLMg1aZxd71v22G6OVeeLlP7mWp6OUhq5eHvBt23w3RzyPws0Lu51HRzyNWP2u9G3DjDtHMeph5XG5mo2hmpdXM097KO3+Ics9C7jm53POi3Cqr3FbvBt06hNl58g2Xne2w87Lczk7Rzhqrnde963zvEdHCblh4U27hbdHCWquFd73duHmJKPo+RD+Qix4QRddbRT+p7fU1oK8ocwgyn8llPhdlNlhlvvKu/+1TRC/fwMu3ci/HRS9PWL2c9G7Q/VdEO6dg5ye5nZ9FO5usdn73ruMNXJiBVSddBs7CwJ9yA3+LBp62GmjsU987wIhOPA2Ol5eP1Am+0FPDybNWJ8196n8LGdFLS3hpJffSRvSy2eqlo0/d70EjeugMDxfKPVwkenjB6qG7T203sWEq3TwfcKr0hEovucolosqLVpX+PrXeBUeU8YPMQLmMvyiz1SoT4tOg2+iIdsJgJ1xuZ7BoZ7vVznCf+t+HR/QSCS9Rci8xopcdVi/xPvW/kY/oZTS8JMi9JIleXrF6SfVx905ATLmqt0s5HcoZcuUsUXmX4u3/3/1dzGwwr5Izc0Xm69ZqJvsofjYlihVCbIpcrEgU2+1OARVgVsqZ00XmW+4wrwXzOjnzepG5xzopN/vU83ZKopFbYeQ2uZG5opF9ViMLfJT3QRLl7obcQrncPaLcu6pT9yku5jIwH5Azl4vM960lrPSp3x2hRB+r4GO13Mdjoo/9Vh8b3JhKLvcE5J6Uyz0lyn1oldvsU697UjlP7le7bLwAG1vkNl4SbRxUfWBAzFfAfFXOfE1kfmIt7S13nx3mW1SJRvbAyF65kXdEI4esRvbLVmmNU9pc7kPIfSSX+1iUO+zOXB4B86ic+aXIPGIt4Zj12eHWjb2Yj88fdvn4Dj6+l/v4QfTxhdXHaTemksudgdwvcrnfRLmvrHJ/1e3ZQbcWYzbmnH3IaeMf2GjkK7Vxga9g4xvFGq3o8bCT6WOM8fKVM5uJzGPW0lr71vPmZqKRtjDSTm6kg2jkO6uRLr7Ku5KJcl0h100uZxflTrgzl5eC2UfO7CcyT1pLGORbv/uziT4C4CNQ7iNY9HHK6iOiLlN5GeSGyOWGiXKnrXLRvvW6QxyzcSZyhdNGLGyMkNuIE22cUazRbwtczGQwx8iZKSLzV2tpmb71vkedaGUcrIyXW7lCtPK71UqOb13uJieq50E9X64+SVQ/687k4kezXiVyZpnI/MtaUZXl6eLebfZEHzPgY6bcxyzRxz9WH7MbMLNzoH6DXP0mUR239jOp316nZw+/0R+zUTT3UaeNO2BjntzGnaKNxhYb51YwZy4Gc4mceZ/I9LSW9qCvO7caFFUfgurDctUVomoTdypZC+Y6OfNxkeljrWSTr/YGaUxy4iaX5NOQfEYu+Zwo2dQq+aKvO3dYE1W3QnWbXPVlUbW5VXWXr+QWbcLtFkXV16H6hlz1TVG1pVV1n6/6Bn7O+zWKqu9C9T256geiamur6kFfyU3ihBs+iqqfQPVTuepnompbxebJmV+B+bWc+a3IbG+t5ISvG7ecZKIpH7lET0L0R7noT6JoR0UhnPk7mH/ImX+KzM7WQmxN3bjppSja2Bji5dFUKurVVBDt4k4hzcFsIWe2EpldrYW0b+rObTdF1Y5Q7SRXvVBUvdidSrqD2UPO7CUyu1sr6dvUvZe+uH9ckv0hOUAuOVCU7GmVDGrq9ksfVw2BaqhcNVxU7W1VHdq09pc+8dajoupwqF4uV40SVS+1qo5sqn7pc967VFSNh+oouWqCqNrXqjq2qfr+mM6bn4qqqVBNk6tmiKr9raoTmkpusCncPZWpDrlklVN1IlSvlKteJar6KZ4UnDkZzAI5c4rIHGStpNTyOlXLtXtF0WkQLZeLVoqiAe4UcjWY18iZ14nMIGshN1pep2q7g6yoejNUb5Gr3iaqhrhTyQIw75IzF4rMMGsl97r5OhWY6JK8H5JL5ZIPiJIRVslH3H+d4qorofqoXHW1qHqZVXW95HVKvIuuqLoBqhvlqk+KqkOtqs/KXqeE2/CKqpuh+rxcdYuoOtyqul3zOuW8j6+ougOqO+Wqr4qqkVbV3bLXKeFGwKLqW1B9W666V1SNVjwpLq10MfeDeUDO/EhkxlorOdS03rciFq0chpXP5VaOilZGWq1807QOt6YRxY9B/Lhc/HtRPN6duT0N5s9y5i8ic7S1oLNN9fepEjX/gubfcs1GzQTNRHfqaGKM8cLFVmS/8BSZydY6WjbT3imLSXZZ5pJsDck2csl2ouRYRRmc2QXMi+TMbiIz1VpGz2Z1vVeX6KA3HFwid9BHdJDuTlWDwPSXMwNFZqa1qrBm9b9bmOglAl4Gy70MEb2Mc6e+aDBj5MwRInOCtb7R1vrcvl+Z6CURXpLkXsaIXiZavaQ3M9/wjCm03ulSyIRCllxhvKiQbVXIblbfO6aJTnLgJFfuJF90kmN1UtjMfMs1UWEqFIrkCiWiQp5ia+HMKjCny5kzRabDHeZsMK+XM28QmZOtM3GrdQt0+65xopfb4WWu3Ms80Uuhor4mx1zMRWDeI2cuEZlTrfUts9bn9n3rmJdToatdv4uEl+VyLw+LXooV9XHmGjAfkzPXicxSa31PNKvf/d1FH5vg4ym5j2dEH9OsPl5oVtfjGy7+IsRfkotvE8UrrOKv1P7S9fVEl8IuKLwmV3hDVKiyKuxpVo9b1Ism9sHEO3IT74kmZlhNfNis7ve4Fz0chIeP5R4+FT1UWz0cacavN4yJGJMSmxGfnJ5KM5I8wjU/NB+Z8QkJMAmLJjNfwMyXcjNfi2autpr5rhn/xTRUXfMuro3BougJiP4gF/1RFL3WKnrGWKKtU7RHQGhgjwHs39Aeos6v0PlNrvOHqDNb8Wpx6CYX09bcYF7QXMr0aC4w51i9+zRnt2EOcOM2zPis2vVpm/Oc1HeHH3P9MhI2mslttBBt3KgojTPbg9lBzuwkMm+2lta1ef1vBC16uRhe7HIvPUQvt7pTX18w+8mZA0Tm7db6Apprb0XNJI94rXX9qhGSwXLJUFHyDkUZnDkUzGFy5uUic761jNjm+pthi5ojoRkn1xwlai5wp46xYKbImWki825rHeOau3E7blF0AkSvkIteKYoucqcQB5iT5MwCkbnYWkixtRDr/eWY6Ad+LtFSiJbJRctF0XsVhXBmNZiz5MxrROb91kLmiIXUfktyUfRGiN4kF71FFF3mTiHzwbxTzrxLZD5oLWSxqZBab4ouit4L0fvkoktF0YfcKeQRMFfImY+KzEeshaxtrr8tO9PcnebSXA/Nx+WaG0XNlYo6OPNZMJ+TM58XmausdWxtrroxvKi2HWovy9V2impr3KlgN5hvyplvi8y11gretawJ663pRc33ofmBXPOAqLnenToOgfmZnPm5yNxgreOr5m6edNx+tUvzG2h+K9c8Lmo+oaiDM0+B+ZOc+bPI3GSt43fLzrz2k45c8iwk/5RL/i1KPu1OGZ4tDKZXCykT17Ou+QM3axnNW9TrpCN30BIOWskdtBEdbHanqs5gXihnXiQyX7BW1b1FA086PrXC5aUnvPSSe7lE9PKioj7O9ANzoJzpLzK3WusLsdZXt5OO3EsYvITLvQwWvWy3ehneotZ37lwhEgpRcoUYUWGHVSG+RYNOOnIno+EkQe4kSXTyitVJaotaTzpyhXQoZMgVskSFXYqt5ZfdLmY2mFfJmbki83V3mIVgTpEzi0TmbutMTLNugXU76ci9VMBLpdzLdNHLW+7Udy2Y18mZ14vMPdb6brbWV7eTjtzLrfBym9zLXNHLPnfquxvMhXLmPSLzXWt997eo10lH59H31h9dPpbBxwNyH8tFH+9bfaxsUdeTjlx8FcRXy8UfE8X3W8U3tGDnUuxunEvx8x8YGBwSgnMpAaKNJ2DjSbmNp0QbHyrWL2e+AOYWOfMlkXnQWtoO6/Zbt3Mp3Msr8PKq3MtropdP3KlvD5h75cx3ROYha337W7h3LuWZjutcP0eD5EdyyY9FycOKMjjzCJhH5cwvReYRaxnHWrh5LoVrfgfN7+WaP4iaX7hTxxkwf5EzfxOZX1nr+KuFu+dSuOg/EMUNtGS/JmspiH7jTiE+xhgvXzmzmcg8Zi2kdUt3z6Vw0bYQbScX7SCKfqcoZO0wF7MrmN3kTLvIPGEtpHdLd8+lcNFLIdpHLtpPFD3pTiEBYAbKmcEi85S1kIiW7p5L4aKXQXSIXHSYKHranUJiwRwhZ8aJzDPWQhJbunkuhWsmQ3OMXDNF1PxVUcdDDhdzHJjj5cwrRObv1jpyWmrPpXC1PKjly9UmiWpn3amgGMwSObNMZP5lraDKsiYk51K45gxozpRrzhI1/3Gnjjlg3iBn3iQybR6WOm5v6ea5FK55BzTnyTXvFDUbWzTP1bFwnou5GMwlcuZ9ItPTWseDLd07l8IlH4Lkw3LJFaJkE3fKWAvmOjnzcZHpYy1jU8t6nUvhDp6Gg2fkDp4THTR1p6qtYG6TM18Wmc2tVe1q2cBzKdzL6/DyhtzLm6KXlor6bnzaxXwXzPfkzA9EZmtrfQet9dXtXAr38gm8fCr38pnopa3Vyxctaz2XwhW+gsLXcoVvRYX2VoUTLRt0LoU7OQknP8qd/CQ66Wh18mvLWs+lcIXfofCHXOFPUaGzO1tL41YG06OVlOnVSmB2UTE/djGbg9lCzmwlMrtaZ6J9qwaeS+FeOsJLJ7mXC0UvF7tTX3cwe8iZvURmd2t9fa311e1cCvfSH14GyL0MFL30dKe+EDBD5cxwkdnbWt/QVvU6lxIk+hgOH5fLfUSJPi61+hjZqq7nUipt610/yIL4KLl4gije1yo+tlVdfgUeGB4WiCuMBIo2UmEjTW4jQ7TRX7F+OXMimFfKmVeJTD9raY5WlrdSNd/c1ngrxUUnQ7RALjpFFB3kTiHTwCyXMytFZoC1kOpW1uPFiNqOF7nm1dC8Rq55nagZ5E4dN4N5i5x5m8gMsdYxvxWu1V3jN1/B/jVP/hiHJExxSh+X4gIo3iVXXCgqhimq4Mz7wVwqZz4gMiOsVTwiblbOaw6eqyLx3NuQLcNcoish+qhcdLUoepmiEM7cAOZGOfNJkTnUWsizrUznTHDZxFrPmXDRzRB9Xi66RRQd7k4hO8DcKWe+KjIjrYXsFrcruvKjebviim9B8W254l5RMdqdKvaDeUDO/EhkxlqrONTK9O4W162s7d3t6atcmoeh+blc86ioOVJRB2ceA/O4nPm9yIy31nHKullJfqLKRU9D9Ge56C+i6Gh3CvkLzL/lzEatBWaitRDP1kIh7OKhNQpJSU1Ljo8WRZsYQ7xwf2rZj6JE0WR3CmkNZhs5s53IHGstpHNrYctyXaq0li1rz60uzS7QvEiu2U3UTFXUwZm9wbxEzuwjMtOtdfi1Nm1ZuNZqrVsWFx0EUX+5aKAomulOIRFgDpYzh4jMcdZCIlubPj7A5WLttXx8wDWjoRkj1xwhak5wp45EMJPkzDEic6K1jvTWlnO8uOBtLed4t210iWZCNEsuOl4UzVYUwpk5YObKmfkiM8daSKF1y5J8DsJFp0K0SC5aIormuVNIFZjT5cyZItNhLeRa0xphFx2u9ZiXi86G6PVy0RtE0cnuFHI7mHPlzHkis9BayN2tLce8uG6y9Zj3+f0uzUXQvEeuuUTUnKqogzMfBHO5nPmwyCy21rGqtXBs4rrus+XYhCuugeJjcsV1omKpO1VsAvMpOfMZkTnNWsULtTzRa/8wh4u+CNGX5KLbRNEKdwrZBeZrcuYbIrPKWsge8xM9yN/8wa1ru9r4p0t0H0TfkYu+J4rOUBTCmQfB/FjO/FRkVlsLOdLa8kF6zUL4uXcu+QUkv5RLfi1KXu1OGSfA/EHO/FFkXmst44xlfQRJDha56K8Q/U0u+ocoOtudQmxtDOYFbaRMjzYCc461EJ821terWt+jP9jzcdePeaDZTK7ZQtS8UVEHZ7YHs4Oc2Ulk3myto2sb0w4kLECyA+GiF0PULhftIYre6k4hfcHsJ2cOEJm3WwsJaGN5yWKlWF+yuGgQRIPloqGi6B3uFDIUzGFy5uUic761kNhaCgmstZBFo1yiIyEaJxcdJYouUBTCmWPBTJEz00Tm3dZCxlk2LeGNYY1Ni4tOgOgVctErRdFF7hTiAHOSnFkgMhdbCyluI7z2Om9qcK6QMemJY0TJUkiWySXLRcl73SmjGsxZcuY1IvN+axlzatmwwsOVG9aNEL1JLnqLKLpMUcgd01zM+WDeKWfeJTIftBayGOvDb9hIRwk7TV8y2Z7LPr8td1RUFVVW8Ds0cMl7IXmfXHKpKPmQO2U8AuYKOfNRkfmItYy1bVxX/9F/G4urrofq43LVjaLqSncqeRbM5+TM50XmKmslW2upRPJ1LK66Haovy1V3iqprFJVcd5+LuRvMN+XMt0XmWmsl71oqkR4wctX3ofqBXPWAqLrenUoOgfmZnPm5yNxgreQrayWya3Vy1W+g+q1c9bio+oQ7lZwC8yc582eRuclaye/WSmQXweOqZ6H6p1z1b1H1aUUlM7e7mJ5tDaZXWynTu63AfNZaSfO2rl/Ra79HykVbQrSVXLSNKLrZnUI6g3mhnHmRyHzBWkj3ttaNS3L9VK7aE6q95KqXiKovulOJH5gD5Ux/kbnVWklIW9fdynU791s+d2mGQTNcrjlY1NyuqIMzI8GMkjNjROYOax3xljUi/XSHq46GaoJcNUlUfcWdStLBzJAzs0TmLmslE2upRPJ056rZUL1Krporqr7uTiWFYE6RM4tE5m5rJdOszxLZu91xTTa4fmYD1Uq56nRR9S1FJZx5LZjXyZnXi8w91kputlQiPWHKVW+F6m1y1bmi6j53KrkbzIVy5j0i811rJfdbXoJl5+K56DKIPiAXXS6Kvu9OIavAXC1nPiYy91sL2WBaJbV/HUlUfQKqT8pVnxJVP1RUEj/QxXwBzC1y5ksi86C1kh2mVVLrj2BE0Vcg+qpc9DVR9BN3CtkD5l458x2RechayH5jiT5+w6ILHHlT8a6krCCnwmF3TKsqLCrMLS+sKra8Q+HiH0L8I7n4x6L4YVVB6S7mETCPyplfiswj1oKOGUtc6jcstbDYdQ88e17N++HllRaXFTkqHfnn6iHt76D9vVz7B1H7C3fqOQPmL3LmbyLzK3eY/4DZqJ2UeUE7gfmNghl7jYvpY4zx8pUzm4nMY9Z5b90Od7y09+vXz27PzCnHBVX7VPS1z3CUO+yFFRVVxoznV5VjE4svKauqtKeV55RUuNaQMUi00xZ22sntdBDtfGe108VYYojLDtu47ZUFDntKVYk9tTKnsqrCnuLarCeVltuLSw2T8SVGs1hiqCsMdZMbsouGTrgz55eC2UfO7CcyT7rDDAAzUM4MFpmnrBMX0Y5/i5c/2CymVhUX55RX20sn2Ws8uWLLy0vLK+x8xoJXupxcBidD5E6GiU5OK6rjzFgwR8iZcSLzjLW6RGOJLnbrY0xBdUWh8UIh6iVDb4xcL0XU+9Wql+ncDK165aVljvLKat6RWl1R6Sjmf/EJFg2Ng6HxckNXiIZ+txrKaceu0JbmKC8uLMkp4usPD3+TScvfopk8mMmXm5kkmjlrNTO1netycamO6XidaICZYpgpkZspE838ZTVT1Y5fu4496m5m4JsuMzNgZqbczCzRzD9WM7MFM67XU/fMBIWJZubAzA1yMzeJZmye8iciZ94B5jw5806R2djC9FrUrq7HHVx8McSXyMXvE8U9FQVdNHXBbuevfsB8WM5cITKbWAta047dfLfGCV5zAQefd4mthdg6udjjopiPogDOfBrMZ+TM50RmUwXzmYCp+5w/8AFzm5z5sshsrmBuvPA6J/N1MN+QM98UmS0VzMx28WedP9QB8z058wOR2dod5idgfipnfiYy2yqYp1vPm5LAfmID5tdy5rcis711IzthLDF0yBDsPnKLjN0Fbl1YOMnYcTkPbotL842/jCOtgIDBIcGDgyKMtyMl9lHGQU/EAHugf2DIsGHM0bfhLkcn4ehHuaOfREcdFVVy5u9g/iFn/ikyOyuYn2W7mI3bG0yP9lKmV3uB2cU6c02NJXr7DTMmLs9RUYGnZyE7DDXNID1XuXJzKLeQK7cSlbu6U01HMDvJmReKzIut1VxsLBEg/JjLnhkXnxBrj46LjR6NP+OTxqSn2VPHxEbHj4iPjkyLT05KFV10h4seche9RBfdrS76tucHN/FJ0YZAfGpabFKafURKbKzhC78sSo1NS4OdmNi02Oi02Bh2UdwQ1+VnTYb6w9AAuaGBoqGeVkNBxhLO24vYU5PTU6Jj7VEJyXhX7nzU9MUMGH0xsamGQTY/fOFzy4kGQ2AwVG4wXDTY22pw6DmDQ60Pey1NzXLM4Me3uAwOh8HL5QajRIOXWg2ONJZw/SIxzS8wwnyoMS42lZqBEa53CfynHjUeScmisXgYGyU3liAa62s1NtZYIpaUA/DVIZMgbxppvwBFAaKzVDhLkzvLEJ31tzqb4PaUBfnXmLKgAHFJ85RNhLEr5cauEo35WY053F+X4QHnjIVq1uVkGCuQG5siGhtkNVZal3WZda6ALGEx67qcBmflcmeVorMAxWv13g0u5tVgXiNnXicyg9xh3gzmLXLmbSIzxDqD89uzo+cRhSWFFQXG/r7s3G6txDHDtFMTxRdA/C65+EJRPMydgu4Hc6mc+YDIjHCHuRLMR+XM1SLzMuskrW/Pjsija57+y8XNfvhenottgNhGudiTothQRQGvfeBibgbzeTlzi8gc7g5zB5g75cxXRWakdVJ2t6/j6VGu/Ra035Zr7xW1o92pZz+YB+TMj0RmrDvMw2B+LmceFZkj3WEeA/O4nPm9yIy3zvup9g0/PcrtnIadn+V2fhHtjLbaOdv+3zg9+uxZl6G/YOhvuaFGHQRDiYo558wmxhgv7w5Spq/ITHaH2RrMNnJmO5E51jpxnTs06PQod9IFTi6SO+kmOkl1p7reYF4iZ/YRmenW6vw6uHF6lOsNgp6/XC9Q1Mu06oV1+DdOj67rMd9pKAKGBssNDRENjbMaiuzQ0NOj3Ew0zMTIzYwQzUywmhndoaGnR7mZRJhJkpsZI5qZaDWT3qGhp0e5mUyYyZKbGS+aybaaye5Q/9Oj4aKZHJjJlZvJF83kKJ6Is4ccnsqYU8EskjNLRGaetcCKDrqziQdyXWJVEJsuF5spijkUBXDmbDCvlzNvEJmTFcwL23sWM+btYM6VM+eJzEIFs/XioirGXATmPXLmEpE5VcH84f2TixnzQTCXy5kPi8xiBTM8+icncw2Yj8mZ60RmqYL5faevjjLmJjCfkjOfEZnTFMwe17iYL4L5kpy5TWRWKJhPbPX6gzF3gfmanPmGyKyyPhn2aJ8MvY+5xPZB7B252Hui2AxFAZx5EMyP5cxPRWa1tYAjxhJtm/sOGeI8wsqZbhztDRvW3JfpbNs042+m8wV0vpTrfC3qXK3wHndltZN5Aswf5MwfRea1Vu9ntJPPxX6F2G9ysT9EsdnuFGDraDAv6ChlenQUmHMUzKzXw/5hzKZgNpMzW4jMGxXMgrXHbYnsV01gdpAzO4nMm60T3dVYoqVpExE1LoaGXa7RQ9S4VeF7/DsuZl8w+8mZAwRmy9sNpv/ljRpdcPLF7UOyKstzUh3lhTlFhbMc5XbjGKXCOCQb2iNgoH8Pe05ZWZHrDMTQHhmFjhk9jA3ebh9SRod2JTnFjqE9eibkVJdWVWY4x/awD6p1qejSoqrikooexlulqY7qoT0qy6scPezTc4qqjGRwqBNtHRZvHDMGYFBJVVERjaqJcI2zjkwtLa/EV7l6DIuuqqgsLR4yiBaQDskorCjMLXLEl+Q7ZvYY5u/+iB7D4MWN5TML8ysLegwLDIxwY+EkI/YYhrZz8ixDrB21zF7g+Zo9V22h4W6Xlu+oyCsvLMMG1pAKg/4320fA/932EebOtuecQ/YMasjsBf9vZi/w/272woPcnr2qksLKiobMXsj/ZvbcqbCesxfi/uxVsBNNDZm+0PP84hQQEOZ+dfwURUMqDDvPFQa787LkLHByeWlVWUNqC69XbWTU/f2E0VlcVtkQpxHney248/LmLK6odIajvCG1Bfj//7uJVZWVNbC483bw5youKNTt4iqryxq05w04b4dmTr95pUXxMfW0et6OsbjVMTmVBfU0e94OabjZlJySyY6Keto9b8cQ3G4Ce80pyikuq6fl87bf5pbT2StJAyyftx0xtxxdWpI/tsp4a11ZXU/P9dvBNtRzBt5S1NPxedvRnnvqOXLyk0uK6jnFgedt53nuyVdYMhXTXIhDy3q6Pm97Re46KqeisJ4vcIHnfz+XnDvFkVeZZuyg62n5/O/vnJbxZz0t/4/eyAf/H7wV5ZOSkVNemGOMbMC0/I/eoYf8X05LfIz1ENy92ThvO25xNtw5qG7AbFjfbbk3G+f/mCA+xnp6xT2v5/9YID7G+tx2z+v5PwqIj7E+4dw7eXz+DwDiY6xPB/e8nv/dfkJOrqOonm7P225ffK1x5wxfvV9rjAO3ypzCEkd5Pefkf/RZhTvn2ho+J9n1P+AKOv/v2WMck3Kqiirr6ff8v2mPKawoK8qprv+hUND5f9deVVqcXco+4Kvne4eg/8Hb9pyS7NiSSmNzjs+vp+n/wfv2gsKi/Ozo0qqS+m7Q53+fHVNY7CipqPeb4ODzv+dOLymszE4pnVFPw+d/933upTk6p9IxubS8nqdJgs//W3h2wiE7uSEvHsHn/108f/Gop+PzvxuMy6nIZq8e5Y76PhHP/74wvqLIkTOpnnbP/27Q+eocn+/29mz+0wSOzKssnO4YUVhkbGiplfjNiexrVzWXjC3BqZT8Wg/wzONcPtm3vvSzZR7t/FQssqqy1PWp2qScogqLpNpBYkq603ZFj2HX4XtqPY1XBEdocGRkbGRkZMwgPCLHRtIjMXKyEUdUxo7PGj/CERdVPT4raVZCUYF/XvGIuLzioqkJJeOCEqYkVsSPGF+UV5JUlhsYHJFUHTwrYUpeVWL0jMljgzIq8uMyqsenBVSNz8rAuIqE6Kix+ZmjKnIykxLGZxWl5wZWFuVO8Q8ZNyU2KDEzMWR88djApJEpBYmZY2dGjYWvyMCUkRmBKVkFM/KKM2blVYeMy48bVZASNKpsfHRIZk5mRpDRFz0uK6koYWpAakbG+LLxWfkjczJn+o/PGhWTGzizYnxmkn9OZkQVqy0qSegbWzxi1vjUyoqcrCT/yJkz0xzGv+Mz/avGBkZU5I7MmJI/smh6bkli1disUdXjsooS2XKYl8ipMYhRxjQZj7z0oKJZ+SMzKhOmJk3PHTmzaFxQijEfIbMSpo6oNuoOSRtp5J3LjswKLDI0AmZFZUTMyskqK4oeERFoeJ0FP1GGx+jIyaOi2CqIR4hDiHWuGDYh0WPT8c+oKObDPzomMg9OskzzFDsuK6Xg/34dMS9lbq+joprrJz6aTcjI8cnGXGG9BORmhvB1Z2xj+LdsXIp8nRnzP63WuqeOL8uNSykyGFXjq0POsdIjZhj/FuSPjKiOmoFpq8s6Lx3FDEfGjmTrfqyrz7lq2MqKnMG2jdGsPdb5NMKi0efao6Jn8FUZ42yV1li3LJkUOTMywbl9MV4SW3hsYmIMfEQV6J6TIxg4Jkm+nHM9GNvnqIK8wPSqjOKionx/Y9uNy6jMpbmbasxdcTgrOYr6Jo93rafg2MjUmXL+VBcL82jMa35mQFVKcVGF8RypTs0MKc6dEQxssrPmcLYZsAmIippi8BNz</t>
  </si>
  <si>
    <t>MkPKjXFV40cWuZ67/nwCo1PYkqNYjEwfg5gQm1KUPzUjOC9uVFFeUGJVZlxK9bj0/OqczLFc39g2zNvYqNzi8dOd6zEl3ZEVVRQVW1mWWzw2IcV4vuaNnFngyEgpcsSNTSTv6UEpBjOkJCpjfIFRXxFbRWPjjQ05+NzqYrxxac6X0XHsCTIioNJSU1ZqZER8dH70uMyxJdGTY1PYKju3bUQ5a3W+Zoxg6z0/13gdqcrBeipOKWPbaZH/5DGpkSXGc2LqqBmlCcIuYMgg8dvIw3T5Rv89/nv89/jv8d/jv8d/j/8e/z3+e/z3+O/x3+O/x3+P/x7/Pf57/Pf4tx6ecz0bNeoRWVHmKElz5BUMjEzNzEoYGJNTmTMwDR8spTmKy4pyKnG78Eae2fgQxzu72FHsKKks9czGb6WaZFeUVpXnOWweHh599ZxE59gLDFz32pd2LYhvHWGpnsqlUpk2lsP/XoM6NmrUDR/Q+bGfO/ixn5ZU+OET/go/5xXUfPyNZTz3ffvPP3p9m8Fswn6LnZ3dyPsCmrK9xmB3bFmHo8d2hzHjmHWvIFzeoYZbZtMnuCPuxWRIwCP0bG8aDWiy0fNodJixXEfzaCoyHJDXa0JeqwmZT5DLjOUukkD88GMtnyEgvVKTtLMm6U4iDce0MojP5RiyveaQbTWHLKAh0cZyTWuWHoOBL9YcuKXGQM+7jEGRtc47u7tPRk4529Tw9Yjy0qIiR3l/oT+zPAc/N8KW7JVdOqPEUd46uxIJ9jsv5zf1m2bn8dHNnVkIpJTOMDbvRp3M4pml5VNzS0unYt22NycZFpkBdfGMAWxb8UHNPnG4zkdXo9UC03G3MQOYBWduNOWaI7dQyCVRrhlyi4TcWMo1Re4eIZdGOV/kFgu5TMr5ILdEyI2nnDdy9wq5iZRrgtx9Qu4qynkhd7+Qy6OcJ3JLhdwkymF12pYJuULKNUbuASFXRDn2dHxQyJVSjm2my4VcOeXYK8BDRn+vWtcq/bahxsbWYgwuolJB11JxbXuNswvzvbILS4ymUYOHt3ojKaxlI7EYiEyNx//ROXkFDhpDL42siIuNgOeVTxWeaA8bRaAQnvobjRlIPWJO/YVGNVIrzKk/0bgaqZXm1Fk0rkXqUXPqDzRmI7XKnPodjTlIrTanfkPjRqTWmFO/onEzUo+ZU7+gcStSa82pM2jcjtQ6c+pnNO5Aar05dRqN+Ug9bk79hMYCpDaYU6fQuBupjebUj2gsQuoJc+okGouRetKc+gGNe5HaZE6dQON+pJ4yp75HYxlST5tT36HxIFLPmFPH0XgIqWfNqWNoPILUc+bUt2isRGqzOfUNGquQet6c+hqNNUi9YE59hcZapLaYU1+isZ7tQcypL9DYgNRL5tRRNJ5Aaqs5dQSNTUhtM6c+R+Nptpszpw6j8SxSL5tTn6GxGakd5tQhNF5Aaqc59SkaL7K9sDn1CRpbkXrVnPoYje1I7TKnDqKxA6nXzKmP0HiFHTuYUx+isQupN8ypA2i8jtRuc2o/GruRetOc+gCNt9jBjjn1Php7kHrbnHoPjX1I7TGn3kXjXaT2mlPvoPE+UvvMqX1o7EfqHXNqLxofIvWuObUHjYNIvWdOvY3GJ0i9b069hcYhpD4wp95E4zBS+82p3WgcQeqAOfUGGl8g9aE59ToaXyH1kTn1GhrfIHXQnNqFxjGkPjanXkXjO6Q+MadeQeMEUp+aUzvROInUIXNqBxqnkPrMnHoZjdNIHTantqNxBqnPzaltaPyK1BFzaisavyN11Jx6CY2zSH1hTr2Ixl9IfWlObUHjH6S+MqdeQMPWyej52px6Ho3GSH1jTm1GwxOpb82p59BogtQxc+pZNHyQOm5OPYNGU6S+M6eeRqM5Ut+bU0+h0RKpE+bUJjRaI/WDOfUkGm2ROmlOPYFGe6R+NKc2otERqVPm1AY0OiP1kzn1OBpdkDptTq1HoytSP5tT61gDqTPm1Fo0uiP1izn1GBo9kfrVnFqDRm+kfjOnVqNxKVK/m1Or0OiL1B/m1KNo9EfqrDm1Eg0/pP40p1agMQipv8ypR9AIQOpvc+phNIKQ+secegiNEKRwSC6klqMRhpTNnHoQjQikLjCnHkDjMqQam1PL0BiKlIc5tRSN4Uh5mlP3oxGJlJc5dR8a0Ug1MafuRSMWKW9zagkaI5HyMacWoxGPlK85dQ8ao5Fqak4tQiMRqWbm1EI0kpFqbk7djcZYpFqYU3ehkYpUS3NqARrpSLUyp+5EIxOp1ubUfDTGIdXGnJqHxgSk2ppTd6AxEal25tRcNLKRam9OzUEjB6kO5tT1aOQh1dGcmo2GA6lO5tR1aExGqrM5dS0ahUhdaE5dg8ZUpLqYU1ejUYzURebULDRKkepqTlWjMQ2pbubUTDQqkLrYnJqBRhVSdnNqOhozkOpuTlWhUY1UD3OqEo2rkeppTlWgcS1SvcypcjRmI9XbnJqGxhykLjGnytC4EalLzalSNG5Gqo85VYLGrUj1NaeK0bgdqX7mVBEadyDV35yaisZ8pAaYU1PQWICUnzlViMbdSA00pwrQWITUIHNqMhqLkfI3pyahcS9SAeaUA437kQo0p/LRWIZUkDmVh8aDSAWbU7loPIRUiDmVg8YjSIWaU1ehsRKpMHMqG41VSIWbU1eisQapCHNqIhprkRpsTl2BxnqkLjOnJqCxAakh5tR4NJ5Aaqg5NQ6NTUgNM6ey0HgaqeHmVCYazyJ1uTmVgcZmpCLNqXQ0XkAqypxKQ+NFpKLNqVQ0tiIVY06loLEdqVhzaiwaO5AaYU6NQeMVpEaaU8lo7EIqzpxKQuN1pOLNqUQ0diM1ypxKQOMtpEabU6PR2INUgjk1Co19SCWaU/FovItUkjkVh8b7SCWbUyPR2I/UGHNqBBofIjXWnIpF4yBSKeZUDBqfIJVqTkWjcQipNHMqCo3DSKWbU5FoHEEqw5y6HI0vkMo0p4aj8RVSWeYUvuPs8w1S48ypoWgcQ2q8OTUEje+QmmBOXYbGCaSuMKcGo3ESqYnmVAQap5C60pwKR+M0UtnmVBgaZ5C6ypwKReNXpHLMqRA0fkcq15wKRuMsUnnmVBAafyGVb04FovEPUg5zKgANW2ejZ5I55Y9GY6Qmm1OD0PBEqsCcGohGE6QKzSk/NHyQmmJODUCjKVJTzan+aDRHqsic6odGS6SKzam+aLRGqsSc6oNGW6RKzalL0WiPVJk5dQkaHZGaZk71RqMzUuXmVC80uiBVYU71RKMrUpXmVA/WQKrKnOqORnekpptTdjR6IjXDnML/Pr2RmmlOdUPjUqSqzSn26UVfpGaZUxeh0R+pq82pLmj4IXWNOXUhGoOQutac6oxGAFLXmVOd0AhCarY51RGNEKSuN6c6oBGG1Bxzqj0aEUjdYE61Q+MypG40p9qiMRSpm8ypNmgMR+pmc4pdfz4SqVvMqVZoRCN1qznVEo1YpG4zp/DRls9IpG43p/DJlk88UnPNKXyw5TMaqTvMKXyu5ZOI1DxzCh9r+SQjNd+cwqdaPmORutOcwodaPqlILTCn8JmWTzpSd5lTXmhkInW3OeWJxjikFppT+MjIZwJSi8wpfJ7lMxGpe8wp9olhNlKLzSnWyEFqiTmFh0+ekfK810h1ru3jzYoCh6MSwq7PrZxfAvDN5jkPm035uSj/LNPLYQh5RJdWVPqgZbvPkISsMznZ6PKJKXRUjCjKqSjwwZ+2+4UlCuFzRPmsMZU+aNqWCtmpRlerePxIO4f9OjYV3nzQ67nMq5ZP69JLCktL2Ee00fhILQ+/jGXfIcjOKS/PqfbKzsNlFzwadaz1Y90JE899TlvUmT5pNHSg5VPcmT5fpJ6Szs5Zty2nntLOzi3OcyVmvqh0cnCJo3JgdGm5Y2BCqfP+DLi1G7ahpsXZecakVOBzet/i7EmFzkunNSvOLioscSRVFec6yo0/ih2VBaX5tFBVURHGNy/OrqjMyZs6otzor7Dh4dFVUEvlafyOesJEvDHA/15l8DzcB/+Ygq/nasNXd8KkVxYWDRzj/E2XsQJjCtlk5pTj1bdRB9dS2TP9/YMis9MrHOWw2DgpJtrHuaYqCotNC8UZ2wgWMnXH5ztKKgsrq71nuDYvVo6NvZN5FHOK1zOvCsPgkDHV5aVF1bjWwKjSEkdFdkhIQHZhSWVpdkhYQPak0nLXFTyz01KTEwKzyx2VVSUO9Gcb69irEiUW4F4bfo4yRxG7w4bXdKPzIgvWoBkjBs4sqphp22BYwMqsbcac02Z70khj6nw2kl0f2PWBovO+HpCxbdaTthDpeSVph570KpF2Kklv6Ul7ifS2krRfT/qISAeUpMN60lEifa4kHdOTvifScSXptJ70C5F+VpL+0pOw92Gkv5WkJk20JF8ieTdRkVrrSe2I1EZJ6qIndSPSRUpSbz2pD5EuUZIG6UmBRPJXkiL0pCFEGqwkRetJI4gUoyQl6kljiJSkJGXqSeOJlKUk5ehJ+UTKVZKm6kklRCpSkqr0pJlEmq4kzdaTbiDS9UrS7XrSPCLNVZIW6UlLiHSPkvSgnvQwkZYrSWv0pHVEekxJ2qQnPUOkp5SkF/WkbUR6SUnapSe9QaTXlKR9etJ7RHpHSTqoJ31KpI+VpC/0pK+J9KWSdEJP+pFIPyhJv+pJfxDpNyXJ5q0leXi7SBd4q0hN9aQWRGqmJLXXkzoRqYOSdLGe1INIdiWpr540gEj9lKQgPSmUSMFK0lA96XIiDVOSRupJo4gUpySN1ZPSiJSiJE3Qk64k0hVKkkNPKiDSJCWpVE8qJ1KZklStJ11DpFlK0o160i1EuklJmq8n3UWkO5Wke/WkpUS6T0l6RE96lEgrlKT1etJGIj2uJD2rJz1PpOeUpO160k4ivawk7daT3ibSm0rS+3rSASJ9oCQd0pM+J9JnStI3etJxIn2rJJ3Sk34m0k9K0lk96W8i/akkefpoSd4+LpKXj4rUUk9qQ6RWSlJnPekiIl2oJPXUky4hUi8lyU9P8ifSQCUpTE8aTKRwJSlST4ohUpSSNFpPSiJSgpKUridlESlDScrWk3KJdJWSVKgnFRFpipJUoSdNJ1KlknStnnQ9ka5Tkm7Vk+YS6TYl6W496R4iLVSSlulJy4n0gJK0Sk96jEirlaQn9KSniPSkkvSCnvQSkbYoSa/oSa8R6VUlaY+e9A6R9ipJH+pJHxPpIyXpiJ70JZGOKknf6Uk/EOl7JemMnvQbkX5Rkv7Rky7wdZHwyaic5OOrJTUjkq+S1FZP6kCkdkpSVz3JTqRuStKlelI/IvVRkgL0pGAiBSpJl+lJw4g0REmK1ZPiiDRCSUrWk1KINEZJGqcnXUGk8UpSnp40iUj5SlKxnlRGpBIlaYaeNItIM5WkOXrSTUS6QUm6Q0+6k0jzlKTFetJ9RFqiJD2kJ60g0sNK0lo96XEirVOSntaTniPSM0rSVj3pZSJtU5Je15PeJNIbStK7etIHRHpPSfpET/qMSJ8qSV/pSd8S6Wsl6aSe9BORflSSfteT/iTSH0pS46ZakldTF8mjqYrUXE9qRaQWSlJHPelCInVSkrrrSb2I1ENJ6q8nDSTSACUpRE8KJ1KokjRcT4oi0uVKUryelECkUUpSqp6UQaQ0JWminnQVka5UkibrSVOIVKAkTdOTKolUriRdrSddR6RrlKSb9aTbiHSLkrRAT1pIpLuUpPv1pAeItFRJWqknrSbSo0rSBj3pSSJtVJI260lbiPS8krRDT3qVSDuVpLf0pL1EeltJ2q8nfUSkA0rSYT3pKJE+V5KO6UnfE+m4knRaT/qFSD8rSX/pSfgSsPP7T0pSk2Zaki+RvJupSK31pHZEaqMkddGTuhHpIiWpt57Uh0iXKEmD9KRAIvkrSRF60hAiDVaSovWkEUSKUZIS9aQxREpSkjL1pPFEylKScvSkfCLlKklT9aQSIhUpSVV60kwiTVeSZutJNxDpeiXpdj1pHpHmKkmL9KQlRLpHSXpQT3qYSMuVpDV60joiPaYkbdKTniHSU0rSi3rSNiK9pCTt0pPeINJrStI+Pek9Ir2jJB3Ukz4l0sdK0hd60tdE+lJJOqEn/UikH5SkX/WkP4j0m5Jka64leTSn7z81V5Ga6kktiNRMSWqvJ3UiUgcl6WI9qQeR7EpSXz1pAJH6KUlBelIokYKVpKF60uVEGqYkjdSTRhEpTkkaqyelESlFSZqgJ11JpCuUJIeeVECkSUpSqZ5UTqQyJalaT7qGSLOUpBv1pFuIdJOSNF9PuotIdypJ9+pJS4l0n5L0iJ70KJFWKEnr9aSNRHpcSXpWT3qeSM8pSdv1pJ1EellJ2q0nvU2kN5Wk9/WkA0T6QEk6pCd9TqTPlKRv9KTjRPpWSTqlJ/1MpJ+UpLN60t9E+lNJ8myhJXm3oO8/tVCRWupJbYjUSknqrCddRKQLlaSeetIlROqlJPnpSf5EGqgkhelJg4kUriRF6kkxRIpSkkbrSUlESlCS0vWkLCJlKEnZelIuka5Skgr1pCIiTVGSKvSk6USqVJKu1ZOuJ9J1StKtetJcIt2mJN2tJ91DpIVK0jI9aTmRHlCSVulJjxFptZL0hJ70FJGeVJJe0JNeItIWJekVPek1Ir2qJO3Rk94h0l4l6UM96WMifaQkHdGTviTSUSXpOz3pByJ9rySd0ZN+I9IvStI/etIFLen7Ty1VJJ+WWlIzIvkqSW31pA5EaqckddWT7ETqpiRdqif1I1IfJSlATwomUqCSdJmeNIxIQ5SkWD0pjkgjlKRkPSmFSGOUpHF60hVEGq8k5elJk4iUryQV60llRCpRkmboSbOINFNJmqMn3USkG5SkO/SkO4k0T0larCfdR6QlStJDetIKIj2sJK3Vkx4n0jol6Wk96TkiPaMkbdWTXibSNiXpdT3pTSK9oSS9qyd9QKT3lKRP9KTPiPSpkvSVnvQtkb5Wkk7qST8R6Ucl6Xc96U8i/aEkNW6lJXm1ou8/tVKRmutJrYjUQknqqCddSKROSlJ3PakXkXooSf31pIFEGqAkhehJ4UQKVZKG60lRRLpcSYrXkxKINEpJStWTMoiUpiRN1JOuItKVStJkPWkKkQqUpGl6UiWRypWkq/Wk64h0jZJ0s550G5FuUZIW6EkLiXSXknS/nvQAkZYqSSv1pNVEelRJ2qAnPUmkjUrSZj1pC5GeV5J26EmvEmmnkvSWnrSXSG8rSfv1pI+IdEBJOqwnHSXS50rSMT3peyIdV5JO60m/EOlnJekvPQnXYnR+/0lJatJaS/IlkndrFam1ntSOSG2UpC56UjciXaQk9daT+hDpEiVpkJ4USCR/JSlCTxpCpMFKUrSeNIJIMUpSop40hkhJSlKmnjSeSFlKUo6elE+kXCVpqp5UQqQiJalKT5pJpOlK0mw96QYiXa8k3a4nzSPSXCVpkZ60hEj3KEkP6kkPE2m5krRGT1pHpMeUpE160jNEekpJelFP2kakl5SkXXrSG0R6TUnapye9R6R3lKSDetKnRPpYSfpCT/qaSF8qSSf0pB+J9IOS9Kue9AeRflOSbG20JI829P2nNipSUz2pBZGaKUnt9aROROqgJF2sJ/Ugkl1J6qsnDSBSPyUpSE8KJVKwkjRUT7qcSMOUpJF60igixSlJY/WkNCKlKEkT9KQriXSFkuTQkwqINElJKtWTyolUpiRV60nXEGmWknSjnnQLkW5SkubrSXcR6U4l6V49aSmR7lOSHtGTHiXSCiVpvZ60kUiPK0nP6knPE+k5JWm7nrSTSC8rSbv1pLeJ9KaS9L6edIBIHyhJh/Skz4n0mZL0jZ50nEjfKkmn9KSfifSTknRWT/qbSH8qSZ5ttSTvtvT9p7YqUks9qQ2RWilJnfWki4h0oZLUU0+6hEi9lCQ/PcmfSAOVpDA9aTCRwpWkSD0phkhRStJoPSmJSAlKUrqelEWkDCUpW0/KJdJVSlKhnlREpClKUoWeNJ1IlUrStXrS9US6Tkm6VU+aS6TblKS79aR7iLRQSVqmJy0n0gNK0io96TEirVaSntCTniLSk0rSC3rSS0TaoiS9oie9RqRXlaQ9etI7RNqrJH2oJ31MpI+UpCN60pdEOqokfacn/UCk75WkM3rSb0T6RUn6R0+6oB19/6mdiuTTTktqRiRfJamtntSBSO2UpK56kp1I3ZSkS/WkfkTqoyQF6EnBRApUki7Tk4YRaYiSFKsnxRFphJKUrCelEGmMkjROT7qCSOOVpDw9aRKR8pWkYj2pjEglStIMPWkWkWYqSXP0pJuIdIOSdIeedCeR5ilJi/Wk+4i0REl6SE9aQaSHlaS1etLjRFqnJD2tJz1HpGeUpK160stE2qYkva4nvUmkN5Skd/WkD4j0npL0iZ70GZE+VZK+0pO+JdLXStJJPeknIv2oJP2uJ/1JpD+UpMbttSSv9vT9p/YqUnM9qRWRWihJHfWkC4nUSUnqrif1IlIPJam/njSQSAOUpBA9KZxIoUrScD0pikiXK0nxelICkUYpSal6UgaR0pSkiXrSVUS6UkmarCdNIVKBkjRNT6okUrmSdLWedB2RrlGSbtaTbiPSLUrSAj1pIZHuUpLu15MeINJSJWmlnrSaSI8qSRv0pCeJtFFJ2qwnbSHS80rSDj3pVSLtVJLe0pP2EultJWm/nvQRkQ4oSYf1pKNE+lxJOqYnfU+k40rSaT3pFyL9rCT9pSfhlrjO7z8pSU06aEm+RPLuoCK11pPaEamNktRFT+pGpP/H3FnHNfX1cRyMwcWaiS22oiAbjcXoSQrYgcRUlJKwu7uxu7tQsfNnd3d3d9dzP9s9u2fcu6lzfzw+rx/Pvuxzzvv7Pvcu2d0ta3Cmqr+fqQaZqZrBmer8fiY5mcnB4Ezuv5+pHpnJw+BM3r+fyY/M5GNwpuDfzxRGZgoxOFOz38/UkszU3OBM0b+fKY7MFGNwps6/nymJzJRgcKaM38/UnczU1eBM/X4/00AyU3+DM434/UyjyUwjDc406fczTSEzTTY40+zfzzSPzDTH4ExLfz/TCjLTMoMzrf/9TBvJTBsMzrT99zPtIjPtMDjTgd/PdJjMdNDgTKd+P9NZMtNpgzNd+f1M18lMVw3OdO/3Mz0kM903ONOL38/0msz00uBMn34/01cy02eDM5lb/3amPNbk80/WhmbK9/uZCpKZ8hucqfjvZypJZiphcKYKv5+pEpnJxuBMNX8/U20yk62hmfI6sNfWzHnOcZ/o9Gj7yOiYBFWkKjElITpdFaxKVCWlJ5dlx0mj2ifEp6ivjUiPTs9Iyx/VMTotMj49QRWe3M0iqqMqOk6VWgC/DFBfZH+rjjRJik9PY4uiKLyi01Te7H9Asb8rhN8pQ72ik5L4AeGR3skJGYlJTFRScmh79rdpBaLS4xNV6tOud41OsFJX6mnzRUWnp6fGx2Skq9KsoqIz0pObxceld8wfFZoazzauPr95vigF+3u/5NTE6HSrqKD4JLb/HgmqAlFeyalsm81U8R06pueLYpnJqcqkOFX3QlFKtKNNFtHUdFyq+RU/hokK7apKTY2PU+WLStesETuSvYz14XhYofikDuqqWFSiKrWDSpEU562ClnodmagUVkeVmpRWOCotIyaNHZwBg6bRqWlm6hO74595HrM85J+5ublZ7tyaE5SbW0rscm5R/qTzafZe8UnAh8Z0Yn8TFJ+Wrj53vE3OIeotTC0fUg7B8bGpyWnJ7dPtQ9u3j49V2au3RXKKvW/3WFWCffME9enq+XXGINvfDtKuMOJ2v43TGwAjav12BL99/i8bqix6AyQ7UmgKWX7zfhE90tJViTqb01/F7oDxsfbYku1krVpxkQj25pDUobZNYlpscmpCfExtm6aq1DR2RH0newf8r7aNd0ZCekaqqn6SKiM9NTqhtk1YRkxCfGygqkdkcmdVUv0YV9do51hnF5m7o5PKwc29TZsV5n/QgKhMhO5uHI+dq7Zgn1PEsXsm1am6UXvZH/TqEB0b6+wYy3bZXu7gFte+TZtc6tuIxLKqmVmxiPjEjAT1XmxD4GnkZqT9p7lXtKqKzwB9uPrr129vEZjBgr0fylBFRZlZqjcQ+1/e9+zYv76hCOc6+OrXr7zv2Ln+YncVznIWs7xlZ/m7vVg40UVM9Iad6G92buE0n9hpzF+z08AMzZm/Yi+gQQDMX7IXAEEs7wv2wp/cNIQUfnNqf5gzxaviERqb14l90MMDH7t7WOvbPXLuHdxUpTDe/CHbGXYRkM0fsBewzbHBzO/TavdotbuUmvkdOnabjt2iYzfZC1gFUZ8q8KmKftx4n2p/6VND7XOJ9rlI+1ygGz1PN3qObvQsHTtDx07TsVOGfBzh44R+6vE+zn9583VV+xymfQ7RPgfpRg/Qjf5HN7qfju2jY3vp2B5DPl7w8UY/nsRHc5WeTeFbFcO20a1v5VpXt7GF7imb7mkz3dMmOraRjmXRsQ2GWg9D643Ruo+2dUn4X26KSPWmWEn7rKA3xXK60WV0o0vpRpfQscV0bBEdW2jIJwo+7dgfeQNYl+I571PU98W52aRlVHRcXKoqLU0SldyNfVTLF5WKq0Jx2TxPnpI5BzZLTu0ck5zcGfc5CtF7quDkOFUCu1Lqxw7v5KT0VDxyptbS+X2z1OiUFFUqZsF/kmi205Lqe9Vo9jG2qyqio0qVXlHh5u6hdHdgsJLM+LysVyArAyFJnJ4BMg+lm6tmwAQMCCEDOrADCvnEq9L8EqLTOlYMlXk0c9LkJiLXmOQ6sTkpn1NgQrkmOAnBSBJMFO/AxdFD6equGTAZA5qRASniA5xcPJQunGMmBrQkA9LEBzg6eSidHDUDpmBAGzKgKzsgv3dyGhuSsSsnd9GEpiLUjoR6IOSX2jMsXUduGkKxJNSbDZUQoINlHk24RZuOeHsS7yfeqZyd35FTm4EB8WTAQKpTZw+ljOt0JkIJJDSEDVmLrDCfn4V8MskPF20aktxqzUY8lcRHsfF86h68nDy8ZNw6zGEzeTPY66sInqpFKPGfd3RsRxW5J5BobkJpSezLF/a1V2xGWnpyYhj71IB94cYOj42PTsCTRHLryhvVISM+Lk8U+4O9ceXJbVbb0MsWzRNan3h1GZ3aA7cU2Z90VSuCQmNURT2j+Ps2pPJxT3X92fbUTyokY9klqh/JPtFhb63q2y96UkUnptk7yl0iFH72oRnpKRnp9hGR4cFRTcLC7CMjQoPsg5XNfX3sg5SNmyh9mHG4D0ph76b+vnOdZzmFyH0Fkxd3cEm4J/z161dJF6b4kJcPQ9bNLd1mbLWGyu618PEgdvNhE0omsXBH3f5V6RkpnIVdWKrmyRwUwsKV3r72jo4uPkrfCGYy7sk7swx0zlPjOar/tryJDz3LeA1pGewY86tI3dM12St7EOo0drD8r6jqxWSmA9peAI3joB5O392rWb31Gn5t55aTg4YtPAVoLwKd/ddQmYu/IoKZA2i0ABrFQcvsv7F0Z94GQdkrNp5sX6BPu5OA9iHQBexgmfj+oVlIsoM0DYqI9Alurtk1mIVgthYwW5JtOvFY04b7fwSMN5cvKOoU7tUbzH6EuZQd7PAH+6QuchmQzQTIJhyyVLcdSy16uyvXBvmcbPfpq7IbkAMIcpV+pHoRxZGrgQwXIMM4ZPqNTw0eBaQ0WlWx06NCYw5Gva7BXjmIINf/8cqGBvkFaZkbwAwWMAM5ptvQdSt35BvhvUT59nH0gxtPXoE5hDA3/6mmDjIbyAAB0o9D2mXlnjfkmp3Pqu9jfKeMerGmI5DDCHI7O7jhn2hq72F83Fzs3B24+5jI0EhFELMDHXgLOlBwHTT8ZesWu3GDz4gn2c1muLmky6rh7x2kgz3s4AZ/IG2ogb1ooIGggXpcA5MezphvnislYMqh6mH/5beYXgMNjCINHDCmAZluAwfRgLugAVeugUaWk2+W+LhbOWudvMNTy3z1qqOBMaSBo+xg9z+4QQUrIiL8whXeHDkswDckNEjGHFO/vuTYZlq2nGz/KbLbh4Pa+44KCE3ZXaH48RmIjyPsU//CljOnMVkdAduOY7cc61G1/9OgwJWLOuzJGpI4UX0HO4Gwz/8L25G5gMlsBewaHHtY+KX4O5La/nNGPnP2X3RCigcF80mEfcU4tncLb2c7hYy5ismqCtiVOfZc5+2WA6/0arSriXWGo8w5cyrimYR902i2C9i3MJmNgF2eY6usdqZeyF4QkGUferzffxnHpiA+lbDv/QtbztzHZGUE7FIcO6jwd9WXfceUS790/Lym6LZ6mYhPJ+zH/8J2ZJ5gshICdjGOnWtL9do9hu/yHHV3efFtT3uPUD+DmEnYL9jK7e/ZivBgLPlLzFVYgC7EoRVHFt1c3WKd58ouBzdlJVXpimc95rMJ+u0/oOXMO8yVX4C24tDtas2c1OBKsuecGS+ilpwv4DwR8bkE/cl4tJeM+Yy5LATovBy6xZWhR66PCvOc9G537Q57ulSegPh8gv7+D2g58wNz5RKgzTj0gmqX1g8Izxuw2zb3wmtNVoWMR3whQZuz966uf/KYlnNHC1CEM7lw1/zjSk7ytysa8pFGw1WjvxQMnFj1wbsZr7Pn7a/CXrmYkCXsYA8jyF7KUPyGsQD8swD+kYM7DL74+tXxOX7LHn8peKjG8fn7AF9K4Pmq6b15GYRzS54f7HcC9huObf28UIeXU7t4TRqZb0xAWkiHvWAvJ2zpv7BlTGGwXwrYzzm25e7P7bvPO6hYmu2wfczQD3F7wF5J2MX/gc3ewEqA/UTAfsSxcw/reX30EdeA3Tueveu/9ujL3WCvJuzS/8KWMWXAvi9g3+XYZXNZjTjR9oZifpHsC0WypuTeBfZawq5g5M5G7k9tAL8lgN/g4EcPh2V/WbvSf/3kNz5jciX13wn4egKv8k9wOVMV8KsC+GUO3uaj/8e2v4r6j4y2Xlb2YanJOwDPIvCa/wSXMbaAXxDAz3HwHc3yH7t+9nTIrlLd4+632Ph6O+CbCNzeeLj6qUMdwE8L4Cc5+OiRm8o/uFDBd/lPb/Mq+1UftwGeTeCORsLJcyYnwI8J4Ec4+PiguaN3nD0VPOjq4XbLX34puBXwrQTu9k9wOeMO+EEB/D8OfvjbfdmLx8M8d5Vrujus2cfELYBvJ/D6/wSXMQ0A3yuA7+bgzS7Ve/mwV+egKfkSPTwt5+3PBnwngXsZCQ+xC/AOtPNivAHfIYBv4+ABi+XOKUFWgYsGyNs+z2Pnuhnw3QTu/09wBRMAeLYAvomDmz25X2N79dchi78kDKrrljf/JsD3EngQO7iusTc1ls8Eg75BQF/H0at+WxZdrIRLwLLezao717vSfyPo+wm9sZF03+aR4XbKkEgmHPTVAvpKjl7TTdEz7XnuwHFlF1Wt83hb6yzQDxB6UyPpQf5BwWp6M9CXCehLOHq3MdXXPU6a6bPBLfZU3fYbFRtAP0TordjBLkbQA+QRTGuAFwrA8zmw/bQKDeUXpwZuKtlp0LLcYbL1AB8h4HbG3tJ8QyIVIb5MNOBzBPBZHHzOKt+FaXPOew2Q5ut11P3AhXWAHyNwlZHwiCZBfgr/EKY94NMF8KkcvPORo5fL9KmsXBscFNasy4NOawE/QeCd/uk+JoLpDPhkAXwiBz85VLmryY/dAdNy/8hMc7hyZQ3gpwg82ci9LSw0qIUd+3yCSQF9nIA+hqMvO3C1/1uX14q1W1erKuyfXn416GcIPd1IeogiLCAyQBHEZIA+UkAfztGHHU2udXl6us+QXja7rvqMPbMK9HOE3sNIukzuZIcOmJ6gDxHQB3H0eivuFf9ps89ro2Tc+IPTqjErQb9A6H2N3OzKEB/fEN8Iph/g/QXwvhz87fSGlrVWVQ3d+fJo6bWR92evAPwSgQ8y8hkkC1eERDCDwe4lYPfg2DdsHLp7TVgePGtwyx4PLnn6LQf7CmEPN3LZfZRhdt6hwWHMCNC7CujpHP1scsy7Xj3c/ZYmPJv5Ky0ycBno1wh9jLG3thbh6mUfC3gXATyZgy8Mzn/l/o0hfhPLdZ0X0ubIgKWA3yDwicbe2tibuiIkMoCZBHqCgN6Jo0senrwcObiZ95ozw59dTbgwbQnotwh9ajW9L45//3KJmQZ0BwFaxaEzFw4K8do9J2TOA0nu/fuXWCwG+g5Bz/oHtIKZDXSMAN2OQz/L61y4deuZPuuly4f1Sr53cRHQ9wh6vvHPJVzDgppEMAtAbyOgt+LoSw6MOnkvz0bPxYlV05Y3iJQsBP0BoS8xku6lZPlBoRHMUtCbC+hNOfraG4frrBoUG7rKqfnmo4d771wA+iNCX2nkzVz9PMqLWQV2hIDdmGOPfGuX7jljp8/uQyfO9V5/qdV8sJ8Q9rp/YSuY9WCHCNhBHDt4a0fXuHNV/LMqlFxq3li1bR7Yzwh7k/FsZ9Z7M9hKAdufYy9dcjzcY8pyn42JI/MVGNw6Yy7YLwh727+wFcx2sH0EbC9y5ya/Z+3e2st306x5Mxr8Oms5B+xXhL3b2McUu7BwP1Z8D+ANBfD6HNwnrFW1BmMrBE21q90iNa3g29mAvyHw//4JrmAOAO4hgLtx8CnTB6+v9XSZ16INm9+XT9u2dRbg7wj8iJG3s2BvuzBFuMKPOQq6s4DuyNFbz/XzPHnazzOrn/3ZdZLpvWaC/oHQTxpJjyD0U6A7COj2HP3Y6tiQhrOuBU66uynP2y/zq88A/ROhnzOW7o/XC+xmPw96LQG9Jke3G/KkxKysBl79D8y0b3069ut00L8Q+uV/oyuYK6BXE9CrcPTKp8o+HNRxUcBOx4GnPQ60GDsN9G+EfsPoV0sBmldLN0GvKKBX4OjJWRWatvue6b9sb5LZNffdP6eC/oPQ7xr72BLuFaKm3wO9rIBemqOX8qk8ZXLSpoAhe7cXUwyZVGMK6L8I/ZGRdIW30kdNfwy6tYBenNziFE+OOVXpH7Dqe8t8/W075MoE3bwkR39u5PvdEYoQH+YFyEUEZClHdlnV4cn70719NgQHJG9x3B01GeTchPzGyNeoiogA5i3ABQTgfBx40rIGVyu+3aWcElKqyLluzQZNAjgvAX9kBzsZs7mZT8BaCrASDvuh3+1qKwstDZz84eO4Yt06+E0E1oJgvxmJjWC+A5tbgDXnsLOmtFg3pVf9RrvzX0msIJ05YwKwDMGaVTfugSxC8yzdnB1u/vNyTvb3yxp26Qvvi9huPuc95LHsW9cNFf3Gg52PsPMayQ7RsCVgfxGwP3Hsb+UvDAwaUSJwof/bd9+a1u06DuwChG1V3ci7FCV7n9KMvTvNB/p7Af0tR59j3fH9ss5Xg5cmP3r3MtNs1FjQCxF6oX+jKxgp6K8E9BccvXXZaaVSqlb23XDc/l79HbccxoBemNCLGU8PUrsXB/2pgP6Yo4fXKX6ze6vdAcPvfOzRt/6zZqNBL0ropf6NrmBKg/5AQL/H0WOe26abTbDz3/ir8Z4261tbjwK9OKGXr27c8xe87afwjmQqAH5bAL/JwTfPeqBo3HqGT9a7Ya227rq2eyTg1gRe2dgbWxNsdqYK2NcE7Csc+1OAvODDxRdDp+yvdWGqz6nDI8AuRdg1jGezy87UBPuigH2eY9/2eFFk9eO2ioEVrt/rWuH2zOFglyFsOyM3uX8ThVLhHRrE2IN+RkA/xdEXfFk6t2mx0aGjM50mDgssP2kY6OUIXW4kXRHkHRqA994cQT8uoB/l6MrvmZfaBpwJzXQ8EfO8ofT+UNArELqrkTtcoG9kKN6KcAP8kAB+gIOXujFn9O2BVbyHXl7g1cG2SL4hgFck8HpGq/v4BrTw8WXqg75PQN/D0SPK1zv28leFRrM6h7v0HfX0x2DQKxO6orqR7wewT10iGC+gdwrQ2zm0Z/zuIsHriiizS2ZEpCa3qjQI6KoE7VfduGcPIaFyxh/gLQLwZg4895wirI00UbnCaveYqRlXewwEuDoBBxoJjmDBQQBnCcDrOfDT4j/uZ19oosz8uH9EUfvlswYAXJOAw4zc1DI7ryaRviG+TGPQ1wjoqzh6b2XnwzFnFwRMumFubW4R2rE/6LUIvYmRe3lYeGgY4E0BXy6AL+XguyteywouogrKnl3occCWzYv7AW5H4C2NvGvzjQwAuxXYiwTsBRw7Y+POlTUfj/BcnDHj48Ra9m37gl2HsKOMXPYQLDv+pNEO9LkC+myOPn9PnpDG/geDVjRzqt6wu8K2D+gyQo/7h2UHXAX4DAF8Ggcf2HXwucuNLgSvaPF9wslGT7b1BtyRwOONX3awO4GdKWBPIk/fZNXa7k744bOySLn3p2rnfdkLbGfCTjJSPJiDJwM+XgAfy8HXD0l51WjPGOXa1/MGrD/wrkFPwF0JPM3I27g3extPB3iUADyCA4+aOW75x7aT/aaltAveO87VpgfA7gTcnR3sbBSY6QHuUAF3MMdNX+Y78GeNuz7z1m/ck29Jn+/dwa1LuH2M5CrCmb7gDhBw+3HctIhcV+vIU5Tz+zWftLdVQO9u4NYn3IFGckPkzCBwewu4PTnuhIjDZUese+g/6b8jjicr9SvVFdyGhDvMSC67fYeD203AzeC4h1TTOzcrXc9zrmXmBo+UvcUywFUQ7mgjuQFyZgy4qQJuCsdt+c02K+X1k6BB3VLiHrct2CYdXG/CnWDkA3UzRaRvODMR6EQBujOHHlxi9n7zp509p5k53WnwrP2zNKB9CXoKOzhQB+2VkBzbOc0+3E4ud9Ycdcb9Rh4QaResUIZwRzoEhwb5RrVQ+gZxf7vgPrI+Fd10FHTTnuvG/N1Tu14janpmbrK3lR+6k7WoEnulP+lmpqm6UXDdzEI3sYJuorlu7BNK9G70rFvQliH9vvTo97bkQnSjJN3MYwcH/Ws3mnfauXbmo522gnZac+3UtHFrfvPiy4BBLee0O5NXNmwB2gkk7Sw2UTvO2naWoJ0Wgnaace1kXq72I+Szld/GOWtntz9TauJ8tBNM2lnBDg7+13a4Dy9x/axEP5GCfsK5fqLT3xdpeeC1Ytj1Qte90oYrZqGfUNLPWtP1I+f6WYd+QgX9BHP9KJqU6TbUzstr9ewJB24w3rlmop/GpJ+Npthcmg9wcu1sQjuNBO0EcO3M9B04tNu5vSEb/DIsrvTosGIG2okg7Ww1WTsyrp1taMdX0I43145Vw2UlGkrivJb3fuLnEm+9ejraaULa2WWqdhRkdXajHU9BOw3ImyKbKk45V/tbyLQNif4Dqjt1nYZ2mpF29pusHbI6/6GduoJ23Ll2CqT8DHtQbHHI0L43Mwr1LyqbinZakHYOm2Jf5j4MyvVzBP24CPpx4vp5fWZLbaWih9dU65X5BxU8kzUF/bQi/ZwwXT9kc51EPzJBP3W4fqbkkXxWhWz1nne/1ZDLB+a9z0Q/bUg/Z03XD9le59BPbUE/tuQZaaxn+3vtLijmyedZxxRrOmEy+oki/VwyUT/OfD+X0U91QT9VuX6sS0he5eowqtH0suEdL7ovXz4J/USTfq6b7r6Q9HMD/VQS9GNDHtd3fPjv64gw/81LbbZnL6j1RVkeD7yknzum6yeC6+cu+ikn6KcM1092SkCH6LtbPLft63i+3utHQwLQj4r087B6zjf7tf3IZA4c2jvU109mL+Peauewj4AtKcCW4LCuz79cMttWwHvswEJtZzm1GX4A36/VgWCf/Q02hMY+B7aoAFuYw/r29pkZft7Jb+Umy+PLjnxb/R+w8QT7WvB6yQCWvMHOgd8AXFAAzs+Bx0Vb9447oAic/iDjvOyKtXw/wJ0J+IMRYPLc5CPAjABswYEb1u5esfHJgp6zzpgPTRo47NY+gBMJ+KvgibwBMPfWMsf9Bm4eATcXx/X3OOBeMmGk98abF8+NWrOv915wkwn3118KB1ErbYaDN39dygn+cUkDLv48uYzPzdTQuctatUxf/vbFHoC7EHCeGn8PJiudF+CvAvBnDvxyw4aFKzomeg3uVii48cPTbXcDnEbATI2/uSWp30fnsFbAfhBg33HY/eu/PaiviAydm0+hGLnx6rtdwGYQbMG/xAZpsYWAfS3AvuSwT2U91m3sONdnd6GpP2b1l3nvBLYbwRb9m2Um755z4GIAPxOAn3DgfcGf69c9/8Vv1uKksMVeva/sALgHAZf8GzB595gDlwL4oQB8nwO7d2vbMPJNB/9x3QtcztW+V5vtAPci4HI1/uKWxL1nznHLg3tHwL3Fca+5dTt47nWCcn122pSbQxqotoHbh3Ar/Z2w5i8FHLgywNcF4KsceEZ4uYMDfG96Lunpe7r8h2rrtgLcj4Cr18j5tQaGwHinnKPWAPWSgHqBo7Z7tuVa5cxpQQvLfN16eGvi3i2gDiDU2uzgyrrvAKjS0+OTOqTZ4+sHo1T4qobodBVjB8rZSzmPRj7NUW7lcZldav3l0GVPDsXOv38k9TY7ufkgQpHV+MPD+3UOQpcDeUKAPMYha2QfHlU3uH3Ikum1grdVs76ET0KaDyFIF3awnShS7ioX57mCd1jAO8jxpic36Nd8zeyA0V+aNyvyfGG5q+ANI7y6+nns1hPl1QNvv4C3l+Nl7Yhavn/NPp/hjzpFt8zv6R4B3gjC89TPc3YW5ynA2yXg7eB4dePXFF+0q71i2NQdnZfnO+h4vATesSQ8X3ZwHVGei1zeXOd9Ip7oB+JWATGbI2593HDpqe27/daMf7HwavPwOb4gjiHERnoNnRycxA0Dwdso4G3geHbSYOdS96p5Dl74XVZSdrbDruLsleMIL1T/ijrwW1Dn2yDCwFsr4K3mePNSzJyfe0QpVhdvkyv31xYeruBNILxIdrC9KM+Z32NyLGgTAFcIgMs4YEb5Kk6TTn4KGDrncTGz08rMdcXYKycRYAvBXdufHSuNQ1hbArxYcCezkAP/KJbfu8iyTO+NshLy26NyVaoJcCYBt61h1EHa5AjWKLDnCdhzOPYY247P9rjFKMZfKLJ/9PA9CTjXmPlUwo41jk2OsooDe6aAPZ1jx007V9Cnqo3/ylmdstreO3QY50Qzn07YHf+FrWDiwZ4iYE/m2PdKzp/bYNstnx1nS9erGzNpSzWwZxJ2Yg29fyj57YHxOMYqCfAJAvg4Du4fNqB6ya1FldPnBPoXexxcqirgswk81Ti49hCrNMBHC+AjObhrzAnvh59a+Szo7HnA+767fRXA5xJ4N+Pg2iOsuqu/zEQAH8LB396seHyhbV3PTe0sjjKpud5XBnw+gfcWPG35IzgOsOoD7kABtz/HVTRNa5z4YnPAtqOFpL1qrkisBO5Cwh1g3K5Gjq8aCHYfAbsXxza7V+xojCrWM3NDQ6nlqIlxFcFeTNhDjWOTw6uGgd1dwO7KsfNOG2Pp2KJC4OSUwu5h18IdcHZC86WEPcpIb+7oqtFgpwnYXTj2zoUFE/NtreK1Zd+juq3215lUAezlhD3euB1Ne3DVBMCTBPAEDn7uhGPDzHp2/jMO3m7dfK7ddZyN0XwlgWcaB9ceWzUF8HgBvAMHvzKnnu2Mk82Cspy6Te4X7HMHp400X03gM4yDaw+tmgl4nAAew8E39L7460z2a5/RRy9PGrikekZZwNcS+FzjNjk5smoe2FECdhuOHfFtwRZVxSD//nN8Ztnvuv++DNjrCXtRDaO+gYI7sGox0C0F6OYcOqlerS69dswPnpt8p7Bk51p5aaCzCHq5cWuuPa5qBeBNBPAIDj7w+Pfpd+6vDhhf9tSyNj+jzpQCfBOBrzHyZsYdVrUW7DABO4Rjd2pltlIuz+U9fNl1M4ugB5Ylwc4m7Cwjb2bkqKqNgAcK4EoOftS5Z1xw9V/BqwLnTXs1atM+a8C3EviWGno/B/3brxxhtoLsJyD7cOSOO1p/GdHHyW9i/2rbAz3qrMAZXM23E/JO48kKZhfICgG5IUc+uLxSfGrbnsqdP9YWfVamas/iIO8k5H1GP3XQHFK1H/B6ArgHBx+X+evdkgkyr0UdSk5MOHyqNc5Xa76bwA8ZB9ceUXUYcFcB3Jm86TBzeOvM95MCssv26uBeqrAEJ9Y130vgx427eXMHVJ0AWi5AO3BoZ7/wRn7urz2zrI8N3r1kYJkiQO8n6DP/gFYwZ4G2E6BrceiAwoMDlIW+N9qZ7RaZu8jSV4WBPkDQF41G43CqS0DXEKCrcejKk1p2PPTVym9JrxGF744pPlYK9CGCvvYPaAVzHejKAnRFDm3jGLl3xOcZvhPWb+p0qez5r4WAPkLQt418GOEOproDdnkBuyzHbtHugNX2xm6Npk4rmt/OOV+lgmAfI+wH/8JWMA/BLiVgW3Ns2x6BR5d8vu0/bH7S/hZRm5YUAPsEYT817gamPZTqGeDFBPAiHHy4f1HXUw0re06IGtrXbkLuoTjBtfkpAn9lHFx7JJX6+xQLCeAFOPhi+yuFu9874tv/WEj/a8y1hfkAP0Pg742EkwOpPgBuJYBbkmcOa0s2GB2e7bl78BarWk4ZkTijt/k5Av/yT3AF8xXwvAJ4bg6uzH59evU0m9CBLSPsCv20GohTj5tfIPCfxr4k4g6j+gW4mQD+8yJ3zzajzrMzsUcCB9jcdlj31svNEvBLBJ67pnEPJ+Qoqjz42s5vF3PCv3DwPvcs+wwqc8NnXMK8zYNO3oyyAPwKgVsaB9ceRMUA/lEAf8/BB+WpE1V5Q1vPMY3uT/bbnDJIAvg1Ai9Q06g3XNTHUBUE+I0A/IoD99/3ue1Rn9GhW2OC7bIXBXbLC/ANAi5S06hXoTiEqii4zwXcpxz3YuqKg7NKL/Bed2/+kdx1S03LA+4twrWuKfhq3j/a1ExJUB8JqA846jLX113ajerqP6LQzZoHUn325gb1DqGWNY4awZQD9a6Aepujjh76wGVdtzp+k1X3y92YGFAxF6j3CLViTaMeurjjpyoBfUOAvsah33U7s6Hfqh1Bs7Y1njWs6rHc5kA/IOhqxqG5w6eqA31ZgL7IoYdMrWJb0Mfab76yU/ylxVsZM6AfEXQt425P2qOnagN+TgA/w8EDR75/NrNoY//Fd651DBu+8+evouyVTwjc4Z/gCkYG+EkB/DgHX5frevTY9+O9Zp/Jrtf72YK9PwF/RuDORsM1x065AH5EAD/EwUuO/zlxZt3PXjO7mX1KP6Kq+gPwFwTu8U9wBVMX8P8E8H0cPMCzxq2kjyP850bflaQqvDp/B/wVgTesadSzFXLklCfYuwXsnRx7+McZeydvLRm42qbT4M23Llt9A/sNYfsYeSvTHDjlC/Q2AXoLh555+WDJIRZr/LJGbmlf2LK4+Veg3xG00mg0jptqBPQmATqLQ1t1b5gUX3JxwPTmeQ4OuHRj2xegPxB0iHGbW3vYVCjg6wTwNRw8yvWWc9qVhSFT1qjGfXVO//IZ8E8EHmHkQyY5aioS8JUC+HIOPq3SrqCBbfqGLlub2OdZxjjZJ8C/EHhz4/Y1ctBUC7CXCNiLOHatu/b3H76JDtrxpf5N61Ej53wE+xthtzFWnDtmqi3g8wXwuRzcv+o578MjryiWhR2SzEl60eID4D8IPKamcS/31YdMxYI8S0CewZE3fv7uPaPR5OAsyzxMf9usJe9B/kXIHYx7soAjpjqCO1XAzeS4Jfbcn7AvvZnvHIv25gWsYga8A9e8FMdNMI6LA6YSwZ0o4I7nuNXshuz7L53xGWSRXuHQt7zX34Kbm3C7GLeZtcdLpQI+RgAfxcG7HK0zOe3+nYCFyTGb5pfcJX8DeF4C72rc/k0Ol1J/hf1wAXsox04d0G5deLctPqOaXrzdIPL88NdgWxB2L+Pu0LijpdRf2D9IgB7AoYOCS/9q82uVcubL8d+8ntwc8wpohqD7G7fm2oOlBgDeVwDvzcF7HejWvFp8F88dNXpNOLboodNLwPMR+BDj1xzsoerzQAjY3Th2Bc9y5cqZq4LGrHk29dOj0K0vwC5A2CONXnOgRwGdLkCncui0dqkfx9d667Pqx4VBa4dc8HgOdCGCHmecNjlSajzYyQJ2IscunZDt8E1+03tn0ZQ6A+bcn/cM7MKEPdm42zYOlMoEt5OA25Hj1unTcmvLMIlycBsfu1m3JA+fgluUcKfX1PtlCoa5zAxgVQJsLId9MOXpzyYrG3lNKdjvXPldxW4+AbY4wc4xDqsIZ+YC206Abcthm/u7fNghqeK7rdfc2MFhz249BtaaYBcahw2RM4uAbSXAtuCwsxc5vY8YX0Ix2C5X8ojnfYo8ArYUwS4zDstu2+XANhVgIzns9XtdGmd6VA8dtrpv+6GDqwU/BLYMwa42DhsgZ9YA21iADeWwBcdmWtg2kDVau6jtleeZpRwfAFuOYDcY98CsOUQqC+QgAbkRR7b91XNG+MnFQQtevitw76xZt/sgVyDk7JqCs7+IknOcRILZAqj/xZwfEvG9SA4nvmPXw22Y/6Skh3WH7m3WajqgFQl0R029J+8Qh2q8uQ+jcaeu2IkOvATanlwHdnYn1vVP2u69QFZI0Xlr+3tT0UFl0sFednC9v+kgwt8uXAe/D/j6AnxdDr+kZ+T2zE3uXiM7rjpd+Wab8pOBr0rwB9nBnn+DDwpoGhxhJ3PWaeEQWnATbAMXroUDq/Nvix7k4LMjs8yprvW6L56AFqqTFo6xg/3/pgX1p5L8dBZB+7e34+jEUbAYMq4TswF+havHNQpanPG51vEOBVuPRSc1SSc4B1LAP3dC/uB9Bq3YC1qpTZ4uBt9NefLGyW/2taJv1jVNPz0GrdQirVwwyaJwf/e/iE5qCjqpznXS72rZOScqtfeZsjL4QacLVwuNRid2pJOrJlkU8ufJa2iliqCVSuS57JFr+abvyBUwp4f7o3Pf1r4fhVbqkFZumaIV7WcCbqOVCoJWynGtvNwYvzn8jnnI8kGrm7iaPf41Eq3ISCv3TbF9yB/pH6CT0oJOSnKd+C5Y6LpGWa9R1oyDqXmUT4eMQCeOpJMn7GA/E3SCP9k/RSPFBY0U5Rq5dnya7Ja1q+/Qpwuq+4ZmZQ1HI86kkZfsYN9/bUTzp+RX6EMq6KMgeRP8ypD5ijs9G60/Y2cR2Lfj7WHow5X08c5UfSiY9+gjn6APhuvjcMD7L/dPPgmZ+W1iVJcIJ8+h6MOd9PFZ8Iw0XJWWkZCeZhORkZgYndrDvkl6fEJ8eg87tiZNsfQmkd6hEZHMF7AlgvvUPBy78pJJHneHrg4Zeqp/oZOje3yxKIL7fML+wQ6uIfbx6kg7R0fy8WovnD4vKjyc+QmUuUDz1wXuIbR/l6vlvGO9F6wsyVyc9TP/hsJ4wCGoXLY5P9gpgvLz9fWJiohU+OP8dA5MbnaM+fcLOYFfOWD7RTXPKXPfU+zwaV/P37p/hfUANiRAC3Zwtd8BQ9QwxhKgTwLQBw4UVqpL6ei+pf23X7l2/Gz5iqlrAVIQUH5b/YsoFyxiAaDeClCvOdTh4t9ON5h1xW90VuN9eXzrF16fn73Sm6AKG1hEudgiyuVMEQBfCIDPOOCZKn1XjOk4KnBMvehihW7MOr8OQF8CLGFgEeU5FtEaoMcC0EMOZHVr/q4nDTcpx/34Uf/LpOtxawDyJ6AyBhZRJljEskDdE6DucKgy7+MsNgzq6LP15amB7X8ca7fOgr1SSVA2tjk/dy+CohdR5mAnYyoCeVOAvM4hfb3eyktsfeiZ1X3I+SWKjhvXAhlIkFUNLKMsxzJWA+iKAHSJA/3sfWSmRG7tOeZR2wNtW3ezWg1QMAHZ2uZ8nuaXkNwtDacHjU/qYKM5p3aavY8qLb5Dkh1OQYmnRKHaA/x8m4eFy5laaOG8oIWzXAt+jb4tL7tgrXLp8c/Fh8VU3rE2F143kBbqsINtxA+eUCXj8Im06K4qxgGIUxdy3m2d4BAtv9XY7hGT4TPUwrxa7a6Ka+3N8WKFIJwEy8kjYpOTkhPjY9OiNGdGZZwBOioAHeZA1WydXm6JSwmaukG55fjT1NM4zbp5BAG52wpeXcX3xEJGJ8XZ4ISq7GV77+iU+PToBJTqe2wsMeMB7AHBEu7nsCPHdd+W/2ypoGEt6s9+UrR/dQZXNiHYBuzgJr/D+nZXxWaoT/7KPUwoQ5r6RkQG+4ZEerD3EWxHNuHR3WyCo9NVqfHRCWnqgUxD9LVH0Ncurq+d4xPrPu1+JHTrQucv4YUtD+XBlc1IX962gr8pCvvyiU9VxabrroYPqNsF1K0cta/rodavD5UJmTrqRvHNs3c7WqlfdhNqADu4mQlWIyw1uRPbmQ23vTTroURnmwWdbeQ6a369kIv79+GeM4cd37qiXt2y2IHMW5HOgtnBjU3QmeYBPl7FbaMQ9LRe0NNarqcvn5r5zmlg7rtlQb+9NZRPi+PMvOZtSE/hJuopNEWVGq2+01D3FIGeVgl6WsH1dH7xne+/oh76Trc+36mpe81HOOG2eRTpqRk7OOKfesIdVqoqjt2j01U2ye1twlXpGalJTHN0tVTQ1WKuqxeV2hZ0n7TXe5XLzjH9g1fgYcDMPJp01Zod3OifuqoUZh9qbxPG3r6S4yoxbdDMAkEz87hmsi+6HN5QzT108NK6byvHDC9kqX4njTQTzQ4OM81OHpfB7uQR0QmqNCYGLc0WtDSTa2n+5wELmH3XAxZK23eJNO++BFdaJJRChP1Pyv6XR/x86ur7UZxemsF5rhmclrtAAYvEPx2JU5AzOF95gYIWSX86CKf1LlDIIvlP8zi5NoPzdjM41zeDc40zOIE2g9OUMzi5OYNzrDM4Q3YBi7xWVc3M7Aydo9orPimO3QihMbgTwVmb1eeNjopOTY3uIYmKTc5ISs9rpj6ZNJPBLrtE3R47aT/uXNP0XP6qJHanibXHNO1krVpxkQj1abBr2ySmxSanJsTH1LZpqkpNY0fUd7J3wP9q23izrwwyUlX1k1QZ6anRCbVtwjJiEuJjA1U9IpM7q5Lqx7i6RjvHOrvI3B2dVA5u7m3a5Fa3Gc/On5Y3Ki2+p8oyqqtmVrZFS0umq62Z9l+eEmzDK8z/oOOcK6X+0oCIjBh2R03PwBBynuvaNoKzYcex60ipqc3sZX8g5xAdG+vsGMtqtZc7uMW1NyTHPnLV+uMmW7XBdmMXoxu1GOal2MXAbsF0Z3+rvkerwlbYpjqLZl6V/Q0WTnd0DTK6F/tb9eOoo+hoJ9HRrmR0X/a36hutl+hob9HRvmT0AFvNjcU8THR0Y9HRkWT0YFvNicjNo0RHtxMbnRenQf+rk72jP6uo+CR2BwuITuuYu6zI7ocr0rGl1LevYbDCaUfBYoajmk6qEajmkGokqoWkGoVqGalGo1pNqjGoNpBqLKpsUo1DtYNU41HtJdUEVAdJNRHVMVJNQnWaVJNRXSBVJqqrpJqC6happqK6T6ppqJ6Qajqql6SageodqWai+kyqWah+kGo2KpxzU13NQWVBqrmo8pNqHqrCpJqPqgSpFqAqQ6qFqGxItQhVVVItRmVLqiWo6pBqKSonUi1D5U6q5agakGoFKm9SrUQVQKpVqIJJtRpVOKnWoGpGqrWoWpNqHapoUq1H1Z5UG1B1JlUWqhRSbUSVQapNqHqSajOqfqTKRjWYVFtQjSDVVlRjSbUN1SRSbUc1jVQ71A/epNqpfnZBql3qJz6k2q1+ckaqPeqnj6Taq36CS6p96ifipNqvfjFAqv/UL1lIdUD9uolUB9Uv10h1SP36kFSH1S9YSXVE/TqZVEfVL9RJdUz9DgGpjqvfmCDVCfX7IqQ6qX5DhlSnUH0n1WlU+Kp1dXUGlYRUZ1HlI9U5VFJSnUdVnFQXUJUm1UVUFUh1CVUVUl1GVZNUV1DZk+oqKkdSXUPlRqrrqOqT6gYqL1LdROVPqluogkh1G1VjUt1B1ZRUd1G1ItU9VO1IdR+VilQPUHUi1UNUyaR6hCqdVI9R9SDVE1R9SfUU1SBSPUM1nFTPUY0h1QtUE0n1EtVUUr1CNYtUr1HNJ9UbVEtI9RbVSlK9Q7WOVO9RbSLVB1TbSPUR1W5SfUL1H6k+ozpCqi+oTpLqK6pzpPqG6jKpvqO6QaofqO6S6ieqR6T6heo5qcxqsdUbUpmj+kiqXKi+kSo3KnzTjLrKgyovqfKisiKVBFUhUlmgKkYqS1SlSMWgKk8qK1SVSZUPVQ1S5UdlR6oCqOSkKojKlVSFUNUjlRSVglSFUfmRqgiqQFIVRRVGqmKompCqOKqWpCqBKopU1qjiSFUSVTypSqFKIlVpVGmkKoOqO6nKoupDqnKoBpKqPKphpKqAajSpbFBNIFVFVFNIVQnVTFJVRjWPVFVQLSZVVVQrSFUN1VpSVUe1kVQ1UG0lVU1Uu0hli2o/qWqhOkyq2qhOkMoO1VlS2aO6RKo6qK6TygHVHVLJUD0klRzVM1I5onpNKidUH0jljOorqVxQ/SKVKyocoaCu3FAxpHJHVZBUHqiKkqouqpKkqoeqHKnqo6pEqgaoqpOqIarapPJEJSOVApULqbxQ1SWVNypPUvmg8iWVL6pGpPJDFUoqf1SRpApA1YJUSlRtSdUIVSypAlF1JFUQqkRSBaNKJVUIqm6kCkXVm1RhqAaQqjGqoaQKRzWKVBGoxpMqElUmqZqgmkGqpqjmkqoZqkWkao5qOalaoFpDqpaoskjVCtUWUrVGtZNUbVDtI1VbVIdIFYXqOKnaoTpDqmhUF0kVg+oaqWJR3SZVHKoHpFKhekqq9qhekaoDqvek6ojqC6niUf0kVSdU+DOUuuqMypJUCagKkCoRVRFSJaGyJlUyqrKkSkFVkVRdUFUjVSqqWqRKQ+VAqnRUzqTKQOVBqq6oGpKqGyofUnVHpSRVD1QhpOqJKoJUvVA1J1VvVG1I1QdVDKn6spUUb3PgXRimH1sx/fFjAH4MxI9B+DGY/VHAqjB51WihfqFoTt5sqPnHr8/xqk/aneCGYOqh+DEM8xeQ9iLXDMcvR+DHSPwYhavzS/uSq0fjl2PwYyx+jMOP8cjkkw4gmQmoC0kHk3oiQpPwy4LmeN3Zhf3l88ZuDQvjVSteJbMv7BDJxPoMFw9MQWAqAiPEA9MQmI7ASPHADARmqm/c4oFZCMxWP46JB+YgMBeBMeKBeQjMR2CseGABAgsRGCceWITAYvV9jnhgCQJLEZggHliGwHIEJooHViCwEoFJ4oFVCKxGYLJ4YA0Ca9V3heKBdQisR2CKeGADAlkITBUPbERgEwLTxAObEchGYLp4YAsCW9X30OKBbQhsR2CmeGAHAjsRmCUe2IXAbgRmiwf2ILAXgTnigX0I7Fc/cIgH/kPgAALzxAMHETiEwHzxwGEEjiCwQDxwFIFjCCwUDxxH4IT68Uw8cBKBUwgsFg+cRuAMAkvEA2cROIfAUvHAeQQuILBMPHARgUvqh1nxwGUEriCwQjxwFYFrCKwUD1xH4AYCq8QDNxG4hcBq8cBtBO4gsEY8cBeBewisFQ/cR+ABAuvEAw8ReITAevHAYwSeILBBPPAUgWcIZIkHniPwAoGN4oGXCLxCYJN44DUCbxDYLB54i8A7BLLFA+8R+IDAFvHARwQ+IbBVPPAZgS8IbBMPfEXgGwLbxQPfEfiBwA7xwE8EfiGwUzxgVpv9Yc7+MN8lHsiFQG4EdosH8iCQF4E94gEJAhYI7BUPWCLAILBPPGCFQD4E9osH8iNQAIH/xAMFESiEwAHxgBSBwggcFA8UQaAoAofEA8UQKI7AYfFACQSsETgiHiiJQCkEjooHSiNQBoFj4oGyCJRD4Lh4oDwCFRA4IR6wQaAiAifFA5UQqIzAKfFAFQSqInBaPFANgeoInBEP1ECgJgJnxQO2CNRC4Jx4oDYCdgicFw/YI1AHgQviAQcEZAhcFA/IEXBE4JJ4wAkBZwQuiwdcEHBF4Ip4wA0BdwSuigc8EKiLwDXxQD0E6iNwXTzQAIGGCNwQD3gioEDgpnjACwFvBG6JB3wQ8EXgtnjADwF/BO6IBwIQUCJwVzzQCIFABO6JB4IQCEbgvnggBIFQBB6IB8IQaIzAQ/FAOAIRCDwSD0Qi0ASBx+KBpgg0Q+CJeKA5Ai0QeCoeaIlAKwSeiQdaI9AGgefigbYIRCHwQjzQDoFoBF6KB2IQiEXglXggDgEVAq/FA+0R6IDAG/FARwTiEXgrHuiEQGcE3okHEhBIROC9eCAJgWQEPogHUhDogsBH8UAqAmkIfBIPpCOQgcBn8UBXBLoh8EU80B2BHgh8FQ/0RKAXAt/EA70R6IPAd/FAXwT6IfBDPNAfgQEI/BQPDERgEAK/xAODERiCAN5yFwkMRWAYAubigeEIjEAgl3hgJAKjEMgtHhiNwBgE8ogHxiIwDoG84oHxCExAQCIemIjAJAQsxAOTEchEwFI8MAWBqQgw4oFpCExHwEo8MAOBmQjkEw/MQmA2AvnFA3MQmItAAfHAPATmI1BQPLAAgYUIFBIPLEJgMQJS8cASBJYiUFg8sAyB5QgUEQ+sQGAlAkXFA6sQWI1AMfHAGgTWIlBcPLAOgfUIlBAPbEAgCwFr8cBGBDYhUFI8sBmBbARKiQe2ILAVgdLigW0IbEegjHhgBwI7ESgrHtiFwG4EyokH9iCwF4Hy4oF9COxHoIJ44D8EDiBgIx44iMAhBCqKBw4jcASBSuKBowgcQ6CyeOA4AicQqCIeOInAKQSqigdOI3AGgWrigbMInEOgunjgPAIXEKghHriIwCUEaooHLiNwBQFb8cBVBK4hUEs8cB2BGwjUFg/cROAWAnbigdsI3EHAXjxwF4F7CNQRD9xH4AECDuKBhwg8QkAmHniMwBME5OKBpwg8Q8BRPPAcgRcIOIkHXiLwCgFn8cBrBN4g4CIeeIvAOwRcxQPvEfiAgJt44CMCnxBwFw98RuALAh7iga8IfEOgrnjgOwI/EKgnHviJwC8E6osHzOzYH+bsD/MG4oFcCORGoKF4IA8CeRHwFA9IELBAQCEesESAQcBLPGCFQD4EvMUD+REogICPeKAgAoUQ8BUPSBEojICfeKAIAkUR8BcPFEOgOAIB4oESCFgjoBQPlESgFAKNxAOlESiDQKB4oCwC5RAIEg+UR6ACAsHiARsEKiIQIh6ohEBlBELFA1UQqIpAmHigGgLVEWgsHqiBQE0EwsUDtgjUQiBCPFAbATsEIsUD9gjUQaCJeMABARkCTcUDcgQcEWgmHnBCwBmB5uIBFwRcEWghHnBDwB2BluIBDwTqItBKPFAPgfoItBYPNECgIQJtxAOeCCgQaCse8ELAG4Eo8YAPAr4ItBMP+CHgj0C0eCAAASUCMeKBRggEIhArHghCIBiBOPFACAKhCKjEA2EINEagvXggHIEIBDqIByIRaIJAR/FAUwSaIRAvHmiOQAsEOokHWiLQCoHOVKAoH2iNQBsEEsRnaItAFAKJ4oF2CEQjkCSOiEEgFoFk8RniEFAhkCIeaI9ABwS6iAc6IhCPQKp4oBMCnRFIEw8kIJCIQLp4IAmBZAQyxAMpCHRBoKt4IBWBNAS6iQfSEchAoLt4oCsC3RDoIR7ojkAPBHqKB3oi0AuBXuKB3gj0QaC3eKAvAv0Q6CMe6I/AAAT6igcGIjCI/ZEXn2+oJvphBa/oNJUiPT01PiYjXaVMVyXisA+LqOT27dNU6ZZRHVXROGbEKiqaZCyjYqPVB2FKotLSeySo8H/R6Sozc/ZfHkvnP4PU0lYRGIxPR+A//JMMZhvOExKdqJIM0V4aSi4x0Mvb/eyvX8aR8NENC5z8ShUVpTnWRX1wAT76gTVCIRmBFWuKjGQkf3GU9qK6B/M0tgf0oR4/gBuvPqJmLJvMF5TcTZVq450QnZgiGcf+wkr9C009PkdAM2ESPeFAbkL14SGTkG+SkqKdcDImVP9CU2fmCGgmjKcnHMRNiOM4JNPg0iQpPj1NMp2/OEN7UTM+jh4/mBufF+Nn2+ELBdn1zEiTzKEuz+Uva6aIoqcYwk2h3soLtNt2ofbSIp2tbN6SHjyU3kJL+c2yjL+4PMcWakKPH0ZvoVW89Gr+4poc/mH0+OF08+u1LW/QXsrSbT6QHjyCbn4z33E2f3FLjub96PEj6ea38x3v4C/uzNG8gh4/it6b9lAbbC91eV/OjVePnmI07X9Aa31Qe+mQrr8rPXgM7X+Ulz7GXzyew19Ojx9L+5/ipU/zF8/k8Lejx4+j/c9Tzheoyxdz+tegpxhP336uwDUsOr2j5Kr20jVySTO4Mj14Ar14N3npW/zF2zn8y9PjJ9Lj7/GD7vMXH+QYX4oeP4le/8f8oj3hLz7NsX7FqPFSfD6sIMa+wB1NAu65ohLiE+PTJS+12/8V7pM0xxaq69dsbRnOPnyEJiX0kLzBwAzcQ3ED3/LxyB4pKsk7ts6t9HGUvNdckEs+aC7IJB/ZC/nJB+nUc3/SXOUi+ay54Cz5orngJPmKcFx8WkpCdI+oJDYszeSat5J8Y68rxH03CvlSFMl3bHbNLy3N2dAPtrbgvkhF8hNXBikbN1H6SH5hhdRfnSIxs2etIyNCgyTm7CVLMpd65fgfktz22tHSKWQJ89hzonntc6ylxJ6spYU9vXaW9jnWjrHXXTsre92lz2fPLWF+e24JC9jnXMKC9twSFrLnllBqzy1hYfucSziVa17jVhRaxdgfRTTLZBeWGh+rsg8LV3r7skuoub4E+yNvhCo9I0VijfnoqGZ1SrG/tnB0dPFR+kZISiOuniHnIpalYtJppBGsIoMVZLBqDBaMwToxWBsGC8Jg</t>
  </si>
  <si>
    <t>FRisAAN7BsIMZBmIMpCUThd62f3Gqw7v5SDuJbfX7lASR71aznxKOsO0VjOFVn6/sQrgrZTiVoHqfmUu/ooISZBeqxA+JZ1lWqvZtJWVpK09bsua3YKcvlF9+42yp26/7aidR9NhjL32VhyLK7mhOUVU2ph0jmk95up6ZLC/K8jdJ9EaXWmNbvzOommvB2/R04BFb95inmkt5utajFZbqLe7jsUY2mIsv3No2hvPW0wwYDGJt1hgWouFuhYLdfYpzSlI1RqLaI3Fgn1qKe+xTO2hGZrTYwXvsci0Hot1PbbRW4PS2E5r7Mi5NXbxFrsNWOzlLZaY1mIpeYg8DYT668msJGdwDdkm5IFWbXOWtjlHbRTJed7kAizxBZruDpKL9gYeqy9rmdJlptVaTrQeUVqP1buaZhPpWD2hrZ7y20jyjJd6Tkm9MCT1ipdaYVqplUTqJyX1S5+UWR1KyrwOL5WrjlYqdx1OSuYgyVPHgJSkjlZqlWmlVuvejErU4Z8ukq+BVetY0zol6/AP96VwhebLKGWS0rxbGfiQKXL6lKMGSdeY1mitrpGdPiN72qgOZeTANyeXyHgjuSEjJ2qQdJ1pjdbrGvnoM/KljfwoI3++OUdJAG+kNGQUSA2SbjCtUZauUSt9Rq1pozaUUVtcoTl3mkwSxRu1M2QUQw2SbjSt0SZdo1R9Rmm0UTpllME15wKjrrxRN0NGPahB0s2mNcrWNRqhz2gkbTSKMhrNNyeXjOGNxhoyGk8Nkm4xrdFWXaN5+ozm00YLKKOFfHOOkkW80WJDRkupQdJtpjXarmuUrc9oC220lTLahsvq70OVSbbzQjsMCe3ix0h3mNZnp67PSX0+p2if05TPGW1vcslZ3uecIZ8L/BjpLtP67Nb1eaDP5yHt84jyeUx685JJnvA+Tw35POfHSPeY1mevrs93fT4/aJ+flM8vbW9yiZmD1sfcwYBPbgftGOk+0/rs1/Up6kA98dYRKuZACRV3oJ54l2CLPN4BinCJNe9T0pBPaTJC+p9pbQ7o2tjqtalF29SmbexQeClDEZfY80J1DAnJqEHSg6Z1OqTrpNDr5EU7edNOPvz+I/HllfwMKQVQ+9xh0xod0TVqrteoBW3UkjZq5cDfK7TmjdoYMorix0iPmtbomK5Rsl6jFNqoC22U6sDfb6fxRumGjLryY6THTWt0QtdoqF6jYbTRcNpohAP/yDqSNxplyGgMP0Z60rRGp3SNZus1mkMbzaWN5jlQz37m80oLDCktogZJT5vW6Yyu00a9Tptop820U7YD9Rx1C++01ZDTdmqQ9Kxpnc7pOh3T63ScdjpBO53k25NJTvFOpw05naUGSc+b1umCrtNdvU73aKf7tNMDB+r13kPe6ZEhpyfUIOlF0zpd0nX6otfpK+30jXb67kC9Kv/BO/005GQmo16VXzat0xVdJ6lMn1NhGeVUREY5FeXbk0uKybROxWUGnKypQdKrpnW6putUXa9TDdqpJu1ky7cnk9TinWobcrKnBkmvm9bphq5TA71ODWknT9pJgSLELsA70M5L4sU7eRty8qUGSW+a1umWrlMTvU5NaadmtFNzvj2FpAXv1NKQU2tqkPS2aZ3u6Dol6HVKpJ2SaKdk9K6+W2Y7lKTwUl0MSaXRo6R3TWt1T9dqkF6rwbTVENpqKPrDSXVxYnLJMN5quCGrkfQo6X3TWj3QtZqh12ombTWLtpqN/oL8g9QnmpfM4a3mGrKaT4+SPjSt1SNdq/V6rTbQVlm01Ua2yB0gj5Bs4oU2GxLawg2QPjatyxNdl8N6XY7QLkdpl2PqO2XfEJyIU3Kc9zlhyOcUNUj61LROz3Sdbul1uk073aGd7qqvaRLkp/APkdzjne4bcnpIDZI+N63TC12nj3qdPtFOn2mnL/yDZ4TkK+/0zZDTD2qQ9KVpnV7pOhWQ63MqKKecCskpJylbWJLzx0kKy7VSReQGpIrRo6SvTWv1Rteqil6rqrRVNdqqOvojZ12T1OCtahqyqkWPkr41rdU7Xau6eq3q0Vb1aasG6E8md7JDj5KGvJWnISsvepT0vWmtPuhaheu1iqCtImmrJii409JJmvJSzQxJtaAGST+a1umTrlO8XqdOtFNn2imBLSSaE9xJEnmlJENKKfwY6WfTGn3RNeqv12gAbTSQNhqE1n2UYXbeocFhksG80xBDTsPoUdKvprX6pms1Va/VNNpqOm01AwV3Hk/JTF5qliGpOdQg6XfTOv3QdVqj12kt7bSOdlqvvm/mTn4p2cBLZRmS2kSPkv40rdUvXasDeq0O0laHaKvD8FC/Tyw5wisdNaR0XDtEiu8XM6GPeW0dn+t6fW7QPjdpn1ukOYXkNu9zx5DPPe0QaS7T+uTW9Xmn1+c97fOB9vko17y2cw0LahIh+cQrfTak9JUeJc1jWqu8ulZWjvqs8jlSVvkdKasCbGHppWQ7DAqNkBR01FoVcjRgVZgeJZWY1spC16qiXqtKtFVl2qoKW0jUr8O9JFV5p2qGnGrwY6SWpjVidI3c9Bq500YetFFdbXcKST3eqL4ho4b8GKmVaY3y6RqF6jUKo40a00bhXHfO7DaK4I0iDRk15cdI85vWqICuUXu9Rh1oo460Uby2O4WkE2/U2ZBRIj9GWtC0RoV0jfroNepLG/WjjfqjUNqFhfuxG2kArzTQkNJgapBUalqnwrpOk/U6ZdJOU2inqXx7Csk03mm6IaeZ1CBpEdM6FdV1WqnXaRXttJp2WqPu3dsuTBGu8JOs5aXWGZLaQI+SFjOtVXFdq316rfbTVv/RVgfQXwSxOshbHTJkdYQeJS1hWitrXasreq2u0lbXaKvr6v788a4je6O6wVvdNGR1mx4lLWlaq1K6Vq/1Wr2hrd7SVu+o/hSS97zVB0NWn+hR0tKmtSqja2XhpM/K0omyYpwoKysn9XvEAZp3lvM5aa3yOxmwKkiPkpY1rVU5Xavyeq0q0FY2tFVF9Ocd7hWitqrEW1U2ZFWVHiUtb1qrCrpWznqtXGgrV9rKDf0pvJU+ait33srDkFU9epTUxrRWFXWtgvRaBdNWIbRVKFvkiVCE+EjCeKPGhowiyAhpJdPaVNa1idVrE0fbqGib9myRWxERIOnAy3Q0JNOJGyCtYlqXqrouPfW69KJdetMufZzwPVWSvrxJP0MmA9RxaTXTelTX9Zig12Mi7TGJ9piMxiIkmbzHFEMe09RxaQ3TetTU9Vim12M57bGC9ljphJ1f8+7dKl5mtSGZtfwYqa1pjWrpGu3Wa7SHNtpLG+1DdyEao/280X+GjA7yY6S1TWtkp2t0Ua/RJdroMm10Rf3IqGQfGpuxz32u8k7XDDndoEdJ7U1rVUfX6oVeq5e01Sva6jXVn0Lyhrd6a8jqPT1K6mBaK5muVR5nfVZ5nSkriTNlZeGs6S9Iva0snbVWjLMBq3z0KKnctFaOulZl9FqVpa3K0Vblqf4Ukgq8lY0hq0r0KKmTaa2cda3keq0caSsn2soZBT6hofCOlLjwUq6GpNypQVIX0zq56jop9To1op0CaacgZ9w3N8HtQxLMK4UYUgrjx0jdTGvkrmvUTq9RNG0UQxvFct2xe5EkjjdSGTLqwI+RepjWqK6uUTe9Rt1pox60UU+07t9EoVR4hwZJevFOvQ059aVHSeuZ1qq+rtVYvVbjaKvxtNUE9KcI8g4NwMcgJvJWkwxZZdKjpA1Ma9VQ12qxXqsltNVS2moZikDfyFD8JXA5L7XCkNQqapDU07ROCl2nHXqddtJOu2in3Zo19/ENaOHjK9nDS+01JLWfHiX1Mq2Vt67VOb1W52mrC7TVRXjgNWmE5BKvdNmQ0lXtEKmPaX18dX2e6vV5Rvs8p31esEXukFC55CVv88qQzRtugNTPtC7+ui7mLvpccrlQLrldKJc8bJE7gnXJ66J1kbgYcLHkBkgDTOui1HUpqdelFO1SmnYpg75ldl5NIn1DfCVleaFyhoQq0KOkjUxrFahrVUevlQNtJaOt5CjCwkPDIOXISzkZknKhBkmDTOsUrOvkp9fJn3YKoJ2ULvgUeGQAlBrxSoGGlIL5MdIQ0xqF6hq10WvUljaKoo3aofUQ7EX4SGg07xRjyCmOHiUNM61VY12rdL1WGbRVV9qqG9mNINWdl+phSKoXNUgablqnCF2nUXqdRtNOY2insdx+BKVxvNJ4Q0oT+THSSNMaNdE1WqDXaCFttIg2WowimFNawistNaS0nBokbWpap2a6Tlv1Om2jnbbTTjvwMOPNPi7t5H12GfLZww2QNjetSwtdl9N6Xc7QLmdpl3Nskcs7VHKeV7lgSOWSJi9taVqTVromj/SaPKZNntAmT9GZIlzyjDd5bsjkpSYvbW1akza6Jj/1mvyiTcxcKRNztsgVIpfkcuW/RMnVgEleTV7a1rQmUbomxV31mZRwpUysaZOS6Iy9oZTiTUobMimryUvbmdYkWtektl4TO9rEnjapg84C5BIH3kRmyMRRk5fGmNYkVtfEW6+JD23iS5v4waCZItI3XOLPywQYkmmkHSKNM62PivaxxFeUq/9JWrLEUuF2crmzvTwg0i5YoQyxDw4N8o1qofQN8mEN1VmbqHm5vCStXPG59ITk2M5pktbs5YK64yRteMu2rtrPfUaxF634KXMqR2sHSdubVrmDHuUuf6GcSimniSin88oZRFkh6WpYuTuv3NG0yvF6lIf/hfIISnmkiPIoXnm0K//5vTGGncfxzp1M69xZj/Pcv3CeRznPF3FewDsvdOU/D7fIsPMS3jnBtM6Jepw3/4VzNuW8RcR5K++8DXdr5Njy7Yald/LSSaaVTtYjfeIvpE9S0qdEpE/z0md4abnkrGHp87x0immlu+iRvv8X0g8o6Yci0o946ceuZtpvt3li2PkZ75xqWuc0Pc7f/sL5O+X8Q8T5J+/8S+ssk5i5GXTO5aZ1Tjetc4Ye5yJuf+5c1I13LuYmdC6u7V5Sws1M+w051oadS/HOXU3r3E2Pc82/cLalnGuJONfmne20zjKJvWFnB965u2mde+hx9vwLZwXl7CXi7M07+7AXtd+y42tY2p+X7mla6V56pJv9hXRzSrqFiHRLXroVLy2XtDYs3ZaX7m1a6T56pJP+QjqZkk4Rke7CS6fy0jJJmmHpDF66r2ml++mRHvIX0kMp6WEi0sN56RGctPqLfEYalh7NS/fnupSMcctxBomxbuQMEuPcdE8JMZ6t+TNKTHDLcUaJiXxcfUaJSW7cSSomu3Gnksh0404lMcUt56kkprpxp5KY5sadSmK6G3cqiRluOU8lMYBrnlrdmQZXVzJLuIi6Kz6bX3HNWs3ll3iemxn/fTXzDS/xQn6JB5IdAUvMYFkZrCiDZWSwegxWjMEyMVgiBsvDYGkYrAaDlWCwCgxWQDpIKL3BsHTW76Q35pTezEtn89IRki2Gpbfx0oPJfrWdbP0dOXewndodbJfODrU75w61J8cOtTfH/riP7Ff7yX71n2C/OkD2q4NkvzpE9qvDgv1qCGn+iFaIWu2j6C/cTiZzsPcO9fWTaU98cZy6tZ7ASHVIctKN/+DiKfayuUxyGteqB+dcwrP8Eg4l+w2WkMHyMVgyBqvFYJEYLAyD1WCwBAz0GagzsGVgysCSgaF0GJG6IyZ1V5/UfUrqAS/10I3/7OIjjdRjvVJPeanhppUaQaS+iEl91Sf1nZL6wUv9dKM/vvhLo2Xmrk8rl7tWa6RptUYRrcLuIlpF3PVoFXPntYq7a7VKuNOfX7R2V2uV1KtVmtcabVqtMUSrppiWrT6t2pSWHa9l7059KK6OxspBr5WctxprWqtxxEohZuWlz8qHsvLlrfzc6Y9l+mu0AvRqNeK1xptWawLRaiGm1VKfVmtKqw2v1ZbSUkiiNFrt9GrF8FoTTas1iWh1EdNK1aeVTmll8Fpd3bUfSJR000h11yvVk5eabFqpTCI1QkxqpD6p0ZTUGF5qLCeFzzGO00iN1ys1kZeaYlqpqURqvpjUAn1SiyipxbzUEnf6o4xLNVrL9Gqt4LWmmVZrOtHaKqa1TZ/WDkprJ6+1y53+hNxujdYevVr7eK0ZptWaSbTOiGmd1ad1ntK6wGtddKc+zHhJY3VZr9VV3mqWaa1mE6snYlZP9Vk9p6xe8FYv3ekPnr7SaL3Wq/WW15pjWq25RMvcQ0Qrl4cerTwevFZeD62WxEP7eUYLD7WTpYc+JystUDqPNJHPI8crg/we5JVBAQ/dp/oFPehXCoU8crxSkHrovlIo7MG9+Cjiwb1EKOrBvUQo5pHzJUJxD+4lQgkP7iWCtQf3EqGkR86XCPO55q0kpdjrSkSo0tPjkzqk2UdnpCdHqXBS4Oh0laQ02iXXqf9GWob9TQGdELU45ei4pLyBqCZvI0hIF5AdBYsqqaRdyMq6C8lgIRmsn6RajjWrTtasBlmzmmTNbAVrVousWW2yZnbcmjFYM+lC7TLVYUvtuek0ZwOTOIBPnS5T5sH/AZn+u7Z2n5E4IaHnZGIu/K61iF4FBqvAYAF4awbWDFQZaDJQZKDHwIiBDQMTjcVirYUv9ji5q1yr4Add9heaD/iJ96/k+29koP8gvv8lpu1/qbb/Vur+2Rs26b+1un+Zg7r/NuL9R/H9tzPQfwzf/zLT9r9c238Xdf/Oztr+U9X9OztrzgEk3n8G339XA/135/tfYdr+V2r7H4ZbrItc3lzzyQkYDMdtFL9SK4wQVxjFK4z2IJ+aEHEYyzusMq3Daq3DbGwDJwcn7TaYg23A/kItMFdcYD4vsMDANljE97/GtP2v1fafpd6HHBzIySUlG9X7kIPmNrBJvP9svv8t6v7FTy+5je9/nWn7X6/t/whb5ndmb8PaXegoBJy5G/ExcYETvMBJQ3vQad5gg2kNsrQGtzyEp7eR3PbQfTC4k9NDcs+DnBHmPi/zwMPAh4gekRHSjaZ12aR1+Sjm8imHy2eBy1f8hpwP5huv892Qzk9qkHSzaY2ytUYF6ooYFayra1Sobk6jwvgN+ebzInW1RkXrGjAqTg2SbjGt0VatURUxo/+xcqeBTRVbAIDTFq4Ni8xj3xsBQdQWWsraNkubAoVuNGERkRLaAJEu0KRAWURxQwXEXd9TUQFRXJ/6UFlFURRFZBVFcXkouyiLy3Ph3cm9OTOZmTv+mX/JvefcO9/JaZpC5lzOiHpyoivI4jxabyK6Uia6mkpC69WKNoAoSyTKZkQ5nMiVZaOmnrsJySMj5dFZaKNa0yYwlYlMPsbk50xj8Opg5vlYYhonM42ns9BmtaYtYAqJTNczpumcqTrLRk08ryGmWplpJp2F3lJr2gqmG0WmmxjTIs50S5Y57/xWwrlNxllsJqC31UreAclDIsnDjOQRTvIvfCQ27fxRonlMpllBJaFtakXvguhFkeglRvQyJ3olesScdf4qEb0mE62jktB7akXbQfSuSPQeI9rOiT7Iov7bcgcRfSgT7aSS0PtqRR+A6AuR6EtGdJgTfY1XDnPOvyGkb2WkI3QW2qHW9CGYzolM5xnTBc70C14dTDn/lZh+k5l+p7PQR2pNO8HUJFtgapodb2qWzZouzcb7J2MzzltkgwllS0wt6Sz0sVrTLjBdJjJ1Y0zdOdPl+EhswnlPQuolI/WmktAnakW7QTRIJBrMiIZwomwcYc43zyEgpwzkJjloj1rPXvCUiDyljGcU5/HhhcN0cz8RjZaJxtJZaJ9a034wTRGZpjKmaZzpenwkNtt8OiFVyUg1VBI6oFb0KYgWiEQ3MKKFnOgmvHKYbL6IkG6WkW6ls9BBtabPwHS/yPQAY3qQMz2cDftbHiGgf8pAj0IK+lyt5hBonhNpnmc0L3Cal2JL82gvE82/ZZpXIQV9oVbzJWjeFmneYTTbOM172TZqpvl2AnpfBtpBZ6HDak1fgekzkelzxnSIM32JVwcTzQ8T01cy0zd0FvparekbMP0oMv3EmM5ypvM4wpxnfoGIfpaJfiU56Fu1nv+C55IcgSc5J95jz2E9TXNssBuqWQ54mudIPC1IDjqi1vMdeLqKPCmMx8F5uplrw7PMuxNPD5mnJ8lB36v1HAVPf5FnAOMZyHkGw9o82hDiyZJ5ckgOOqbWcxw8hSJPEeMp5jyl+EhsjvkoAiqTgfxUEjqhVnQSRBUiUSUjCnKiqWRxHm0aEYVkoulUEjqlVnQaRHNFonmMaD4nuiG68ti074WEdKOMtIjOQj+oNZ0B0z0i072M6T7O9ABeHUwwf5CYHpKZHqGz0I9qTT+B6RmR6VnGtJYzPR9dXWx++QvE9KLM9DKdhc6qNZ0D0xaR6S3GtJUzvUOtzqNtI6Z3ZabtdBY6r9Z0AUwHRKZPGdNBzvR5jo2aXX6ImL6QmQ7TWehntaZfwHRaZPqBMZ3hTD/h1cHk8rPEdE5mukBnoV/Vmn4DUyOnwNTYGW/SnKwp2Wmj5pbbnWBq4pSYmtFZ6H9qTb+DqZPI1JkxdeFMKc7Y1HIH8Vwm83SPZaA/1Fr+BEuGyNKPsWRylgFOc2b5QEIZJKMMMRPQX2olF0FSIJKMYCQjOUmRMzqxvJg4SmSOUdFwZEtVqkhIjSkmiRQBRjGZU1Q6o/PKg0QxRaaYFg1HiWoVSaCYLVLMYRQNnGIejjA3/cwnlAUyykKSgxqp9TQGzzKR527Gs5zz3IsjzP0+9xHP/TLPgyQHaWo9l4BntcjzNONZw3meddJbfdYS0XMy0Qt0FkpWa7KDaaPItIkxbeZMb1Gr82hbieltmWkbnYWaqDU1BdNekWkfY9rPmT510tthDhLTZzLTIToLNVNrag6mEyLTScZ0ijP9QK3Oo50hph9lprN0FrpUrakFmBJcAlOiK96U5GJNjV3UZizNBaRLXBKSnUpCSK3oHyBqLxJ1YEQdOVFnHGFu7elCQF1lIAfJQS3VelqBp4/I05fxpHOefuba8K6eTOLpL/MMJDmotVpPG/AMFXmGMZ7hnGeEi97QM5KICmWiYjoLtVVragem60SmiYypnDMFXPQGkcnEVCEzBeks1F6tqQOYIiJTPWOaxZnmuKitPA2ENFdGmk8loY5qRZ1AdJdItIQRLeVEd7voPVfLCekeGek+Ogt1VmvqAqanRKaVjGkVZ3raBXt41hDQMzLQWkhBXdVqUkDzpkizntFs4DSbXOZE8s3EskVm2WomIIdayWUg+UQk2c1I9nCSfS5zHvl+Ijkgkxw0E1A3tZLuIDkqkhxjJMc5yUm8aphGfopwTss4Z+gs1EOt6XIw/SUyXWRMNjdrSnTbyCzyJDeQGrklJI1KQj3VinqBqI1bIGrrjhe140QdcIQ5ibwjAXWSgbqQHHSFWk9v8Fwt8qQynjTO0xcvHOaQpxNRhkyUSWehK9WargJTnsjkZUz5nGlYrIEwaTghFchII6kkdLVaUSqIxotE1zKiCZxootlBGFROQJNkoMkkB6Wp9fQBz0yRp47xhDlPPT4Sm0A+i4Bmy0ANVBLqq1aUDqLFItEdjOhOTrTEbc4fX0o0y2Sa5WYCylAr6QeSFSLJE4zkSU6y0m1MH19FIKtlkDVGPMpU6+gPjnUix+uM4w3Osd5tzB7fQBwbZY7NRjwaoNYxEBw7RY6PGccuzrHbbUwe30Mce2WO/UY8GqTWMRgcR0SO7xjH95zjmNuYO36cOE7IHKeMeDRErSMLHL+LHH8wjj85x0W3MXXc5gFHgkfiSPIYU8ez1TpywNHSI3C08sQ7WntYR1u8fmPmeDtCaS+jdIQU5FSrcYGmN6Xx+cuKykeXlmpXMpqrWI2xvlQc5h00IBVPP8KQ2AVYSF8SiNxqJR6QuEQSNyPxUBItF9fXX+L3FGp55CXx4hDjJfFp+TLWMMhHuWpVeaAaI1KNZVTjaNU1RDWeqK714P/wHJZapk2QkSYSklctKR9I1SJSDUOqpUkzCGkmIdVhSOHwMUW+1PT+WljGqiesoWpZw4B1i4h1K8O6jWbdTliLCesOT2w/99Ay7U6xSlviob6LvpR6goar9RWA71GR7zHG9zjtW0F8TxDfk7TvKQvfKg+9u2g1/QyNUCscCcLXRML/MMJ1tPB1InyDCN+khesthBs91I6wTdQTVKjWVwS+j0S+nYzvY9q3i/g+Ib7dtG+PhW+fh95bsJ9+horVCkvIZyWR8DtG+D0tPEqEx4jwOC08YSE85aF3i52mn6FStcJRIPxDJPyTEf5FCy8SoS2XfIbKpYSJuWJho1xqn1Vj6gkqU+vzga91rsDXJjfe1zaX8rXLBV974utA+zpa+Drj65q7rrqQx8ivVjea/KuRSJfK6NJoXR+i60t06bQuw0KXmQs7YfrDQzRGrW0s2LwiWz5jG0rbhhHbcGIroG0jLGyFMZBHK4KHaJxa2zVgm6Dfo83oSKgqFGlI9dVXp+mrHu3PK/H5tev0U02pU1HmRFyLsmC4vioSdugHqwN1Dexnkkl6jB2uw/1zUtxZNF6t7Frzcsla2zFHH38paU+2NlO/4aX+1H79+qblenwFvvKyMq0u+gLhY/EDmsP4VaUGNNOftPALFrsAe3I2fRJNUGu6Lna56K1u12+FDM7Q/Hxvuc/vGZavLY4DJbfBkXeIMNpd+tEkPU5boj9oQi7BkpaZcWiiWk157BVKTsS3eUy/TTODU2xQHo+ntOilR62wfl2exKeKhYSV5BSapFYR4PvsFbPPMqg+e9W0ZDB99pq1Z52sz96I67PJak0VcX32vtlnGXF99kEcyOizHcI++yjaPxkZ2k55n+0y41ClWk0wvs8Om32WAX32VTwl2mdfW78u31r32RGqz6aoVUzl++yc2WfpVJ+dNy3pTJ9dsPb8Iuuz3+L6bJpaUwhemQR8r+Q8o9HS4xrNnkeLklNwZJM8UaM1w5F6XGq61jxP2motIBJdr5Y0Pb7ZuuYZzZYOzZYSz4k2m0PEMVbaLc+y2XqQU6hKraI6drnoENJMjND/+C4pKE7LH1dalqH1x7c2jsCo0oH6sabeYDg0tSbVNyNYwS53MIZH09kzWXAG1cQ58FRSe/N4Bx44asdTRu14wqgdTxe148midjxM1I4HidrbgaMWPt6M0O/RCmaGBmvxDM9wYFZQG5lnYwaGFuLeIRHUQovpWK3EKs4IHhV/Gs1QS5tJvvWt36gDoVXU1tRWhyrC5YGKSEgHBjjgZPxzxsZRK6+MYwbl0UbKVFEQqlNLDgN5ln67Xr7QXH2BjkBNpSOvNowXm5YXmBGKBKrw0+hH0kiotkabrQe35IOjpZijn2styqJsc8X52ry/zzUusMAqEEXUFqgeCrREv2WPguIx+T5/UX6xf0iav1a/uaMsMNtRFIgE60KBqnAUoi3FP7ZUZLQsy/SD7S1T7rYoyHLcBPlzghX1+NU3/ybQ7mFuoN0ruzhbu/tlwWiW2vrNhvqt1G/bU9Bg3lBdsCIS31+rJP21Gr/tCJIo4RqLaj7zt6lG/lqLODRHbXEayFfEcHH45iqtq8UjjR1mpxu9sl7UXhv0gx0lSRstSrJJ2GCb2QbbIr88W8Ct8nA0V20d55EvqOk3dvB1NP7SDgXNn7bdogruwW8pwvC9FrXbJ6zdfrZ2B6wuzFbtoFUgmq+2XgvI1+DE9SqZEawLYKNRgGOieh0nq2XCT1jU66SwXqfYep22ujBbrzNWgegGtfVaSL5ip9+yG10v/OmsLlipv5NGgo7aKY6yYKS+rka7KKqYzWuztbVISPCKa5boFdUsycvUrJH1pdmqadah6Ea1dbuJfJHPi+ezpzlK9V81tZXdtLb684QS4+t7+sNkONGelXXQDyR2K9U6RjO0TnS0AepiUbquwtKl4BuUpsFa0CK15pvBnKbfKUX4nl5Zr78h+gJVwbDWxytolL76wVai6HQLaoaQ2o+tZabFddkWGWAR1wj/VZLiawhHgtVpo2tCkQZf9KNDaG701+Pw2qrKYF2SfoVG3kAkYI9G4HH8zTzhcLB6clUDHrefYEtIbpIYu1fT/wMAAP//AwBQSwECLQAUAAAACACbgclaVW9SS7gwAQAwCgoAGABgAAAAAAAAAAAAAAAAAAAAQXNwZW5UZWNoLkFTV1hMLldvcmtib29rTlU4AE5VQ1gYAAAAQQBzAHAAZQBuAFQAZQBjAGgALgBBAFMAVwBYAEwALgBXAG8AcgBrAGIAbwBvAGsACgAgAAAAAAABABgAiK476w3Z2wGIrjvrDdnbAWPyOOsN2dsBUEsFBgAAAAABAAEApgAAADAxAQAfAEFTV1hMIFN0b3JhZ2UgVmVyc2lvbiA0MC4wLjAuMT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</si>
</sst>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_(* #,##0.00_);_(* \(#,##0.00\);_(* &quot;-&quot;??_);_(@_)"/>
  </numFmts>
  <fonts count="22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34" borderId="0" xfId="0" applyFill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19" fillId="0" borderId="0" xfId="0" applyFont="1">
      <alignment vertical="center"/>
    </xf>
    <xf numFmtId="176" fontId="0" fillId="0" borderId="0" xfId="1" applyFont="1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4" borderId="0" xfId="0" applyFill="1" applyBorder="1">
      <alignment vertical="center"/>
    </xf>
    <xf numFmtId="0" fontId="20" fillId="34" borderId="0" xfId="0" applyFont="1" applyFill="1">
      <alignment vertical="center"/>
    </xf>
    <xf numFmtId="0" fontId="0" fillId="35" borderId="0" xfId="0" applyFill="1">
      <alignment vertical="center"/>
    </xf>
    <xf numFmtId="0" fontId="0" fillId="36" borderId="0" xfId="0" applyFill="1" applyBorder="1">
      <alignment vertical="center"/>
    </xf>
    <xf numFmtId="0" fontId="0" fillId="36" borderId="0" xfId="0" applyFill="1">
      <alignment vertical="center"/>
    </xf>
    <xf numFmtId="0" fontId="0" fillId="37" borderId="0" xfId="0" applyFill="1" applyBorder="1">
      <alignment vertical="center"/>
    </xf>
    <xf numFmtId="0" fontId="21" fillId="0" borderId="0" xfId="0" applyFont="1">
      <alignment vertical="center"/>
    </xf>
    <xf numFmtId="176" fontId="1" fillId="0" borderId="2" xfId="1" applyFont="1" applyBorder="1" applyAlignment="1">
      <alignment horizontal="left" vertical="center"/>
    </xf>
    <xf numFmtId="0" fontId="0" fillId="0" borderId="0" xfId="0" applyFill="1" applyBorder="1">
      <alignment vertical="center"/>
    </xf>
    <xf numFmtId="0" fontId="16" fillId="0" borderId="0" xfId="0" applyFont="1">
      <alignment vertical="center"/>
    </xf>
    <xf numFmtId="49" fontId="1" fillId="0" borderId="2" xfId="0" applyNumberFormat="1" applyFont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CAFE-7431-4332-AFE3-BE5165437FCC}">
  <dimension ref="A1:B5"/>
  <sheetViews>
    <sheetView workbookViewId="0"/>
  </sheetViews>
  <sheetFormatPr defaultRowHeight="16.5" x14ac:dyDescent="0.3"/>
  <sheetData>
    <row r="1" spans="1:2" x14ac:dyDescent="0.3">
      <c r="A1" t="s">
        <v>415</v>
      </c>
      <c r="B1" t="s">
        <v>154</v>
      </c>
    </row>
    <row r="2" spans="1:2" x14ac:dyDescent="0.3">
      <c r="A2" s="20" t="s">
        <v>418</v>
      </c>
    </row>
    <row r="3" spans="1:2" x14ac:dyDescent="0.3">
      <c r="A3" s="20" t="s">
        <v>419</v>
      </c>
    </row>
    <row r="4" spans="1:2" x14ac:dyDescent="0.3">
      <c r="A4" s="20" t="s">
        <v>420</v>
      </c>
    </row>
    <row r="5" spans="1:2" x14ac:dyDescent="0.3">
      <c r="A5" s="20" t="s">
        <v>421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0E0-1A34-4C32-857B-CE1AD9A15B6E}">
  <dimension ref="A1:AT21"/>
  <sheetViews>
    <sheetView workbookViewId="0">
      <selection activeCell="N11" sqref="N11"/>
    </sheetView>
  </sheetViews>
  <sheetFormatPr defaultRowHeight="16.5" x14ac:dyDescent="0.3"/>
  <sheetData>
    <row r="1" spans="1:46" x14ac:dyDescent="0.3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 x14ac:dyDescent="0.3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611091857.7887249</v>
      </c>
      <c r="R2">
        <v>49299400</v>
      </c>
      <c r="S2">
        <v>79696218.943424478</v>
      </c>
      <c r="T2">
        <v>73515900</v>
      </c>
      <c r="U2">
        <v>17281810.640000001</v>
      </c>
      <c r="V2">
        <v>227.478736</v>
      </c>
      <c r="W2">
        <v>1.3537219559122291</v>
      </c>
      <c r="X2">
        <v>43.783632699999998</v>
      </c>
      <c r="Y2">
        <v>782.84833300000003</v>
      </c>
      <c r="Z2">
        <v>1.2598471200000001E-16</v>
      </c>
      <c r="AA2">
        <v>23.544545688111899</v>
      </c>
      <c r="AB2">
        <v>91.850000000000009</v>
      </c>
      <c r="AC2">
        <v>-239.50060334815723</v>
      </c>
      <c r="AD2">
        <v>62.893989400000002</v>
      </c>
      <c r="AE2">
        <v>92.803696299999999</v>
      </c>
      <c r="AF2">
        <v>165.7</v>
      </c>
      <c r="AG2">
        <v>236.22724500000001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3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610329854.3128705</v>
      </c>
      <c r="R3">
        <v>49299400</v>
      </c>
      <c r="S3">
        <v>79696214.944097295</v>
      </c>
      <c r="T3">
        <v>73515900</v>
      </c>
      <c r="U3">
        <v>17273338.16</v>
      </c>
      <c r="V3">
        <v>218.84361200000001</v>
      </c>
      <c r="W3">
        <v>1.4047733294704396</v>
      </c>
      <c r="X3">
        <v>44.150002899999997</v>
      </c>
      <c r="Y3">
        <v>789.41819599999997</v>
      </c>
      <c r="Z3">
        <v>1.0925813399999999E-18</v>
      </c>
      <c r="AA3">
        <v>20.496791071184163</v>
      </c>
      <c r="AB3">
        <v>91.850000000000009</v>
      </c>
      <c r="AC3">
        <v>-409.30685835108807</v>
      </c>
      <c r="AD3">
        <v>62.770887500000001</v>
      </c>
      <c r="AE3">
        <v>92.649087100000003</v>
      </c>
      <c r="AF3">
        <v>144.29</v>
      </c>
      <c r="AG3">
        <v>225.61164600000001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3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610213880.50456285</v>
      </c>
      <c r="R4">
        <v>49299400</v>
      </c>
      <c r="S4">
        <v>79696222.223912299</v>
      </c>
      <c r="T4">
        <v>73515900</v>
      </c>
      <c r="U4">
        <v>17276555.600000001</v>
      </c>
      <c r="V4">
        <v>226.35624899999999</v>
      </c>
      <c r="W4">
        <v>1.3578018782622783</v>
      </c>
      <c r="X4">
        <v>43.8250539</v>
      </c>
      <c r="Y4">
        <v>784.40115000000003</v>
      </c>
      <c r="Z4">
        <v>3.4208687699999999E-17</v>
      </c>
      <c r="AA4">
        <v>22.567996198770622</v>
      </c>
      <c r="AB4">
        <v>91.850000000000009</v>
      </c>
      <c r="AC4">
        <v>-223.83348165227093</v>
      </c>
      <c r="AD4">
        <v>62.712003099999997</v>
      </c>
      <c r="AE4">
        <v>92.589609800000005</v>
      </c>
      <c r="AF4">
        <v>165.7</v>
      </c>
      <c r="AG4">
        <v>240.08799099999999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3">
      <c r="A5">
        <v>0</v>
      </c>
      <c r="B5">
        <v>0</v>
      </c>
      <c r="C5">
        <v>0</v>
      </c>
      <c r="D5">
        <v>2.14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3.5</v>
      </c>
      <c r="L5">
        <v>0</v>
      </c>
      <c r="M5">
        <v>0</v>
      </c>
      <c r="N5">
        <v>1.5</v>
      </c>
      <c r="O5">
        <v>0</v>
      </c>
      <c r="P5">
        <v>0</v>
      </c>
      <c r="Q5">
        <v>611174320.42685974</v>
      </c>
      <c r="R5">
        <v>49299400</v>
      </c>
      <c r="S5">
        <v>79696219.863185495</v>
      </c>
      <c r="T5">
        <v>73515900</v>
      </c>
      <c r="U5">
        <v>17282170.800000001</v>
      </c>
      <c r="V5">
        <v>227.76255599999999</v>
      </c>
      <c r="W5">
        <v>1.3522808358840384</v>
      </c>
      <c r="X5">
        <v>43.7993278</v>
      </c>
      <c r="Y5">
        <v>783.02941599999997</v>
      </c>
      <c r="Z5">
        <v>9.58186932E-17</v>
      </c>
      <c r="AA5">
        <v>23.631203876729401</v>
      </c>
      <c r="AB5">
        <v>91.850000000000009</v>
      </c>
      <c r="AC5">
        <v>-236.05294862845156</v>
      </c>
      <c r="AD5">
        <v>62.840889599999997</v>
      </c>
      <c r="AE5">
        <v>92.754747100000003</v>
      </c>
      <c r="AF5">
        <v>165.7</v>
      </c>
      <c r="AG5">
        <v>248.14986400000001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3">
      <c r="A6">
        <v>2.2000000000000002</v>
      </c>
      <c r="B6">
        <v>0</v>
      </c>
      <c r="C6">
        <v>0</v>
      </c>
      <c r="D6">
        <v>0</v>
      </c>
      <c r="E6">
        <v>0</v>
      </c>
      <c r="F6">
        <v>2.1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612929920.94035923</v>
      </c>
      <c r="R6">
        <v>49299400</v>
      </c>
      <c r="S6">
        <v>79696218.431875452</v>
      </c>
      <c r="T6">
        <v>73515900</v>
      </c>
      <c r="U6">
        <v>17292551.280000001</v>
      </c>
      <c r="V6">
        <v>229.948195</v>
      </c>
      <c r="W6">
        <v>1.3446104154648775</v>
      </c>
      <c r="X6">
        <v>43.782388699999998</v>
      </c>
      <c r="Y6">
        <v>782.81257800000003</v>
      </c>
      <c r="Z6">
        <v>9.9353966300000004E-17</v>
      </c>
      <c r="AA6">
        <v>23.233849459605604</v>
      </c>
      <c r="AB6">
        <v>91.850000000000009</v>
      </c>
      <c r="AC6">
        <v>-210.71553542726915</v>
      </c>
      <c r="AD6">
        <v>60.201367099999999</v>
      </c>
      <c r="AE6">
        <v>85.755318200000005</v>
      </c>
      <c r="AF6">
        <v>165.7</v>
      </c>
      <c r="AG6">
        <v>236.542247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3">
      <c r="A7">
        <v>2.2000000000000002</v>
      </c>
      <c r="B7">
        <v>0</v>
      </c>
      <c r="C7">
        <v>0</v>
      </c>
      <c r="D7">
        <v>0</v>
      </c>
      <c r="E7">
        <v>1.8</v>
      </c>
      <c r="F7">
        <v>0</v>
      </c>
      <c r="G7">
        <v>0</v>
      </c>
      <c r="H7">
        <v>2.06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610222263.54374647</v>
      </c>
      <c r="R7">
        <v>49299400</v>
      </c>
      <c r="S7">
        <v>79696219.29801628</v>
      </c>
      <c r="T7">
        <v>73515900</v>
      </c>
      <c r="U7">
        <v>17277312.800000001</v>
      </c>
      <c r="V7">
        <v>221.472882</v>
      </c>
      <c r="W7">
        <v>1.387766430554261</v>
      </c>
      <c r="X7">
        <v>43.827520700000001</v>
      </c>
      <c r="Y7">
        <v>781.96458800000005</v>
      </c>
      <c r="Z7">
        <v>7.4077346099999994E-17</v>
      </c>
      <c r="AA7">
        <v>23.640584877542075</v>
      </c>
      <c r="AB7">
        <v>100.934</v>
      </c>
      <c r="AC7">
        <v>-266.75402586691143</v>
      </c>
      <c r="AD7">
        <v>66.1608631</v>
      </c>
      <c r="AE7">
        <v>96.5094718</v>
      </c>
      <c r="AF7">
        <v>165.7</v>
      </c>
      <c r="AG7">
        <v>234.272693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3">
      <c r="A8">
        <v>2.2000000000000002</v>
      </c>
      <c r="B8">
        <v>0</v>
      </c>
      <c r="C8">
        <v>0</v>
      </c>
      <c r="D8">
        <v>0</v>
      </c>
      <c r="E8">
        <v>1.8</v>
      </c>
      <c r="F8">
        <v>0</v>
      </c>
      <c r="G8">
        <v>0</v>
      </c>
      <c r="H8">
        <v>0</v>
      </c>
      <c r="I8">
        <v>1.77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610611704.48921037</v>
      </c>
      <c r="R8">
        <v>49299400</v>
      </c>
      <c r="S8">
        <v>79696218.541375712</v>
      </c>
      <c r="T8">
        <v>73515900</v>
      </c>
      <c r="U8">
        <v>17280254</v>
      </c>
      <c r="V8">
        <v>200.831851</v>
      </c>
      <c r="W8">
        <v>1.5317142344063381</v>
      </c>
      <c r="X8">
        <v>43.989154599999999</v>
      </c>
      <c r="Y8">
        <v>785.60619299999996</v>
      </c>
      <c r="Z8">
        <v>4.5327332400000002E-18</v>
      </c>
      <c r="AA8">
        <v>22.361140105810502</v>
      </c>
      <c r="AB8">
        <v>100.934</v>
      </c>
      <c r="AC8">
        <v>-201.55223696023393</v>
      </c>
      <c r="AD8">
        <v>66.359556600000005</v>
      </c>
      <c r="AE8">
        <v>97.4805621</v>
      </c>
      <c r="AF8">
        <v>144.29</v>
      </c>
      <c r="AG8">
        <v>224.04320000000001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3">
      <c r="A9">
        <v>2.2000000000000002</v>
      </c>
      <c r="B9">
        <v>0</v>
      </c>
      <c r="C9">
        <v>0</v>
      </c>
      <c r="D9">
        <v>0</v>
      </c>
      <c r="E9">
        <v>1.8</v>
      </c>
      <c r="F9">
        <v>0</v>
      </c>
      <c r="G9">
        <v>0</v>
      </c>
      <c r="H9">
        <v>0</v>
      </c>
      <c r="I9">
        <v>0</v>
      </c>
      <c r="J9">
        <v>2.06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610555865.63874102</v>
      </c>
      <c r="R9">
        <v>49299400</v>
      </c>
      <c r="S9">
        <v>79696217.499377072</v>
      </c>
      <c r="T9">
        <v>73515900</v>
      </c>
      <c r="U9">
        <v>17280901.199999999</v>
      </c>
      <c r="V9">
        <v>189.18952100000001</v>
      </c>
      <c r="W9">
        <v>1.6257723830757824</v>
      </c>
      <c r="X9">
        <v>44.093694599999999</v>
      </c>
      <c r="Y9">
        <v>789.57450500000004</v>
      </c>
      <c r="Z9">
        <v>1.9305736800000001E-18</v>
      </c>
      <c r="AA9">
        <v>22.397373038743648</v>
      </c>
      <c r="AB9">
        <v>100.934</v>
      </c>
      <c r="AC9">
        <v>-431.52667237458036</v>
      </c>
      <c r="AD9">
        <v>67.634516700000006</v>
      </c>
      <c r="AE9">
        <v>98.073458500000001</v>
      </c>
      <c r="AF9">
        <v>144.29</v>
      </c>
      <c r="AG9">
        <v>223.00542300000001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3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2.4</v>
      </c>
      <c r="H10">
        <v>0</v>
      </c>
      <c r="I10">
        <v>0</v>
      </c>
      <c r="J10">
        <v>0</v>
      </c>
      <c r="K10">
        <v>0</v>
      </c>
      <c r="L10">
        <v>3.44</v>
      </c>
      <c r="M10">
        <v>0</v>
      </c>
      <c r="N10">
        <v>1.5</v>
      </c>
      <c r="O10">
        <v>0</v>
      </c>
      <c r="P10">
        <v>0</v>
      </c>
      <c r="Q10">
        <v>611368131.19836116</v>
      </c>
      <c r="R10">
        <v>49299400</v>
      </c>
      <c r="S10">
        <v>79696219.047788695</v>
      </c>
      <c r="T10">
        <v>73515900</v>
      </c>
      <c r="U10">
        <v>17284392.080000002</v>
      </c>
      <c r="V10">
        <v>223.48124100000001</v>
      </c>
      <c r="W10">
        <v>1.3787757203568043</v>
      </c>
      <c r="X10">
        <v>44.8474948</v>
      </c>
      <c r="Y10">
        <v>795.87606300000004</v>
      </c>
      <c r="Z10">
        <v>1.05289687E-16</v>
      </c>
      <c r="AA10">
        <v>7.9858758706358017</v>
      </c>
      <c r="AB10">
        <v>91.850000000000009</v>
      </c>
      <c r="AC10">
        <v>-266.61469368264807</v>
      </c>
      <c r="AD10">
        <v>62.913750899999997</v>
      </c>
      <c r="AE10">
        <v>92.770769000000001</v>
      </c>
      <c r="AF10">
        <v>165.7</v>
      </c>
      <c r="AG10">
        <v>236.04357899999999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1.7655161705247835E-2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3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2.4</v>
      </c>
      <c r="H11">
        <v>0</v>
      </c>
      <c r="I11">
        <v>0</v>
      </c>
      <c r="J11">
        <v>0</v>
      </c>
      <c r="K11">
        <v>0</v>
      </c>
      <c r="L11">
        <v>0</v>
      </c>
      <c r="M11">
        <v>2.69</v>
      </c>
      <c r="N11">
        <v>1.5</v>
      </c>
      <c r="O11">
        <v>0</v>
      </c>
      <c r="P11">
        <v>0</v>
      </c>
      <c r="Q11">
        <v>613198537.81163502</v>
      </c>
      <c r="R11">
        <v>49299400</v>
      </c>
      <c r="S11">
        <v>79696222.022579744</v>
      </c>
      <c r="T11">
        <v>73515900</v>
      </c>
      <c r="U11">
        <v>17297885.439999998</v>
      </c>
      <c r="V11">
        <v>221.616095</v>
      </c>
      <c r="W11">
        <v>1.3959865593412766</v>
      </c>
      <c r="X11">
        <v>44.083419200000002</v>
      </c>
      <c r="Y11">
        <v>785.88390500000003</v>
      </c>
      <c r="Z11">
        <v>2.5749648199999999E-15</v>
      </c>
      <c r="AA11">
        <v>9.2745358128521538</v>
      </c>
      <c r="AB11">
        <v>91.850000000000009</v>
      </c>
      <c r="AC11">
        <v>-253.98814923436026</v>
      </c>
      <c r="AD11">
        <v>64.194232799999995</v>
      </c>
      <c r="AE11">
        <v>92.892523499999996</v>
      </c>
      <c r="AF11">
        <v>165.7</v>
      </c>
      <c r="AG11">
        <v>229.03933000000001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3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2.4</v>
      </c>
      <c r="H12">
        <v>0</v>
      </c>
      <c r="I12">
        <v>0</v>
      </c>
      <c r="J12">
        <v>0</v>
      </c>
      <c r="K12">
        <v>3.5</v>
      </c>
      <c r="L12">
        <v>0</v>
      </c>
      <c r="M12">
        <v>0</v>
      </c>
      <c r="N12">
        <v>0</v>
      </c>
      <c r="O12">
        <v>1.24</v>
      </c>
      <c r="P12">
        <v>0</v>
      </c>
      <c r="Q12">
        <v>611682208.98723674</v>
      </c>
      <c r="R12">
        <v>49299400</v>
      </c>
      <c r="S12">
        <v>79696218.539526746</v>
      </c>
      <c r="T12">
        <v>73515900</v>
      </c>
      <c r="U12">
        <v>17284050.960000001</v>
      </c>
      <c r="V12">
        <v>224.930295</v>
      </c>
      <c r="W12">
        <v>1.3708412304451685</v>
      </c>
      <c r="X12">
        <v>43.627155500000001</v>
      </c>
      <c r="Y12">
        <v>778.58749899999998</v>
      </c>
      <c r="Z12">
        <v>1.1092454800000001E-15</v>
      </c>
      <c r="AA12">
        <v>19.328862376652729</v>
      </c>
      <c r="AB12">
        <v>91.850000000000009</v>
      </c>
      <c r="AC12">
        <v>-238.8943029407466</v>
      </c>
      <c r="AD12">
        <v>62.863345700000004</v>
      </c>
      <c r="AE12">
        <v>92.780074600000006</v>
      </c>
      <c r="AF12">
        <v>165.7</v>
      </c>
      <c r="AG12">
        <v>233.455941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3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3.5</v>
      </c>
      <c r="L13">
        <v>0</v>
      </c>
      <c r="M13">
        <v>0</v>
      </c>
      <c r="N13">
        <v>0</v>
      </c>
      <c r="O13">
        <v>0</v>
      </c>
      <c r="P13">
        <v>1.3</v>
      </c>
      <c r="Q13">
        <v>611615175.22062886</v>
      </c>
      <c r="R13">
        <v>49299400</v>
      </c>
      <c r="S13">
        <v>79696218.824063033</v>
      </c>
      <c r="T13">
        <v>73515900</v>
      </c>
      <c r="U13">
        <v>17283467.919999998</v>
      </c>
      <c r="V13">
        <v>226.271209</v>
      </c>
      <c r="W13">
        <v>1.3625163250278063</v>
      </c>
      <c r="X13">
        <v>43.6080969</v>
      </c>
      <c r="Y13">
        <v>779.54591100000005</v>
      </c>
      <c r="Z13">
        <v>1.0407077699999999E-15</v>
      </c>
      <c r="AA13">
        <v>19.207163182540537</v>
      </c>
      <c r="AB13">
        <v>91.850000000000009</v>
      </c>
      <c r="AC13">
        <v>-238.8056443034265</v>
      </c>
      <c r="AD13">
        <v>62.840800999999999</v>
      </c>
      <c r="AE13">
        <v>92.759472500000001</v>
      </c>
      <c r="AF13">
        <v>165.7</v>
      </c>
      <c r="AG13">
        <v>231.17583999999999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5" spans="1:46" x14ac:dyDescent="0.3">
      <c r="U15" s="27" t="s">
        <v>366</v>
      </c>
      <c r="V15" s="27">
        <f>MIN(V3:V13)</f>
        <v>189.18952100000001</v>
      </c>
      <c r="W15" s="27"/>
      <c r="X15" s="27">
        <f>MIN(X3:X13)</f>
        <v>43.6080969</v>
      </c>
      <c r="Y15" s="27">
        <f>MIN(Y3:Y13)</f>
        <v>778.58749899999998</v>
      </c>
      <c r="Z15" s="27">
        <f>MIN(Z3:Z13)</f>
        <v>1.0925813399999999E-18</v>
      </c>
      <c r="AA15" s="18">
        <f>MIN(AA3:AA13)</f>
        <v>7.9858758706358017</v>
      </c>
      <c r="AB15" s="27">
        <f>MIN(AB3:AB13)</f>
        <v>91.850000000000009</v>
      </c>
      <c r="AC15" s="27">
        <f>MIN(AC3:AC13)</f>
        <v>-431.52667237458036</v>
      </c>
      <c r="AD15" s="27">
        <f>MIN(AD3:AD13)</f>
        <v>60.201367099999999</v>
      </c>
      <c r="AE15" s="27">
        <f>MIN(AE3:AE13)</f>
        <v>85.755318200000005</v>
      </c>
      <c r="AF15" s="27">
        <f>MIN(AF3:AF13)</f>
        <v>144.29</v>
      </c>
      <c r="AG15" s="27">
        <f>MIN(AG3:AG13)</f>
        <v>223.00542300000001</v>
      </c>
    </row>
    <row r="16" spans="1:46" x14ac:dyDescent="0.3">
      <c r="U16" s="27" t="s">
        <v>365</v>
      </c>
      <c r="V16" s="27">
        <f>MAX(V3:V13)</f>
        <v>229.948195</v>
      </c>
      <c r="W16" s="27"/>
      <c r="X16" s="27">
        <f>MAX(X3:X13)</f>
        <v>44.8474948</v>
      </c>
      <c r="Y16" s="27">
        <f>MAX(Y3:Y13)</f>
        <v>795.87606300000004</v>
      </c>
      <c r="Z16" s="27">
        <f>MAX(Z3:Z13)</f>
        <v>2.5749648199999999E-15</v>
      </c>
      <c r="AA16" s="18">
        <f>MAX(AA3:AA13)</f>
        <v>23.640584877542075</v>
      </c>
      <c r="AB16" s="27">
        <f>MAX(AB3:AB13)</f>
        <v>100.934</v>
      </c>
      <c r="AC16" s="27">
        <f>MAX(AC3:AC13)</f>
        <v>-201.55223696023393</v>
      </c>
      <c r="AD16" s="27">
        <f>MAX(AD3:AD13)</f>
        <v>67.634516700000006</v>
      </c>
      <c r="AE16" s="27">
        <f>MAX(AE3:AE13)</f>
        <v>98.073458500000001</v>
      </c>
      <c r="AF16" s="27">
        <f>MAX(AF3:AF13)</f>
        <v>165.7</v>
      </c>
      <c r="AG16" s="27">
        <f>MAX(AG3:AG13)</f>
        <v>248.14986400000001</v>
      </c>
    </row>
    <row r="17" spans="21:33" x14ac:dyDescent="0.3">
      <c r="U17" s="27"/>
      <c r="V17" s="27"/>
      <c r="W17" s="27"/>
      <c r="X17" s="27"/>
      <c r="Y17" s="27"/>
      <c r="Z17" s="27"/>
      <c r="AA17" s="18"/>
      <c r="AB17" s="27"/>
      <c r="AC17" s="27"/>
      <c r="AD17" s="27"/>
      <c r="AE17" s="27"/>
      <c r="AF17" s="27"/>
      <c r="AG17" s="27"/>
    </row>
    <row r="18" spans="21:33" x14ac:dyDescent="0.3">
      <c r="U18" s="27" t="s">
        <v>367</v>
      </c>
      <c r="V18" s="27">
        <f>V15-V$2</f>
        <v>-38.289214999999984</v>
      </c>
      <c r="W18" s="27"/>
      <c r="X18" s="27">
        <f>X15-X$2</f>
        <v>-0.17553579999999869</v>
      </c>
      <c r="Y18" s="27">
        <f>Y15-Y$2</f>
        <v>-4.2608340000000453</v>
      </c>
      <c r="Z18" s="27">
        <f>Z15-Z$2</f>
        <v>-1.2489213066000001E-16</v>
      </c>
      <c r="AA18" s="18">
        <f>AA15-AA$2</f>
        <v>-15.558669817476098</v>
      </c>
      <c r="AB18" s="27">
        <f>AB15-AB$2</f>
        <v>0</v>
      </c>
      <c r="AC18" s="27">
        <f>AC15-AC$2</f>
        <v>-192.02606902642313</v>
      </c>
      <c r="AD18" s="27">
        <f>AD15-AD$2</f>
        <v>-2.6926223000000036</v>
      </c>
      <c r="AE18" s="27">
        <f>AE15-AE$2</f>
        <v>-7.0483780999999937</v>
      </c>
      <c r="AF18" s="27">
        <f>AF15-AF$2</f>
        <v>-21.409999999999997</v>
      </c>
      <c r="AG18" s="27">
        <f>AG15-AG$2</f>
        <v>-13.221822000000003</v>
      </c>
    </row>
    <row r="19" spans="21:33" x14ac:dyDescent="0.3">
      <c r="U19" s="27" t="s">
        <v>368</v>
      </c>
      <c r="V19" s="27">
        <f>V16-V$2</f>
        <v>2.4694590000000005</v>
      </c>
      <c r="W19" s="27"/>
      <c r="X19" s="27">
        <f>X16-X$2</f>
        <v>1.0638621000000015</v>
      </c>
      <c r="Y19" s="27">
        <f>Y16-Y$2</f>
        <v>13.02773000000002</v>
      </c>
      <c r="Z19" s="27">
        <f>Z16-Z$2</f>
        <v>2.4489801079999999E-15</v>
      </c>
      <c r="AA19" s="18">
        <f>AA16-AA$2</f>
        <v>9.6039189430175753E-2</v>
      </c>
      <c r="AB19" s="27">
        <f>AB16-AB$2</f>
        <v>9.083999999999989</v>
      </c>
      <c r="AC19" s="27">
        <f>AC16-AC$2</f>
        <v>37.948366387923301</v>
      </c>
      <c r="AD19" s="27">
        <f>AD16-AD$2</f>
        <v>4.7405273000000037</v>
      </c>
      <c r="AE19" s="27">
        <f>AE16-AE$2</f>
        <v>5.2697622000000024</v>
      </c>
      <c r="AF19" s="27">
        <f>AF16-AF$2</f>
        <v>0</v>
      </c>
      <c r="AG19" s="27">
        <f>AG16-AG$2</f>
        <v>11.922618999999997</v>
      </c>
    </row>
    <row r="20" spans="21:33" x14ac:dyDescent="0.3">
      <c r="U20" s="27"/>
      <c r="V20" s="27"/>
      <c r="W20" s="27"/>
      <c r="X20" s="27"/>
      <c r="Y20" s="27"/>
      <c r="Z20" s="27"/>
      <c r="AA20" s="18"/>
      <c r="AB20" s="27"/>
      <c r="AC20" s="27"/>
      <c r="AD20" s="27"/>
      <c r="AE20" s="27"/>
      <c r="AF20" s="27"/>
      <c r="AG20" s="27"/>
    </row>
    <row r="21" spans="21:33" x14ac:dyDescent="0.3">
      <c r="U21" s="27" t="s">
        <v>369</v>
      </c>
      <c r="V21" s="27">
        <f>AVERAGE(V2:V13)</f>
        <v>219.84853683333336</v>
      </c>
      <c r="W21" s="27"/>
      <c r="X21" s="27">
        <f>AVERAGE(X2:X13)</f>
        <v>43.95141185833333</v>
      </c>
      <c r="Y21" s="27">
        <f>AVERAGE(Y2:Y13)</f>
        <v>784.96236141666657</v>
      </c>
      <c r="Z21" s="27">
        <f>AVERAGE(Z2:Z13)</f>
        <v>4.3893392088000003E-16</v>
      </c>
      <c r="AA21" s="18">
        <f>AVERAGE(AA2:AA13)</f>
        <v>19.805826796598261</v>
      </c>
      <c r="AB21" s="27">
        <f>AVERAGE(AB2:AB13)</f>
        <v>94.120999999999995</v>
      </c>
      <c r="AC21" s="27">
        <f>AVERAGE(AC2:AC13)</f>
        <v>-268.12876273084532</v>
      </c>
      <c r="AD21" s="27">
        <f>AVERAGE(AD2:AD13)</f>
        <v>63.698850291666666</v>
      </c>
      <c r="AE21" s="27">
        <f>AVERAGE(AE2:AE13)</f>
        <v>93.31823254166666</v>
      </c>
      <c r="AF21" s="27">
        <f>AVERAGE(AF2:AF13)</f>
        <v>160.3475</v>
      </c>
      <c r="AG21" s="27">
        <f>AVERAGE(AG2:AG13)</f>
        <v>233.13791658333335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7368-A98A-49C0-ADCD-1EFE52998490}">
  <dimension ref="A1:AN114"/>
  <sheetViews>
    <sheetView workbookViewId="0">
      <selection activeCell="A5" sqref="A5:Q15"/>
    </sheetView>
  </sheetViews>
  <sheetFormatPr defaultRowHeight="16.5" x14ac:dyDescent="0.3"/>
  <sheetData>
    <row r="1" spans="1:40" x14ac:dyDescent="0.3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155</v>
      </c>
      <c r="Q1" t="s">
        <v>208</v>
      </c>
      <c r="R1" t="s">
        <v>185</v>
      </c>
      <c r="S1" t="s">
        <v>186</v>
      </c>
      <c r="T1" t="s">
        <v>187</v>
      </c>
      <c r="U1" t="s">
        <v>188</v>
      </c>
      <c r="V1" t="s">
        <v>209</v>
      </c>
      <c r="W1" t="s">
        <v>210</v>
      </c>
      <c r="X1" t="s">
        <v>355</v>
      </c>
      <c r="Y1" t="s">
        <v>356</v>
      </c>
      <c r="Z1" t="s">
        <v>357</v>
      </c>
      <c r="AA1" t="s">
        <v>358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359</v>
      </c>
      <c r="AL1" t="s">
        <v>360</v>
      </c>
      <c r="AM1" t="s">
        <v>361</v>
      </c>
      <c r="AN1" t="s">
        <v>362</v>
      </c>
    </row>
    <row r="2" spans="1:40" x14ac:dyDescent="0.3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611615175.22062886</v>
      </c>
      <c r="L2">
        <v>49299400</v>
      </c>
      <c r="M2">
        <v>79696218.824063033</v>
      </c>
      <c r="N2">
        <v>73515900</v>
      </c>
      <c r="O2">
        <v>17283467.919999998</v>
      </c>
      <c r="P2">
        <v>226.271209</v>
      </c>
      <c r="Q2">
        <v>1.3625163250278063</v>
      </c>
      <c r="R2">
        <v>43.6080969</v>
      </c>
      <c r="S2">
        <v>779.54591100000005</v>
      </c>
      <c r="T2">
        <v>1.0407077699999999E-15</v>
      </c>
      <c r="U2">
        <v>19.207163182540537</v>
      </c>
      <c r="V2">
        <v>91.850000000000009</v>
      </c>
      <c r="W2">
        <v>-238.8056443034265</v>
      </c>
      <c r="X2">
        <v>62.840800999999999</v>
      </c>
      <c r="Y2">
        <v>92.759472500000001</v>
      </c>
      <c r="Z2">
        <v>165.7</v>
      </c>
      <c r="AA2">
        <v>231.17583999999999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5.491046021824328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3">
      <c r="A3">
        <v>930</v>
      </c>
      <c r="B3">
        <v>30</v>
      </c>
      <c r="C3">
        <v>15</v>
      </c>
      <c r="D3">
        <v>2.95</v>
      </c>
      <c r="E3">
        <v>20</v>
      </c>
      <c r="F3">
        <v>12</v>
      </c>
      <c r="G3">
        <v>0.56747999999999998</v>
      </c>
      <c r="H3">
        <v>20</v>
      </c>
      <c r="I3">
        <v>12</v>
      </c>
      <c r="J3">
        <v>1.4</v>
      </c>
      <c r="K3">
        <v>611615175.22062886</v>
      </c>
      <c r="L3">
        <v>49299400</v>
      </c>
      <c r="M3">
        <v>79696218.824063033</v>
      </c>
      <c r="N3">
        <v>73515900</v>
      </c>
      <c r="O3">
        <v>15885038.24</v>
      </c>
      <c r="P3">
        <v>226.271209</v>
      </c>
      <c r="Q3">
        <v>1.3625163250278063</v>
      </c>
      <c r="R3">
        <v>43.6080969</v>
      </c>
      <c r="S3">
        <v>779.54591100000005</v>
      </c>
      <c r="T3">
        <v>1.0407077699999999E-15</v>
      </c>
      <c r="U3">
        <v>19.207163182540537</v>
      </c>
      <c r="V3">
        <v>91.850000000000009</v>
      </c>
      <c r="W3">
        <v>-238.8056443034265</v>
      </c>
      <c r="X3">
        <v>62.840800999999999</v>
      </c>
      <c r="Y3">
        <v>92.759472500000001</v>
      </c>
      <c r="Z3">
        <v>165.7</v>
      </c>
      <c r="AA3">
        <v>231.17583999999999</v>
      </c>
      <c r="AB3">
        <v>99</v>
      </c>
      <c r="AC3">
        <v>0</v>
      </c>
      <c r="AD3">
        <v>0</v>
      </c>
      <c r="AE3">
        <v>0</v>
      </c>
      <c r="AF3">
        <v>0</v>
      </c>
      <c r="AG3">
        <v>0</v>
      </c>
      <c r="AH3">
        <v>5.491046021824328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>
        <v>930</v>
      </c>
      <c r="B4">
        <v>30</v>
      </c>
      <c r="C4">
        <v>15</v>
      </c>
      <c r="D4">
        <v>2.95</v>
      </c>
      <c r="E4">
        <v>20</v>
      </c>
      <c r="F4">
        <v>12</v>
      </c>
      <c r="G4">
        <v>0.56747999999999998</v>
      </c>
      <c r="H4">
        <v>20</v>
      </c>
      <c r="I4">
        <v>12</v>
      </c>
      <c r="J4">
        <v>0.7</v>
      </c>
      <c r="K4">
        <v>583372405.49599671</v>
      </c>
      <c r="L4">
        <v>50126300</v>
      </c>
      <c r="M4">
        <v>79694718.824063033</v>
      </c>
      <c r="N4">
        <v>71705400</v>
      </c>
      <c r="O4">
        <v>15885038.24</v>
      </c>
      <c r="P4">
        <v>226.28026299999999</v>
      </c>
      <c r="Q4">
        <v>1.329182868775536</v>
      </c>
      <c r="R4">
        <v>43.6080969</v>
      </c>
      <c r="S4">
        <v>779.54344400000002</v>
      </c>
      <c r="T4">
        <v>1.0405959499999999E-15</v>
      </c>
      <c r="U4">
        <v>19.206404763539531</v>
      </c>
      <c r="V4">
        <v>91.850000000000009</v>
      </c>
      <c r="W4">
        <v>-238.82056056194332</v>
      </c>
      <c r="X4">
        <v>62.841637400000003</v>
      </c>
      <c r="Y4">
        <v>92.759895400000005</v>
      </c>
      <c r="Z4">
        <v>165.7</v>
      </c>
      <c r="AA4">
        <v>232.05795800000001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5.491994045575586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3">
      <c r="A5">
        <v>910</v>
      </c>
      <c r="B5">
        <v>30</v>
      </c>
      <c r="C5">
        <v>15</v>
      </c>
      <c r="D5">
        <v>2.95</v>
      </c>
      <c r="E5">
        <v>20</v>
      </c>
      <c r="F5">
        <v>12</v>
      </c>
      <c r="G5">
        <v>0.56747999999999998</v>
      </c>
      <c r="H5">
        <v>20</v>
      </c>
      <c r="I5">
        <v>12</v>
      </c>
      <c r="J5">
        <v>1.4</v>
      </c>
      <c r="K5">
        <v>583173562.4876523</v>
      </c>
      <c r="L5">
        <v>50218400</v>
      </c>
      <c r="M5">
        <v>79674145.755577862</v>
      </c>
      <c r="N5">
        <v>71200300</v>
      </c>
      <c r="O5">
        <v>15890479.600000001</v>
      </c>
      <c r="P5">
        <v>224.98823400000001</v>
      </c>
      <c r="Q5">
        <v>1.3479331889640114</v>
      </c>
      <c r="R5">
        <v>43.608513100000003</v>
      </c>
      <c r="S5">
        <v>779.51119000000006</v>
      </c>
      <c r="T5">
        <v>1.0467246199999999E-15</v>
      </c>
      <c r="U5">
        <v>19.201057221578637</v>
      </c>
      <c r="V5">
        <v>91.850000000000009</v>
      </c>
      <c r="W5">
        <v>-238.69670292509312</v>
      </c>
      <c r="X5">
        <v>62.86712</v>
      </c>
      <c r="Y5">
        <v>92.770306899999994</v>
      </c>
      <c r="Z5">
        <v>165.7</v>
      </c>
      <c r="AA5">
        <v>231.17670100000001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5.498678473026704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3">
      <c r="A6">
        <v>915</v>
      </c>
      <c r="B6">
        <v>30</v>
      </c>
      <c r="C6">
        <v>15</v>
      </c>
      <c r="D6">
        <v>2.95</v>
      </c>
      <c r="E6">
        <v>20</v>
      </c>
      <c r="F6">
        <v>12</v>
      </c>
      <c r="G6">
        <v>0.56747999999999998</v>
      </c>
      <c r="H6">
        <v>20</v>
      </c>
      <c r="I6">
        <v>12</v>
      </c>
      <c r="J6">
        <v>1.4</v>
      </c>
      <c r="K6">
        <v>583330112.47250605</v>
      </c>
      <c r="L6">
        <v>50224700</v>
      </c>
      <c r="M6">
        <v>79680038.086040586</v>
      </c>
      <c r="N6">
        <v>71333200</v>
      </c>
      <c r="O6">
        <v>15890347.680000002</v>
      </c>
      <c r="P6">
        <v>225.35302300000001</v>
      </c>
      <c r="Q6">
        <v>1.3437429103133045</v>
      </c>
      <c r="R6">
        <v>43.608394099999998</v>
      </c>
      <c r="S6">
        <v>779.52110900000002</v>
      </c>
      <c r="T6">
        <v>1.04500463E-15</v>
      </c>
      <c r="U6">
        <v>19.202834474138534</v>
      </c>
      <c r="V6">
        <v>91.850000000000009</v>
      </c>
      <c r="W6">
        <v>-238.72858510140466</v>
      </c>
      <c r="X6">
        <v>62.859628899999997</v>
      </c>
      <c r="Y6">
        <v>92.767220300000005</v>
      </c>
      <c r="Z6">
        <v>165.7</v>
      </c>
      <c r="AA6">
        <v>231.17645300000001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5.4964569073268326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>
        <v>920</v>
      </c>
      <c r="B7">
        <v>30</v>
      </c>
      <c r="C7">
        <v>15</v>
      </c>
      <c r="D7">
        <v>2.95</v>
      </c>
      <c r="E7">
        <v>20</v>
      </c>
      <c r="F7">
        <v>12</v>
      </c>
      <c r="G7">
        <v>0.56747999999999998</v>
      </c>
      <c r="H7">
        <v>20</v>
      </c>
      <c r="I7">
        <v>12</v>
      </c>
      <c r="J7">
        <v>1.4</v>
      </c>
      <c r="K7">
        <v>583293521.09322369</v>
      </c>
      <c r="L7">
        <v>50345900</v>
      </c>
      <c r="M7">
        <v>79686030.241467252</v>
      </c>
      <c r="N7">
        <v>71468900</v>
      </c>
      <c r="O7">
        <v>15892966.16</v>
      </c>
      <c r="P7">
        <v>225.72636</v>
      </c>
      <c r="Q7">
        <v>1.3411268351195913</v>
      </c>
      <c r="R7">
        <v>43.608272599999999</v>
      </c>
      <c r="S7">
        <v>779.53126599999996</v>
      </c>
      <c r="T7">
        <v>1.04322556E-15</v>
      </c>
      <c r="U7">
        <v>19.204588968746837</v>
      </c>
      <c r="V7">
        <v>91.850000000000009</v>
      </c>
      <c r="W7">
        <v>-238.75682366461635</v>
      </c>
      <c r="X7">
        <v>62.851831500000003</v>
      </c>
      <c r="Y7">
        <v>92.764010499999998</v>
      </c>
      <c r="Z7">
        <v>165.7</v>
      </c>
      <c r="AA7">
        <v>231.17620199999999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5.4942637890664532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">
      <c r="A8">
        <v>925</v>
      </c>
      <c r="B8">
        <v>30</v>
      </c>
      <c r="C8">
        <v>15</v>
      </c>
      <c r="D8">
        <v>2.95</v>
      </c>
      <c r="E8">
        <v>20</v>
      </c>
      <c r="F8">
        <v>12</v>
      </c>
      <c r="G8">
        <v>0.56747999999999998</v>
      </c>
      <c r="H8">
        <v>20</v>
      </c>
      <c r="I8">
        <v>12</v>
      </c>
      <c r="J8">
        <v>1.4</v>
      </c>
      <c r="K8">
        <v>582969646.74656379</v>
      </c>
      <c r="L8">
        <v>50348700</v>
      </c>
      <c r="M8">
        <v>79688626.842234328</v>
      </c>
      <c r="N8">
        <v>71528500</v>
      </c>
      <c r="O8">
        <v>15883164.559999999</v>
      </c>
      <c r="P8">
        <v>225.88994099999999</v>
      </c>
      <c r="Q8">
        <v>1.3380723335704283</v>
      </c>
      <c r="R8">
        <v>43.608222099999999</v>
      </c>
      <c r="S8">
        <v>779.53548999999998</v>
      </c>
      <c r="T8">
        <v>1.04250179E-15</v>
      </c>
      <c r="U8">
        <v>19.205360254231433</v>
      </c>
      <c r="V8">
        <v>91.850000000000009</v>
      </c>
      <c r="W8">
        <v>-238.77223033883871</v>
      </c>
      <c r="X8">
        <v>62.848628499999997</v>
      </c>
      <c r="Y8">
        <v>92.762670900000003</v>
      </c>
      <c r="Z8">
        <v>165.7</v>
      </c>
      <c r="AA8">
        <v>231.17620199999999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5.4932996822107079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">
      <c r="A9">
        <v>930</v>
      </c>
      <c r="B9">
        <v>30</v>
      </c>
      <c r="C9">
        <v>15</v>
      </c>
      <c r="D9">
        <v>2.95</v>
      </c>
      <c r="E9">
        <v>20</v>
      </c>
      <c r="F9">
        <v>12</v>
      </c>
      <c r="G9">
        <v>0.56747999999999998</v>
      </c>
      <c r="H9">
        <v>20</v>
      </c>
      <c r="I9">
        <v>12</v>
      </c>
      <c r="J9">
        <v>1.4</v>
      </c>
      <c r="K9">
        <v>583425175.29800379</v>
      </c>
      <c r="L9">
        <v>50125800</v>
      </c>
      <c r="M9">
        <v>79694718.824063033</v>
      </c>
      <c r="N9">
        <v>71667300</v>
      </c>
      <c r="O9">
        <v>15885038.24</v>
      </c>
      <c r="P9">
        <v>226.271209</v>
      </c>
      <c r="Q9">
        <v>1.3301279146777207</v>
      </c>
      <c r="R9">
        <v>43.6080969</v>
      </c>
      <c r="S9">
        <v>779.54591100000005</v>
      </c>
      <c r="T9">
        <v>1.0407077699999999E-15</v>
      </c>
      <c r="U9">
        <v>19.207163182540537</v>
      </c>
      <c r="V9">
        <v>91.850000000000009</v>
      </c>
      <c r="W9">
        <v>-238.8056443034265</v>
      </c>
      <c r="X9">
        <v>62.840800999999999</v>
      </c>
      <c r="Y9">
        <v>92.759472500000001</v>
      </c>
      <c r="Z9">
        <v>165.7</v>
      </c>
      <c r="AA9">
        <v>231.17583999999999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5.491046021824328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>
        <v>935</v>
      </c>
      <c r="B10">
        <v>30</v>
      </c>
      <c r="C10">
        <v>15</v>
      </c>
      <c r="D10">
        <v>2.95</v>
      </c>
      <c r="E10">
        <v>20</v>
      </c>
      <c r="F10">
        <v>12</v>
      </c>
      <c r="G10">
        <v>0.56747999999999998</v>
      </c>
      <c r="H10">
        <v>20</v>
      </c>
      <c r="I10">
        <v>12</v>
      </c>
      <c r="J10">
        <v>1.4</v>
      </c>
      <c r="K10">
        <v>583693414.4505614</v>
      </c>
      <c r="L10">
        <v>50125800</v>
      </c>
      <c r="M10">
        <v>79694708.649990007</v>
      </c>
      <c r="N10">
        <v>71667300</v>
      </c>
      <c r="O10">
        <v>15888926</v>
      </c>
      <c r="P10">
        <v>226.809731</v>
      </c>
      <c r="Q10">
        <v>1.3277726029393353</v>
      </c>
      <c r="R10">
        <v>43.607932699999999</v>
      </c>
      <c r="S10">
        <v>779.55906600000003</v>
      </c>
      <c r="T10">
        <v>1.0383002000000001E-15</v>
      </c>
      <c r="U10">
        <v>19.209976103693933</v>
      </c>
      <c r="V10">
        <v>91.850000000000009</v>
      </c>
      <c r="W10">
        <v>-238.85192485241916</v>
      </c>
      <c r="X10">
        <v>62.829986300000002</v>
      </c>
      <c r="Y10">
        <v>92.755045199999998</v>
      </c>
      <c r="Z10">
        <v>165.7</v>
      </c>
      <c r="AA10">
        <v>231.17554100000001</v>
      </c>
      <c r="AB10">
        <v>100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5.4875298703825841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">
      <c r="A11">
        <v>940</v>
      </c>
      <c r="B11">
        <v>30</v>
      </c>
      <c r="C11">
        <v>15</v>
      </c>
      <c r="D11">
        <v>2.95</v>
      </c>
      <c r="E11">
        <v>20</v>
      </c>
      <c r="F11">
        <v>12</v>
      </c>
      <c r="G11">
        <v>0.56747999999999998</v>
      </c>
      <c r="H11">
        <v>20</v>
      </c>
      <c r="I11">
        <v>12</v>
      </c>
      <c r="J11">
        <v>1.4</v>
      </c>
      <c r="K11">
        <v>583554727.50176001</v>
      </c>
      <c r="L11">
        <v>50150800</v>
      </c>
      <c r="M11">
        <v>79707302.274733365</v>
      </c>
      <c r="N11">
        <v>71953500</v>
      </c>
      <c r="O11">
        <v>15889686.4</v>
      </c>
      <c r="P11">
        <v>227.057738</v>
      </c>
      <c r="Q11">
        <v>1.3208295627011264</v>
      </c>
      <c r="R11">
        <v>43.607836900000002</v>
      </c>
      <c r="S11">
        <v>779.567545</v>
      </c>
      <c r="T11">
        <v>1.0370075999999999E-15</v>
      </c>
      <c r="U11">
        <v>19.210818600133333</v>
      </c>
      <c r="V11">
        <v>91.850000000000009</v>
      </c>
      <c r="W11">
        <v>-238.87538914773762</v>
      </c>
      <c r="X11">
        <v>62.8250089</v>
      </c>
      <c r="Y11">
        <v>92.752924899999996</v>
      </c>
      <c r="Z11">
        <v>165.7</v>
      </c>
      <c r="AA11">
        <v>231.17554100000001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5.4864767498333329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">
      <c r="A12">
        <v>945</v>
      </c>
      <c r="B12">
        <v>30</v>
      </c>
      <c r="C12">
        <v>15</v>
      </c>
      <c r="D12">
        <v>2.95</v>
      </c>
      <c r="E12">
        <v>20</v>
      </c>
      <c r="F12">
        <v>12</v>
      </c>
      <c r="G12">
        <v>0.56747999999999998</v>
      </c>
      <c r="H12">
        <v>20</v>
      </c>
      <c r="I12">
        <v>12</v>
      </c>
      <c r="J12">
        <v>1.4</v>
      </c>
      <c r="K12">
        <v>581617959.71192157</v>
      </c>
      <c r="L12">
        <v>50239400</v>
      </c>
      <c r="M12">
        <v>79713793.727961421</v>
      </c>
      <c r="N12">
        <v>72101300</v>
      </c>
      <c r="O12">
        <v>15892403.120000001</v>
      </c>
      <c r="P12">
        <v>227.462737</v>
      </c>
      <c r="Q12">
        <v>1.311548709138092</v>
      </c>
      <c r="R12">
        <v>43.607700600000001</v>
      </c>
      <c r="S12">
        <v>779.57880799999998</v>
      </c>
      <c r="T12">
        <v>1.0351314200000001E-15</v>
      </c>
      <c r="U12">
        <v>19.212742465174532</v>
      </c>
      <c r="V12">
        <v>91.850000000000009</v>
      </c>
      <c r="W12">
        <v>-238.91913630196183</v>
      </c>
      <c r="X12">
        <v>62.816919200000001</v>
      </c>
      <c r="Y12">
        <v>92.749678099999997</v>
      </c>
      <c r="Z12">
        <v>165.7</v>
      </c>
      <c r="AA12">
        <v>231.17504400000001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5.4840719185318338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">
      <c r="A13">
        <v>950</v>
      </c>
      <c r="B13">
        <v>30</v>
      </c>
      <c r="C13">
        <v>15</v>
      </c>
      <c r="D13">
        <v>2.95</v>
      </c>
      <c r="E13">
        <v>20</v>
      </c>
      <c r="F13">
        <v>12</v>
      </c>
      <c r="G13">
        <v>0.56747999999999998</v>
      </c>
      <c r="H13">
        <v>20</v>
      </c>
      <c r="I13">
        <v>12</v>
      </c>
      <c r="J13">
        <v>1.4</v>
      </c>
      <c r="K13">
        <v>581762358.71098924</v>
      </c>
      <c r="L13">
        <v>50246500</v>
      </c>
      <c r="M13">
        <v>79720384.99999021</v>
      </c>
      <c r="N13">
        <v>72251900</v>
      </c>
      <c r="O13">
        <v>15895414.479999999</v>
      </c>
      <c r="P13">
        <v>227.87758500000001</v>
      </c>
      <c r="Q13">
        <v>1.3068114058393716</v>
      </c>
      <c r="R13">
        <v>43.607562199999997</v>
      </c>
      <c r="S13">
        <v>779.59033399999998</v>
      </c>
      <c r="T13">
        <v>1.0331681299999999E-15</v>
      </c>
      <c r="U13">
        <v>19.214578752860834</v>
      </c>
      <c r="V13">
        <v>91.850000000000009</v>
      </c>
      <c r="W13">
        <v>-238.95343232713586</v>
      </c>
      <c r="X13">
        <v>62.808644200000003</v>
      </c>
      <c r="Y13">
        <v>92.746221500000004</v>
      </c>
      <c r="Z13">
        <v>165.7</v>
      </c>
      <c r="AA13">
        <v>231.17477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5.481776558923956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">
      <c r="A14">
        <v>955</v>
      </c>
      <c r="B14">
        <v>30</v>
      </c>
      <c r="C14">
        <v>15</v>
      </c>
      <c r="D14">
        <v>2.95</v>
      </c>
      <c r="E14">
        <v>20</v>
      </c>
      <c r="F14">
        <v>12</v>
      </c>
      <c r="G14">
        <v>0.56747999999999998</v>
      </c>
      <c r="H14">
        <v>20</v>
      </c>
      <c r="I14">
        <v>12</v>
      </c>
      <c r="J14">
        <v>1.4</v>
      </c>
      <c r="K14">
        <v>581957444.65165496</v>
      </c>
      <c r="L14">
        <v>50254900</v>
      </c>
      <c r="M14">
        <v>79728177.082485184</v>
      </c>
      <c r="N14">
        <v>72413400</v>
      </c>
      <c r="O14">
        <v>15881334.800000001</v>
      </c>
      <c r="P14">
        <v>228.32106999999999</v>
      </c>
      <c r="Q14">
        <v>1.3018931049907252</v>
      </c>
      <c r="R14">
        <v>43.6074889</v>
      </c>
      <c r="S14">
        <v>779.59662500000002</v>
      </c>
      <c r="T14">
        <v>1.03237255E-15</v>
      </c>
      <c r="U14">
        <v>19.216003904950632</v>
      </c>
      <c r="V14">
        <v>91.850000000000009</v>
      </c>
      <c r="W14">
        <v>-239.02307569719741</v>
      </c>
      <c r="X14">
        <v>62.801634700000001</v>
      </c>
      <c r="Y14">
        <v>92.743533999999997</v>
      </c>
      <c r="Z14">
        <v>165.7</v>
      </c>
      <c r="AA14">
        <v>231.17477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5.4799951188117095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>
        <v>960</v>
      </c>
      <c r="B15">
        <v>30</v>
      </c>
      <c r="C15">
        <v>15</v>
      </c>
      <c r="D15">
        <v>2.95</v>
      </c>
      <c r="E15">
        <v>20</v>
      </c>
      <c r="F15">
        <v>12</v>
      </c>
      <c r="G15">
        <v>0.56747999999999998</v>
      </c>
      <c r="H15">
        <v>20</v>
      </c>
      <c r="I15">
        <v>12</v>
      </c>
      <c r="J15">
        <v>1.4</v>
      </c>
      <c r="K15">
        <v>576520842.576545</v>
      </c>
      <c r="L15">
        <v>50254900</v>
      </c>
      <c r="M15">
        <v>79728302.407885</v>
      </c>
      <c r="N15">
        <v>72413400</v>
      </c>
      <c r="O15">
        <v>16377436.560000001</v>
      </c>
      <c r="P15">
        <v>219.74480600000001</v>
      </c>
      <c r="Q15">
        <v>1.335908533753662</v>
      </c>
      <c r="R15">
        <v>43.607358099999999</v>
      </c>
      <c r="S15">
        <v>779.59748399999989</v>
      </c>
      <c r="T15">
        <v>1.0241489000000001E-15</v>
      </c>
      <c r="U15">
        <v>19.201390874082133</v>
      </c>
      <c r="V15">
        <v>91.850000000000009</v>
      </c>
      <c r="W15">
        <v>-237.38621942429603</v>
      </c>
      <c r="X15">
        <v>62.908306000000003</v>
      </c>
      <c r="Y15">
        <v>92.782700800000001</v>
      </c>
      <c r="Z15">
        <v>165.7</v>
      </c>
      <c r="AA15">
        <v>231.174395</v>
      </c>
      <c r="AB15">
        <v>100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5.498261407397333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">
      <c r="A16">
        <v>930</v>
      </c>
      <c r="B16">
        <v>27</v>
      </c>
      <c r="C16">
        <v>15</v>
      </c>
      <c r="D16">
        <v>2.95</v>
      </c>
      <c r="E16">
        <v>20</v>
      </c>
      <c r="F16">
        <v>12</v>
      </c>
      <c r="G16">
        <v>0.56747999999999998</v>
      </c>
      <c r="H16">
        <v>20</v>
      </c>
      <c r="I16">
        <v>12</v>
      </c>
      <c r="J16">
        <v>1.4</v>
      </c>
      <c r="K16">
        <v>583388476.12676716</v>
      </c>
      <c r="L16">
        <v>50125800</v>
      </c>
      <c r="M16">
        <v>79694718.823241279</v>
      </c>
      <c r="N16">
        <v>71682300</v>
      </c>
      <c r="O16">
        <v>15885038.16</v>
      </c>
      <c r="P16">
        <v>226.19957099999999</v>
      </c>
      <c r="Q16">
        <v>1.3301463018658812</v>
      </c>
      <c r="R16">
        <v>43.609631700000001</v>
      </c>
      <c r="S16">
        <v>779.52004199999999</v>
      </c>
      <c r="T16">
        <v>1.45398467E-13</v>
      </c>
      <c r="U16">
        <v>19.211241296171632</v>
      </c>
      <c r="V16">
        <v>91.850000000000009</v>
      </c>
      <c r="W16">
        <v>-239.63903125037845</v>
      </c>
      <c r="X16">
        <v>62.840232200000003</v>
      </c>
      <c r="Y16">
        <v>92.810304799999997</v>
      </c>
      <c r="Z16">
        <v>165.7</v>
      </c>
      <c r="AA16">
        <v>231.15897699999999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5.4859483797854587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>
        <v>930</v>
      </c>
      <c r="B17">
        <v>28</v>
      </c>
      <c r="C17">
        <v>15</v>
      </c>
      <c r="D17">
        <v>2.95</v>
      </c>
      <c r="E17">
        <v>20</v>
      </c>
      <c r="F17">
        <v>12</v>
      </c>
      <c r="G17">
        <v>0.56747999999999998</v>
      </c>
      <c r="H17">
        <v>20</v>
      </c>
      <c r="I17">
        <v>12</v>
      </c>
      <c r="J17">
        <v>1.4</v>
      </c>
      <c r="K17">
        <v>583393336.59165406</v>
      </c>
      <c r="L17">
        <v>50125800</v>
      </c>
      <c r="M17">
        <v>79694718.823241279</v>
      </c>
      <c r="N17">
        <v>71675700</v>
      </c>
      <c r="O17">
        <v>15885038.16</v>
      </c>
      <c r="P17">
        <v>226.23076800000001</v>
      </c>
      <c r="Q17">
        <v>1.3301062437659812</v>
      </c>
      <c r="R17">
        <v>43.608943199999999</v>
      </c>
      <c r="S17">
        <v>779.53139999999996</v>
      </c>
      <c r="T17">
        <v>3.58743801E-14</v>
      </c>
      <c r="U17">
        <v>19.209452859061631</v>
      </c>
      <c r="V17">
        <v>91.850000000000009</v>
      </c>
      <c r="W17">
        <v>-239.28006334722389</v>
      </c>
      <c r="X17">
        <v>62.840488499999999</v>
      </c>
      <c r="Y17">
        <v>92.791722199999995</v>
      </c>
      <c r="Z17">
        <v>165.7</v>
      </c>
      <c r="AA17">
        <v>231.16634500000001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5.4881839261729599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3">
      <c r="A18">
        <v>930</v>
      </c>
      <c r="B18">
        <v>29</v>
      </c>
      <c r="C18">
        <v>15</v>
      </c>
      <c r="D18">
        <v>2.95</v>
      </c>
      <c r="E18">
        <v>20</v>
      </c>
      <c r="F18">
        <v>12</v>
      </c>
      <c r="G18">
        <v>0.56747999999999998</v>
      </c>
      <c r="H18">
        <v>20</v>
      </c>
      <c r="I18">
        <v>12</v>
      </c>
      <c r="J18">
        <v>1.4</v>
      </c>
      <c r="K18">
        <v>583409235.56090331</v>
      </c>
      <c r="L18">
        <v>50125800</v>
      </c>
      <c r="M18">
        <v>79694718.823241279</v>
      </c>
      <c r="N18">
        <v>71670900</v>
      </c>
      <c r="O18">
        <v>15885038.16</v>
      </c>
      <c r="P18">
        <v>226.25391400000001</v>
      </c>
      <c r="Q18">
        <v>1.3301115267354211</v>
      </c>
      <c r="R18">
        <v>43.608449100000001</v>
      </c>
      <c r="S18">
        <v>779.5397670000001</v>
      </c>
      <c r="T18">
        <v>1.0376553E-15</v>
      </c>
      <c r="U18">
        <v>19.208137177349432</v>
      </c>
      <c r="V18">
        <v>91.850000000000009</v>
      </c>
      <c r="W18">
        <v>-239.00964299513365</v>
      </c>
      <c r="X18">
        <v>62.8406722</v>
      </c>
      <c r="Y18">
        <v>92.774879600000006</v>
      </c>
      <c r="Z18">
        <v>165.7</v>
      </c>
      <c r="AA18">
        <v>231.17179400000001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5.4898285283132093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">
      <c r="A19">
        <v>930</v>
      </c>
      <c r="B19">
        <v>31</v>
      </c>
      <c r="C19">
        <v>15</v>
      </c>
      <c r="D19">
        <v>2.95</v>
      </c>
      <c r="E19">
        <v>20</v>
      </c>
      <c r="F19">
        <v>12</v>
      </c>
      <c r="G19">
        <v>0.56747999999999998</v>
      </c>
      <c r="H19">
        <v>20</v>
      </c>
      <c r="I19">
        <v>12</v>
      </c>
      <c r="J19">
        <v>1.4</v>
      </c>
      <c r="K19">
        <v>583481103.46444464</v>
      </c>
      <c r="L19">
        <v>50143500</v>
      </c>
      <c r="M19">
        <v>79694718.823241279</v>
      </c>
      <c r="N19">
        <v>71664600</v>
      </c>
      <c r="O19">
        <v>15885038.16</v>
      </c>
      <c r="P19">
        <v>226.28421</v>
      </c>
      <c r="Q19">
        <v>1.3306172403696617</v>
      </c>
      <c r="R19">
        <v>43.607848699999998</v>
      </c>
      <c r="S19">
        <v>779.55039800000009</v>
      </c>
      <c r="T19">
        <v>1.0429895500000001E-15</v>
      </c>
      <c r="U19">
        <v>19.206438951023834</v>
      </c>
      <c r="V19">
        <v>100.934</v>
      </c>
      <c r="W19">
        <v>-238.6515897512302</v>
      </c>
      <c r="X19">
        <v>62.840888200000002</v>
      </c>
      <c r="Y19">
        <v>92.745278200000001</v>
      </c>
      <c r="Z19">
        <v>165.7</v>
      </c>
      <c r="AA19">
        <v>231.178854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5.4919513112202072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3">
      <c r="A20">
        <v>930</v>
      </c>
      <c r="B20">
        <v>32</v>
      </c>
      <c r="C20">
        <v>15</v>
      </c>
      <c r="D20">
        <v>2.95</v>
      </c>
      <c r="E20">
        <v>20</v>
      </c>
      <c r="F20">
        <v>12</v>
      </c>
      <c r="G20">
        <v>0.56747999999999998</v>
      </c>
      <c r="H20">
        <v>20</v>
      </c>
      <c r="I20">
        <v>12</v>
      </c>
      <c r="J20">
        <v>1.4</v>
      </c>
      <c r="K20">
        <v>583504061.2572124</v>
      </c>
      <c r="L20">
        <v>50143500</v>
      </c>
      <c r="M20">
        <v>79694718.823241279</v>
      </c>
      <c r="N20">
        <v>71662600</v>
      </c>
      <c r="O20">
        <v>15885038.16</v>
      </c>
      <c r="P20">
        <v>226.294048</v>
      </c>
      <c r="Q20">
        <v>1.3306672774083879</v>
      </c>
      <c r="R20">
        <v>43.607676699999999</v>
      </c>
      <c r="S20">
        <v>779.55364800000007</v>
      </c>
      <c r="T20">
        <v>1.04470013E-15</v>
      </c>
      <c r="U20">
        <v>19.205898063726636</v>
      </c>
      <c r="V20">
        <v>100.934</v>
      </c>
      <c r="W20">
        <v>-238.53517613947017</v>
      </c>
      <c r="X20">
        <v>62.840888200000002</v>
      </c>
      <c r="Y20">
        <v>92.7321314</v>
      </c>
      <c r="Z20">
        <v>165.7</v>
      </c>
      <c r="AA20">
        <v>231.181104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5.4926274203417051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">
      <c r="A21">
        <v>930</v>
      </c>
      <c r="B21">
        <v>33</v>
      </c>
      <c r="C21">
        <v>15</v>
      </c>
      <c r="D21">
        <v>2.95</v>
      </c>
      <c r="E21">
        <v>20</v>
      </c>
      <c r="F21">
        <v>12</v>
      </c>
      <c r="G21">
        <v>0.56747999999999998</v>
      </c>
      <c r="H21">
        <v>20</v>
      </c>
      <c r="I21">
        <v>12</v>
      </c>
      <c r="J21">
        <v>1.4</v>
      </c>
      <c r="K21">
        <v>583553029.8075031</v>
      </c>
      <c r="L21">
        <v>50143500</v>
      </c>
      <c r="M21">
        <v>79694718.823241279</v>
      </c>
      <c r="N21">
        <v>71661100</v>
      </c>
      <c r="O21">
        <v>15885038.16</v>
      </c>
      <c r="P21">
        <v>226.301546</v>
      </c>
      <c r="Q21">
        <v>1.3307993433153489</v>
      </c>
      <c r="R21">
        <v>43.607560800000002</v>
      </c>
      <c r="S21">
        <v>779.55597299999999</v>
      </c>
      <c r="T21">
        <v>1.0459863899999999E-15</v>
      </c>
      <c r="U21">
        <v>19.205491712150437</v>
      </c>
      <c r="V21">
        <v>100.934</v>
      </c>
      <c r="W21">
        <v>-238.44717159473566</v>
      </c>
      <c r="X21">
        <v>62.840980500000001</v>
      </c>
      <c r="Y21">
        <v>92.719906800000004</v>
      </c>
      <c r="Z21">
        <v>165.7</v>
      </c>
      <c r="AA21">
        <v>231.18278799999999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5.4931353598119532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3">
      <c r="A22">
        <v>930</v>
      </c>
      <c r="B22">
        <v>34</v>
      </c>
      <c r="C22">
        <v>15</v>
      </c>
      <c r="D22">
        <v>2.95</v>
      </c>
      <c r="E22">
        <v>20</v>
      </c>
      <c r="F22">
        <v>12</v>
      </c>
      <c r="G22">
        <v>0.56747999999999998</v>
      </c>
      <c r="H22">
        <v>20</v>
      </c>
      <c r="I22">
        <v>12</v>
      </c>
      <c r="J22">
        <v>1.4</v>
      </c>
      <c r="K22">
        <v>583571003.62958372</v>
      </c>
      <c r="L22">
        <v>50143500</v>
      </c>
      <c r="M22">
        <v>79694718.823241279</v>
      </c>
      <c r="N22">
        <v>71660000</v>
      </c>
      <c r="O22">
        <v>15885038.16</v>
      </c>
      <c r="P22">
        <v>226.30731</v>
      </c>
      <c r="Q22">
        <v>1.3308408208463181</v>
      </c>
      <c r="R22">
        <v>43.607486100000003</v>
      </c>
      <c r="S22">
        <v>779.55760500000008</v>
      </c>
      <c r="T22">
        <v>1.04695553E-15</v>
      </c>
      <c r="U22">
        <v>19.205184480347032</v>
      </c>
      <c r="V22">
        <v>100.934</v>
      </c>
      <c r="W22">
        <v>-238.38065690357925</v>
      </c>
      <c r="X22">
        <v>62.840980500000001</v>
      </c>
      <c r="Y22">
        <v>92.708501799999993</v>
      </c>
      <c r="Z22">
        <v>165.7</v>
      </c>
      <c r="AA22">
        <v>231.18405000000001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5.4935193995662086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3">
      <c r="A23">
        <v>930</v>
      </c>
      <c r="B23">
        <v>35</v>
      </c>
      <c r="C23">
        <v>15</v>
      </c>
      <c r="D23">
        <v>2.95</v>
      </c>
      <c r="E23">
        <v>20</v>
      </c>
      <c r="F23">
        <v>12</v>
      </c>
      <c r="G23">
        <v>0.56747999999999998</v>
      </c>
      <c r="H23">
        <v>20</v>
      </c>
      <c r="I23">
        <v>12</v>
      </c>
      <c r="J23">
        <v>1.4</v>
      </c>
      <c r="K23">
        <v>583612988.60416007</v>
      </c>
      <c r="L23">
        <v>50143500</v>
      </c>
      <c r="M23">
        <v>79694718.823241279</v>
      </c>
      <c r="N23">
        <v>71659200</v>
      </c>
      <c r="O23">
        <v>15885038.16</v>
      </c>
      <c r="P23">
        <v>226.31175400000001</v>
      </c>
      <c r="Q23">
        <v>1.3309562321341479</v>
      </c>
      <c r="R23">
        <v>43.607441299999998</v>
      </c>
      <c r="S23">
        <v>779.55872699999998</v>
      </c>
      <c r="T23">
        <v>1.0476889900000001E-15</v>
      </c>
      <c r="U23">
        <v>19.204953013050531</v>
      </c>
      <c r="V23">
        <v>100.934</v>
      </c>
      <c r="W23">
        <v>-238.33033765414407</v>
      </c>
      <c r="X23">
        <v>62.840980500000001</v>
      </c>
      <c r="Y23">
        <v>92.697842100000003</v>
      </c>
      <c r="Z23">
        <v>165.7</v>
      </c>
      <c r="AA23">
        <v>231.184999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5.4938087336868353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">
      <c r="A24">
        <v>930</v>
      </c>
      <c r="B24">
        <v>37</v>
      </c>
      <c r="C24">
        <v>15</v>
      </c>
      <c r="D24">
        <v>2.95</v>
      </c>
      <c r="E24">
        <v>20</v>
      </c>
      <c r="F24">
        <v>12</v>
      </c>
      <c r="G24">
        <v>0.56747999999999998</v>
      </c>
      <c r="H24">
        <v>20</v>
      </c>
      <c r="I24">
        <v>12</v>
      </c>
      <c r="J24">
        <v>1.4</v>
      </c>
      <c r="K24">
        <v>583653965.24590755</v>
      </c>
      <c r="L24">
        <v>50143500</v>
      </c>
      <c r="M24">
        <v>79694718.823241279</v>
      </c>
      <c r="N24">
        <v>71658100</v>
      </c>
      <c r="O24">
        <v>15885038.16</v>
      </c>
      <c r="P24">
        <v>226.317959</v>
      </c>
      <c r="Q24">
        <v>1.3310641086568487</v>
      </c>
      <c r="R24">
        <v>43.607441299999998</v>
      </c>
      <c r="S24">
        <v>779.55992100000003</v>
      </c>
      <c r="T24">
        <v>1.04866868E-15</v>
      </c>
      <c r="U24">
        <v>19.204641101525333</v>
      </c>
      <c r="V24">
        <v>100.934</v>
      </c>
      <c r="W24">
        <v>-238.26358424100516</v>
      </c>
      <c r="X24">
        <v>62.840980500000001</v>
      </c>
      <c r="Y24">
        <v>92.678493500000002</v>
      </c>
      <c r="Z24">
        <v>165.7</v>
      </c>
      <c r="AA24">
        <v>231.186249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5.4941986230933342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">
      <c r="A25">
        <v>930</v>
      </c>
      <c r="B25">
        <v>38</v>
      </c>
      <c r="C25">
        <v>15</v>
      </c>
      <c r="D25">
        <v>2.95</v>
      </c>
      <c r="E25">
        <v>20</v>
      </c>
      <c r="F25">
        <v>12</v>
      </c>
      <c r="G25">
        <v>0.56747999999999998</v>
      </c>
      <c r="H25">
        <v>20</v>
      </c>
      <c r="I25">
        <v>12</v>
      </c>
      <c r="J25">
        <v>1.4</v>
      </c>
      <c r="K25">
        <v>583715957.67559552</v>
      </c>
      <c r="L25">
        <v>50161300</v>
      </c>
      <c r="M25">
        <v>79694718.823241279</v>
      </c>
      <c r="N25">
        <v>71657700</v>
      </c>
      <c r="O25">
        <v>15885038.16</v>
      </c>
      <c r="P25">
        <v>226.320132</v>
      </c>
      <c r="Q25">
        <v>1.3315922652734808</v>
      </c>
      <c r="R25">
        <v>43.607441299999998</v>
      </c>
      <c r="S25">
        <v>779.55992100000003</v>
      </c>
      <c r="T25">
        <v>1.04899197E-15</v>
      </c>
      <c r="U25">
        <v>19.204537069886531</v>
      </c>
      <c r="V25">
        <v>100.934</v>
      </c>
      <c r="W25">
        <v>-238.24189094509239</v>
      </c>
      <c r="X25">
        <v>62.840980500000001</v>
      </c>
      <c r="Y25">
        <v>92.669706199999993</v>
      </c>
      <c r="Z25">
        <v>165.7</v>
      </c>
      <c r="AA25">
        <v>231.186654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5.4943286626418359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">
      <c r="A26">
        <v>930</v>
      </c>
      <c r="B26">
        <v>39</v>
      </c>
      <c r="C26">
        <v>15</v>
      </c>
      <c r="D26">
        <v>2.95</v>
      </c>
      <c r="E26">
        <v>20</v>
      </c>
      <c r="F26">
        <v>12</v>
      </c>
      <c r="G26">
        <v>0.56747999999999998</v>
      </c>
      <c r="H26">
        <v>20</v>
      </c>
      <c r="I26">
        <v>12</v>
      </c>
      <c r="J26">
        <v>1.4</v>
      </c>
      <c r="K26">
        <v>583752949.26596642</v>
      </c>
      <c r="L26">
        <v>50161300</v>
      </c>
      <c r="M26">
        <v>79694718.823241279</v>
      </c>
      <c r="N26">
        <v>71657400</v>
      </c>
      <c r="O26">
        <v>15885038.16</v>
      </c>
      <c r="P26">
        <v>226.32188600000001</v>
      </c>
      <c r="Q26">
        <v>1.3316987535165192</v>
      </c>
      <c r="R26">
        <v>43.607441299999998</v>
      </c>
      <c r="S26">
        <v>779.55992100000003</v>
      </c>
      <c r="T26">
        <v>1.0492397299999999E-15</v>
      </c>
      <c r="U26">
        <v>19.204455938317434</v>
      </c>
      <c r="V26">
        <v>100.934</v>
      </c>
      <c r="W26">
        <v>-238.22553817944106</v>
      </c>
      <c r="X26">
        <v>62.840980500000001</v>
      </c>
      <c r="Y26">
        <v>92.661453399999999</v>
      </c>
      <c r="Z26">
        <v>165.7</v>
      </c>
      <c r="AA26">
        <v>231.18696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5.4944300771032069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">
      <c r="A27">
        <v>930</v>
      </c>
      <c r="B27">
        <v>30</v>
      </c>
      <c r="C27">
        <v>10</v>
      </c>
      <c r="D27">
        <v>2.95</v>
      </c>
      <c r="E27">
        <v>20</v>
      </c>
      <c r="F27">
        <v>12</v>
      </c>
      <c r="G27">
        <v>0.56747999999999998</v>
      </c>
      <c r="H27">
        <v>20</v>
      </c>
      <c r="I27">
        <v>12</v>
      </c>
      <c r="J27">
        <v>1.4</v>
      </c>
      <c r="K27">
        <v>583424989.53673482</v>
      </c>
      <c r="L27">
        <v>50125800</v>
      </c>
      <c r="M27">
        <v>79694718.823241279</v>
      </c>
      <c r="N27">
        <v>71678300</v>
      </c>
      <c r="O27">
        <v>15885038.16</v>
      </c>
      <c r="P27">
        <v>226.22062399999999</v>
      </c>
      <c r="Q27">
        <v>1.3302101382548983</v>
      </c>
      <c r="R27">
        <v>43.604102099999999</v>
      </c>
      <c r="S27">
        <v>779.60179300000004</v>
      </c>
      <c r="T27">
        <v>1.0435055400000001E-15</v>
      </c>
      <c r="U27">
        <v>19.209631562687132</v>
      </c>
      <c r="V27">
        <v>100.934</v>
      </c>
      <c r="W27">
        <v>-234.04386422991624</v>
      </c>
      <c r="X27">
        <v>62.850645700000001</v>
      </c>
      <c r="Y27">
        <v>92.835205200000004</v>
      </c>
      <c r="Z27">
        <v>165.7</v>
      </c>
      <c r="AA27">
        <v>231.18485799999999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5.4879605466410837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3">
      <c r="A28">
        <v>930</v>
      </c>
      <c r="B28">
        <v>30</v>
      </c>
      <c r="C28">
        <v>11</v>
      </c>
      <c r="D28">
        <v>2.95</v>
      </c>
      <c r="E28">
        <v>20</v>
      </c>
      <c r="F28">
        <v>12</v>
      </c>
      <c r="G28">
        <v>0.56747999999999998</v>
      </c>
      <c r="H28">
        <v>20</v>
      </c>
      <c r="I28">
        <v>12</v>
      </c>
      <c r="J28">
        <v>1.4</v>
      </c>
      <c r="K28">
        <v>583425006.48216498</v>
      </c>
      <c r="L28">
        <v>50125800</v>
      </c>
      <c r="M28">
        <v>79694718.823241279</v>
      </c>
      <c r="N28">
        <v>71671900</v>
      </c>
      <c r="O28">
        <v>15885038.16</v>
      </c>
      <c r="P28">
        <v>226.25047799999999</v>
      </c>
      <c r="Q28">
        <v>1.330159535886168</v>
      </c>
      <c r="R28">
        <v>43.605358899999999</v>
      </c>
      <c r="S28">
        <v>779.58380199999999</v>
      </c>
      <c r="T28">
        <v>1.04430903E-15</v>
      </c>
      <c r="U28">
        <v>19.208435513504732</v>
      </c>
      <c r="V28">
        <v>100.934</v>
      </c>
      <c r="W28">
        <v>-235.72136621402649</v>
      </c>
      <c r="X28">
        <v>62.846967800000002</v>
      </c>
      <c r="Y28">
        <v>92.799670800000001</v>
      </c>
      <c r="Z28">
        <v>165.7</v>
      </c>
      <c r="AA28">
        <v>231.18390099999999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5.4894556081190853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3">
      <c r="A29">
        <v>930</v>
      </c>
      <c r="B29">
        <v>30</v>
      </c>
      <c r="C29">
        <v>12</v>
      </c>
      <c r="D29">
        <v>2.95</v>
      </c>
      <c r="E29">
        <v>20</v>
      </c>
      <c r="F29">
        <v>12</v>
      </c>
      <c r="G29">
        <v>0.56747999999999998</v>
      </c>
      <c r="H29">
        <v>20</v>
      </c>
      <c r="I29">
        <v>12</v>
      </c>
      <c r="J29">
        <v>1.4</v>
      </c>
      <c r="K29">
        <v>583425031.85368168</v>
      </c>
      <c r="L29">
        <v>50125800</v>
      </c>
      <c r="M29">
        <v>79694718.823241279</v>
      </c>
      <c r="N29">
        <v>71668200</v>
      </c>
      <c r="O29">
        <v>15885038.16</v>
      </c>
      <c r="P29">
        <v>226.26785599999999</v>
      </c>
      <c r="Q29">
        <v>1.3301296366829962</v>
      </c>
      <c r="R29">
        <v>43.606279200000003</v>
      </c>
      <c r="S29">
        <v>779.57104800000002</v>
      </c>
      <c r="T29">
        <v>1.0443884500000001E-15</v>
      </c>
      <c r="U29">
        <v>19.207531591849936</v>
      </c>
      <c r="V29">
        <v>100.934</v>
      </c>
      <c r="W29">
        <v>-236.88328534453206</v>
      </c>
      <c r="X29">
        <v>62.844484000000001</v>
      </c>
      <c r="Y29">
        <v>92.777707199999995</v>
      </c>
      <c r="Z29">
        <v>165.7</v>
      </c>
      <c r="AA29">
        <v>231.18265099999999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5.4905855101875805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">
      <c r="A30">
        <v>930</v>
      </c>
      <c r="B30">
        <v>30</v>
      </c>
      <c r="C30">
        <v>13</v>
      </c>
      <c r="D30">
        <v>2.95</v>
      </c>
      <c r="E30">
        <v>20</v>
      </c>
      <c r="F30">
        <v>12</v>
      </c>
      <c r="G30">
        <v>0.56747999999999998</v>
      </c>
      <c r="H30">
        <v>20</v>
      </c>
      <c r="I30">
        <v>12</v>
      </c>
      <c r="J30">
        <v>1.4</v>
      </c>
      <c r="K30">
        <v>583425063.03459001</v>
      </c>
      <c r="L30">
        <v>50125800</v>
      </c>
      <c r="M30">
        <v>79694718.823241279</v>
      </c>
      <c r="N30">
        <v>71666400</v>
      </c>
      <c r="O30">
        <v>15885038.16</v>
      </c>
      <c r="P30">
        <v>226.27601100000001</v>
      </c>
      <c r="Q30">
        <v>1.3301169078622572</v>
      </c>
      <c r="R30">
        <v>43.606982899999998</v>
      </c>
      <c r="S30">
        <v>779.56145600000002</v>
      </c>
      <c r="T30">
        <v>1.04382608E-15</v>
      </c>
      <c r="U30">
        <v>19.207022852237735</v>
      </c>
      <c r="V30">
        <v>100.934</v>
      </c>
      <c r="W30">
        <v>-237.70765979466503</v>
      </c>
      <c r="X30">
        <v>62.842797699999998</v>
      </c>
      <c r="Y30">
        <v>92.765275000000003</v>
      </c>
      <c r="Z30">
        <v>165.7</v>
      </c>
      <c r="AA30">
        <v>231.18099699999999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5.4912214347028314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">
      <c r="A31">
        <v>930</v>
      </c>
      <c r="B31">
        <v>30</v>
      </c>
      <c r="C31">
        <v>14</v>
      </c>
      <c r="D31">
        <v>2.95</v>
      </c>
      <c r="E31">
        <v>20</v>
      </c>
      <c r="F31">
        <v>12</v>
      </c>
      <c r="G31">
        <v>0.56747999999999998</v>
      </c>
      <c r="H31">
        <v>20</v>
      </c>
      <c r="I31">
        <v>12</v>
      </c>
      <c r="J31">
        <v>1.4</v>
      </c>
      <c r="K31">
        <v>583425100.00294685</v>
      </c>
      <c r="L31">
        <v>50125800</v>
      </c>
      <c r="M31">
        <v>79694718.823241279</v>
      </c>
      <c r="N31">
        <v>71666200</v>
      </c>
      <c r="O31">
        <v>15885038.16</v>
      </c>
      <c r="P31">
        <v>226.27684500000001</v>
      </c>
      <c r="Q31">
        <v>1.3301160180088478</v>
      </c>
      <c r="R31">
        <v>43.607563599999999</v>
      </c>
      <c r="S31">
        <v>779.55347299999994</v>
      </c>
      <c r="T31">
        <v>1.0426224299999999E-15</v>
      </c>
      <c r="U31">
        <v>19.20690470589593</v>
      </c>
      <c r="V31">
        <v>91.850000000000009</v>
      </c>
      <c r="W31">
        <v>-238.31879516648124</v>
      </c>
      <c r="X31">
        <v>62.8416341</v>
      </c>
      <c r="Y31">
        <v>92.759760299999996</v>
      </c>
      <c r="Z31">
        <v>165.7</v>
      </c>
      <c r="AA31">
        <v>231.17879199999999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5.4913691176300876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3">
      <c r="A32">
        <v>930</v>
      </c>
      <c r="B32">
        <v>30</v>
      </c>
      <c r="C32">
        <v>14</v>
      </c>
      <c r="D32">
        <v>2.95</v>
      </c>
      <c r="E32">
        <v>20</v>
      </c>
      <c r="F32">
        <v>12</v>
      </c>
      <c r="G32">
        <v>0.56747999999999998</v>
      </c>
      <c r="H32">
        <v>20</v>
      </c>
      <c r="I32">
        <v>12</v>
      </c>
      <c r="J32">
        <v>1.4</v>
      </c>
      <c r="K32">
        <v>583425100.00294685</v>
      </c>
      <c r="L32">
        <v>50125800</v>
      </c>
      <c r="M32">
        <v>79694718.823241279</v>
      </c>
      <c r="N32">
        <v>71666200</v>
      </c>
      <c r="O32">
        <v>15885038.16</v>
      </c>
      <c r="P32">
        <v>226.27684500000001</v>
      </c>
      <c r="Q32">
        <v>1.3301160180088478</v>
      </c>
      <c r="R32">
        <v>43.607563599999999</v>
      </c>
      <c r="S32">
        <v>779.55347299999994</v>
      </c>
      <c r="T32">
        <v>1.0426224299999999E-15</v>
      </c>
      <c r="U32">
        <v>19.20690470589593</v>
      </c>
      <c r="V32">
        <v>91.850000000000009</v>
      </c>
      <c r="W32">
        <v>-238.31879516648124</v>
      </c>
      <c r="X32">
        <v>62.8416341</v>
      </c>
      <c r="Y32">
        <v>92.759760299999996</v>
      </c>
      <c r="Z32">
        <v>165.7</v>
      </c>
      <c r="AA32">
        <v>231.17879199999999</v>
      </c>
      <c r="AB32">
        <v>99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5.4913691176300876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">
      <c r="A33">
        <v>930</v>
      </c>
      <c r="B33">
        <v>30</v>
      </c>
      <c r="C33">
        <v>15</v>
      </c>
      <c r="D33">
        <v>2.95</v>
      </c>
      <c r="E33">
        <v>20</v>
      </c>
      <c r="F33">
        <v>12</v>
      </c>
      <c r="G33">
        <v>0.56747999999999998</v>
      </c>
      <c r="H33">
        <v>20</v>
      </c>
      <c r="I33">
        <v>12</v>
      </c>
      <c r="J33">
        <v>1.4</v>
      </c>
      <c r="K33">
        <v>583425159.90166914</v>
      </c>
      <c r="L33">
        <v>50125800</v>
      </c>
      <c r="M33">
        <v>79694718.823241279</v>
      </c>
      <c r="N33">
        <v>71667300</v>
      </c>
      <c r="O33">
        <v>15885038.16</v>
      </c>
      <c r="P33">
        <v>226.271209</v>
      </c>
      <c r="Q33">
        <v>1.330127868485893</v>
      </c>
      <c r="R33">
        <v>43.6080969</v>
      </c>
      <c r="S33">
        <v>779.54591100000005</v>
      </c>
      <c r="T33">
        <v>1.0407077699999999E-15</v>
      </c>
      <c r="U33">
        <v>19.207163182540537</v>
      </c>
      <c r="V33">
        <v>91.850000000000009</v>
      </c>
      <c r="W33">
        <v>-238.8056443034265</v>
      </c>
      <c r="X33">
        <v>62.840800999999999</v>
      </c>
      <c r="Y33">
        <v>92.759472500000001</v>
      </c>
      <c r="Z33">
        <v>165.7</v>
      </c>
      <c r="AA33">
        <v>231.17583999999999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5.491046021824328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">
      <c r="A34">
        <v>930</v>
      </c>
      <c r="B34">
        <v>30</v>
      </c>
      <c r="C34">
        <v>16</v>
      </c>
      <c r="D34">
        <v>2.95</v>
      </c>
      <c r="E34">
        <v>20</v>
      </c>
      <c r="F34">
        <v>12</v>
      </c>
      <c r="G34">
        <v>0.56747999999999998</v>
      </c>
      <c r="H34">
        <v>20</v>
      </c>
      <c r="I34">
        <v>12</v>
      </c>
      <c r="J34">
        <v>1.4</v>
      </c>
      <c r="K34">
        <v>583425234.24981308</v>
      </c>
      <c r="L34">
        <v>50125800</v>
      </c>
      <c r="M34">
        <v>79694718.823241279</v>
      </c>
      <c r="N34">
        <v>71669800</v>
      </c>
      <c r="O34">
        <v>15885038.16</v>
      </c>
      <c r="P34">
        <v>226.25914700000001</v>
      </c>
      <c r="Q34">
        <v>1.3301502261343086</v>
      </c>
      <c r="R34">
        <v>43.608649399999997</v>
      </c>
      <c r="S34">
        <v>779.53776399999992</v>
      </c>
      <c r="T34">
        <v>1.0379351499999999E-15</v>
      </c>
      <c r="U34">
        <v>19.207804533320232</v>
      </c>
      <c r="V34">
        <v>91.850000000000009</v>
      </c>
      <c r="W34">
        <v>-239.23475466694032</v>
      </c>
      <c r="X34">
        <v>62.840165599999999</v>
      </c>
      <c r="Y34">
        <v>92.763348800000003</v>
      </c>
      <c r="Z34">
        <v>165.7</v>
      </c>
      <c r="AA34">
        <v>231.171874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5.4902443333497093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">
      <c r="A35">
        <v>930</v>
      </c>
      <c r="B35">
        <v>30</v>
      </c>
      <c r="C35">
        <v>17</v>
      </c>
      <c r="D35">
        <v>2.95</v>
      </c>
      <c r="E35">
        <v>20</v>
      </c>
      <c r="F35">
        <v>12</v>
      </c>
      <c r="G35">
        <v>0.56747999999999998</v>
      </c>
      <c r="H35">
        <v>20</v>
      </c>
      <c r="I35">
        <v>12</v>
      </c>
      <c r="J35">
        <v>1.4</v>
      </c>
      <c r="K35">
        <v>583425334.55644703</v>
      </c>
      <c r="L35">
        <v>50125800</v>
      </c>
      <c r="M35">
        <v>79694718.823241279</v>
      </c>
      <c r="N35">
        <v>71673900</v>
      </c>
      <c r="O35">
        <v>15885038.16</v>
      </c>
      <c r="P35">
        <v>226.239878</v>
      </c>
      <c r="Q35">
        <v>1.3301838186290218</v>
      </c>
      <c r="R35">
        <v>43.609285800000002</v>
      </c>
      <c r="S35">
        <v>779.52809400000001</v>
      </c>
      <c r="T35">
        <v>3.57458948E-14</v>
      </c>
      <c r="U35">
        <v>19.208875717422831</v>
      </c>
      <c r="V35">
        <v>91.850000000000009</v>
      </c>
      <c r="W35">
        <v>-239.65958043080511</v>
      </c>
      <c r="X35">
        <v>62.839630499999998</v>
      </c>
      <c r="Y35">
        <v>92.770770799999994</v>
      </c>
      <c r="Z35">
        <v>165.7</v>
      </c>
      <c r="AA35">
        <v>231.166527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5.48890535322146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3">
      <c r="A36">
        <v>930</v>
      </c>
      <c r="B36">
        <v>30</v>
      </c>
      <c r="C36">
        <v>18</v>
      </c>
      <c r="D36">
        <v>2.95</v>
      </c>
      <c r="E36">
        <v>20</v>
      </c>
      <c r="F36">
        <v>12</v>
      </c>
      <c r="G36">
        <v>0.56747999999999998</v>
      </c>
      <c r="H36">
        <v>20</v>
      </c>
      <c r="I36">
        <v>12</v>
      </c>
      <c r="J36">
        <v>1.4</v>
      </c>
      <c r="K36">
        <v>583425467.77748108</v>
      </c>
      <c r="L36">
        <v>50125800</v>
      </c>
      <c r="M36">
        <v>79694718.823241279</v>
      </c>
      <c r="N36">
        <v>71679900</v>
      </c>
      <c r="O36">
        <v>15885038.16</v>
      </c>
      <c r="P36">
        <v>226.21177299999999</v>
      </c>
      <c r="Q36">
        <v>1.3302323979325548</v>
      </c>
      <c r="R36">
        <v>43.610077099999998</v>
      </c>
      <c r="S36">
        <v>779.51589200000001</v>
      </c>
      <c r="T36">
        <v>1.44724855E-13</v>
      </c>
      <c r="U36">
        <v>19.210471062566434</v>
      </c>
      <c r="V36">
        <v>91.850000000000009</v>
      </c>
      <c r="W36">
        <v>-240.12790090390695</v>
      </c>
      <c r="X36">
        <v>62.839121200000001</v>
      </c>
      <c r="Y36">
        <v>92.781455100000002</v>
      </c>
      <c r="Z36">
        <v>165.7</v>
      </c>
      <c r="AA36">
        <v>231.159291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5.4869111717919576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">
      <c r="A37">
        <v>930</v>
      </c>
      <c r="B37">
        <v>30</v>
      </c>
      <c r="C37">
        <v>19</v>
      </c>
      <c r="D37">
        <v>2.95</v>
      </c>
      <c r="E37">
        <v>20</v>
      </c>
      <c r="F37">
        <v>12</v>
      </c>
      <c r="G37">
        <v>0.56747999999999998</v>
      </c>
      <c r="H37">
        <v>20</v>
      </c>
      <c r="I37">
        <v>12</v>
      </c>
      <c r="J37">
        <v>1.4</v>
      </c>
      <c r="K37">
        <v>583425655.41150391</v>
      </c>
      <c r="L37">
        <v>50125800</v>
      </c>
      <c r="M37">
        <v>79694718.823241279</v>
      </c>
      <c r="N37">
        <v>71688300</v>
      </c>
      <c r="O37">
        <v>15885038.16</v>
      </c>
      <c r="P37">
        <v>226.17211900000001</v>
      </c>
      <c r="Q37">
        <v>1.3303022383303285</v>
      </c>
      <c r="R37">
        <v>43.611110099999998</v>
      </c>
      <c r="S37">
        <v>779.499954</v>
      </c>
      <c r="T37">
        <v>5.9662910700000002E-13</v>
      </c>
      <c r="U37">
        <v>19.212750837539833</v>
      </c>
      <c r="V37">
        <v>91.850000000000009</v>
      </c>
      <c r="W37">
        <v>-240.68810001231321</v>
      </c>
      <c r="X37">
        <v>62.838576400000001</v>
      </c>
      <c r="Y37">
        <v>92.795405500000001</v>
      </c>
      <c r="Z37">
        <v>165.7</v>
      </c>
      <c r="AA37">
        <v>231.149452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5.4840614530752081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3">
      <c r="A38">
        <v>930</v>
      </c>
      <c r="B38">
        <v>30</v>
      </c>
      <c r="C38">
        <v>15</v>
      </c>
      <c r="D38">
        <v>1</v>
      </c>
      <c r="E38">
        <v>20</v>
      </c>
      <c r="F38">
        <v>12</v>
      </c>
      <c r="G38">
        <v>0.56747999999999998</v>
      </c>
      <c r="H38">
        <v>20</v>
      </c>
      <c r="I38">
        <v>12</v>
      </c>
      <c r="J38">
        <v>1.4</v>
      </c>
      <c r="K38">
        <v>582952098.9830215</v>
      </c>
      <c r="L38">
        <v>50126600</v>
      </c>
      <c r="M38">
        <v>79694718.823241279</v>
      </c>
      <c r="N38">
        <v>72654100</v>
      </c>
      <c r="O38">
        <v>15883996.08</v>
      </c>
      <c r="P38">
        <v>221.57655299999999</v>
      </c>
      <c r="Q38">
        <v>1.3372171254216036</v>
      </c>
      <c r="R38">
        <v>43.5878181</v>
      </c>
      <c r="S38">
        <v>780.02221900000006</v>
      </c>
      <c r="T38">
        <v>9.4396567400000002E-13</v>
      </c>
      <c r="U38">
        <v>19.453692541600713</v>
      </c>
      <c r="V38">
        <v>80.72</v>
      </c>
      <c r="W38">
        <v>-153.77588516491718</v>
      </c>
      <c r="X38">
        <v>63.078475599999997</v>
      </c>
      <c r="Y38">
        <v>94.890017</v>
      </c>
      <c r="Z38">
        <v>165.7</v>
      </c>
      <c r="AA38">
        <v>230.634908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5.182884322999108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">
      <c r="A39">
        <v>930</v>
      </c>
      <c r="B39">
        <v>30</v>
      </c>
      <c r="C39">
        <v>15</v>
      </c>
      <c r="D39">
        <v>2.4</v>
      </c>
      <c r="E39">
        <v>20</v>
      </c>
      <c r="F39">
        <v>12</v>
      </c>
      <c r="G39">
        <v>0.56747999999999998</v>
      </c>
      <c r="H39">
        <v>20</v>
      </c>
      <c r="I39">
        <v>12</v>
      </c>
      <c r="J39">
        <v>1.4</v>
      </c>
      <c r="K39">
        <v>583268290.38777637</v>
      </c>
      <c r="L39">
        <v>50125800</v>
      </c>
      <c r="M39">
        <v>79694718.823241279</v>
      </c>
      <c r="N39">
        <v>71676400</v>
      </c>
      <c r="O39">
        <v>15884746</v>
      </c>
      <c r="P39">
        <v>226.22453999999999</v>
      </c>
      <c r="Q39">
        <v>1.3297539637130515</v>
      </c>
      <c r="R39">
        <v>43.607713599999997</v>
      </c>
      <c r="S39">
        <v>779.54485499999998</v>
      </c>
      <c r="T39">
        <v>1.0349852599999999E-15</v>
      </c>
      <c r="U39">
        <v>19.209817476199731</v>
      </c>
      <c r="V39">
        <v>91.850000000000009</v>
      </c>
      <c r="W39">
        <v>-238.36818975894712</v>
      </c>
      <c r="X39">
        <v>62.842387899999999</v>
      </c>
      <c r="Y39">
        <v>92.870425900000001</v>
      </c>
      <c r="Z39">
        <v>165.7</v>
      </c>
      <c r="AA39">
        <v>231.16934499999999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5.4877281547503358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">
      <c r="A40">
        <v>930</v>
      </c>
      <c r="B40">
        <v>30</v>
      </c>
      <c r="C40">
        <v>15</v>
      </c>
      <c r="D40">
        <v>3.8</v>
      </c>
      <c r="E40">
        <v>20</v>
      </c>
      <c r="F40">
        <v>12</v>
      </c>
      <c r="G40">
        <v>0.56747999999999998</v>
      </c>
      <c r="H40">
        <v>20</v>
      </c>
      <c r="I40">
        <v>12</v>
      </c>
      <c r="J40">
        <v>1.4</v>
      </c>
      <c r="K40">
        <v>583503084.40397549</v>
      </c>
      <c r="L40">
        <v>50142400</v>
      </c>
      <c r="M40">
        <v>79694718.823241279</v>
      </c>
      <c r="N40">
        <v>71661900</v>
      </c>
      <c r="O40">
        <v>15885486.48</v>
      </c>
      <c r="P40">
        <v>226.30204499999999</v>
      </c>
      <c r="Q40">
        <v>1.3306095217469938</v>
      </c>
      <c r="R40">
        <v>43.608442400000001</v>
      </c>
      <c r="S40">
        <v>779.54485499999998</v>
      </c>
      <c r="T40">
        <v>1.0445272699999999E-15</v>
      </c>
      <c r="U40">
        <v>19.205543468909632</v>
      </c>
      <c r="V40">
        <v>100.934</v>
      </c>
      <c r="W40">
        <v>-238.93216021466844</v>
      </c>
      <c r="X40">
        <v>62.839967799999997</v>
      </c>
      <c r="Y40">
        <v>92.651277199999996</v>
      </c>
      <c r="Z40">
        <v>165.7</v>
      </c>
      <c r="AA40">
        <v>231.18022999999999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5.4930706638629605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">
      <c r="A41">
        <v>930</v>
      </c>
      <c r="B41">
        <v>30</v>
      </c>
      <c r="C41">
        <v>15</v>
      </c>
      <c r="D41">
        <v>5.1999999999999993</v>
      </c>
      <c r="E41">
        <v>20</v>
      </c>
      <c r="F41">
        <v>12</v>
      </c>
      <c r="G41">
        <v>0.56747999999999998</v>
      </c>
      <c r="H41">
        <v>20</v>
      </c>
      <c r="I41">
        <v>12</v>
      </c>
      <c r="J41">
        <v>1.4</v>
      </c>
      <c r="K41">
        <v>583852030.71510339</v>
      </c>
      <c r="L41">
        <v>50142400</v>
      </c>
      <c r="M41">
        <v>79694718.823241279</v>
      </c>
      <c r="N41">
        <v>71658600</v>
      </c>
      <c r="O41">
        <v>15886227.360000001</v>
      </c>
      <c r="P41">
        <v>226.323534</v>
      </c>
      <c r="Q41">
        <v>1.3315942087709647</v>
      </c>
      <c r="R41">
        <v>43.608832499999998</v>
      </c>
      <c r="S41">
        <v>779.54365699999994</v>
      </c>
      <c r="T41">
        <v>1.04707136E-15</v>
      </c>
      <c r="U41">
        <v>19.204520695896232</v>
      </c>
      <c r="V41">
        <v>100.934</v>
      </c>
      <c r="W41">
        <v>-238.9468006274538</v>
      </c>
      <c r="X41">
        <v>62.839449600000002</v>
      </c>
      <c r="Y41">
        <v>92.542406700000001</v>
      </c>
      <c r="Z41">
        <v>165.7</v>
      </c>
      <c r="AA41">
        <v>231.18311299999999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5.4943491301297094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3">
      <c r="A42">
        <v>930</v>
      </c>
      <c r="B42">
        <v>30</v>
      </c>
      <c r="C42">
        <v>15</v>
      </c>
      <c r="D42">
        <v>6.6</v>
      </c>
      <c r="E42">
        <v>20</v>
      </c>
      <c r="F42">
        <v>12</v>
      </c>
      <c r="G42">
        <v>0.56747999999999998</v>
      </c>
      <c r="H42">
        <v>20</v>
      </c>
      <c r="I42">
        <v>12</v>
      </c>
      <c r="J42">
        <v>1.4</v>
      </c>
      <c r="K42">
        <v>584137008.43205452</v>
      </c>
      <c r="L42">
        <v>50159000</v>
      </c>
      <c r="M42">
        <v>79694718.823241279</v>
      </c>
      <c r="N42">
        <v>71657200</v>
      </c>
      <c r="O42">
        <v>15886966.880000001</v>
      </c>
      <c r="P42">
        <v>226.33389500000001</v>
      </c>
      <c r="Q42">
        <v>1.3327390663122056</v>
      </c>
      <c r="R42">
        <v>43.609096399999999</v>
      </c>
      <c r="S42">
        <v>779.54184899999996</v>
      </c>
      <c r="T42">
        <v>1.0482212400000001E-15</v>
      </c>
      <c r="U42">
        <v>19.204070261387933</v>
      </c>
      <c r="V42">
        <v>100.934</v>
      </c>
      <c r="W42">
        <v>-238.93556685244957</v>
      </c>
      <c r="X42">
        <v>62.839200599999998</v>
      </c>
      <c r="Y42">
        <v>92.474062200000006</v>
      </c>
      <c r="Z42">
        <v>165.7</v>
      </c>
      <c r="AA42">
        <v>231.184382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5.4949121732650834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3">
      <c r="A43">
        <v>930</v>
      </c>
      <c r="B43">
        <v>30</v>
      </c>
      <c r="C43">
        <v>15</v>
      </c>
      <c r="D43">
        <v>8</v>
      </c>
      <c r="E43">
        <v>20</v>
      </c>
      <c r="F43">
        <v>12</v>
      </c>
      <c r="G43">
        <v>0.56747999999999998</v>
      </c>
      <c r="H43">
        <v>20</v>
      </c>
      <c r="I43">
        <v>12</v>
      </c>
      <c r="J43">
        <v>1.4</v>
      </c>
      <c r="K43">
        <v>584328996.41281271</v>
      </c>
      <c r="L43">
        <v>50156700</v>
      </c>
      <c r="M43">
        <v>79694718.823241279</v>
      </c>
      <c r="N43">
        <v>71656500</v>
      </c>
      <c r="O43">
        <v>15887704.640000001</v>
      </c>
      <c r="P43">
        <v>226.34008399999999</v>
      </c>
      <c r="Q43">
        <v>1.3332472430139535</v>
      </c>
      <c r="R43">
        <v>43.609283400000002</v>
      </c>
      <c r="S43">
        <v>779.54042599999991</v>
      </c>
      <c r="T43">
        <v>1.0488751200000001E-15</v>
      </c>
      <c r="U43">
        <v>19.203816153290536</v>
      </c>
      <c r="V43">
        <v>100.934</v>
      </c>
      <c r="W43">
        <v>-238.92431651161124</v>
      </c>
      <c r="X43">
        <v>62.839050100000001</v>
      </c>
      <c r="Y43">
        <v>92.428969499999994</v>
      </c>
      <c r="Z43">
        <v>165.7</v>
      </c>
      <c r="AA43">
        <v>231.18508700000001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5.4952298083868296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3">
      <c r="A44">
        <v>930</v>
      </c>
      <c r="B44">
        <v>30</v>
      </c>
      <c r="C44">
        <v>15</v>
      </c>
      <c r="D44">
        <v>9.3999999999999986</v>
      </c>
      <c r="E44">
        <v>20</v>
      </c>
      <c r="F44">
        <v>12</v>
      </c>
      <c r="G44">
        <v>0.56747999999999998</v>
      </c>
      <c r="H44">
        <v>20</v>
      </c>
      <c r="I44">
        <v>12</v>
      </c>
      <c r="J44">
        <v>1.4</v>
      </c>
      <c r="K44">
        <v>584581985.4687748</v>
      </c>
      <c r="L44">
        <v>50156700</v>
      </c>
      <c r="M44">
        <v>79694718.823241279</v>
      </c>
      <c r="N44">
        <v>71656000</v>
      </c>
      <c r="O44">
        <v>15888438.24</v>
      </c>
      <c r="P44">
        <v>226.344233</v>
      </c>
      <c r="Q44">
        <v>1.3339913240188579</v>
      </c>
      <c r="R44">
        <v>43.609421599999997</v>
      </c>
      <c r="S44">
        <v>779.53931899999998</v>
      </c>
      <c r="T44">
        <v>1.0492974E-15</v>
      </c>
      <c r="U44">
        <v>19.203651685685834</v>
      </c>
      <c r="V44">
        <v>100.934</v>
      </c>
      <c r="W44">
        <v>-238.91521964517901</v>
      </c>
      <c r="X44">
        <v>62.838948899999998</v>
      </c>
      <c r="Y44">
        <v>92.397052000000002</v>
      </c>
      <c r="Z44">
        <v>165.7</v>
      </c>
      <c r="AA44">
        <v>231.18553499999999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5.4954353928927073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3">
      <c r="A45">
        <v>930</v>
      </c>
      <c r="B45">
        <v>30</v>
      </c>
      <c r="C45">
        <v>15</v>
      </c>
      <c r="D45">
        <v>10.799999999999999</v>
      </c>
      <c r="E45">
        <v>20</v>
      </c>
      <c r="F45">
        <v>12</v>
      </c>
      <c r="G45">
        <v>0.56747999999999998</v>
      </c>
      <c r="H45">
        <v>20</v>
      </c>
      <c r="I45">
        <v>12</v>
      </c>
      <c r="J45">
        <v>1.4</v>
      </c>
      <c r="K45">
        <v>584866980.64132941</v>
      </c>
      <c r="L45">
        <v>50163000</v>
      </c>
      <c r="M45">
        <v>79694718.823241279</v>
      </c>
      <c r="N45">
        <v>71655700</v>
      </c>
      <c r="O45">
        <v>15889172.560000001</v>
      </c>
      <c r="P45">
        <v>226.34720300000001</v>
      </c>
      <c r="Q45">
        <v>1.3349572874765128</v>
      </c>
      <c r="R45">
        <v>43.609527499999999</v>
      </c>
      <c r="S45">
        <v>779.53845000000001</v>
      </c>
      <c r="T45">
        <v>1.04959305E-15</v>
      </c>
      <c r="U45">
        <v>19.203537723177732</v>
      </c>
      <c r="V45">
        <v>100.934</v>
      </c>
      <c r="W45">
        <v>-238.90797754494292</v>
      </c>
      <c r="X45">
        <v>62.838873999999997</v>
      </c>
      <c r="Y45">
        <v>92.373298899999995</v>
      </c>
      <c r="Z45">
        <v>165.7</v>
      </c>
      <c r="AA45">
        <v>231.185845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5.4955778460278353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>
        <v>930</v>
      </c>
      <c r="B46">
        <v>30</v>
      </c>
      <c r="C46">
        <v>15</v>
      </c>
      <c r="D46">
        <v>12.2</v>
      </c>
      <c r="E46">
        <v>20</v>
      </c>
      <c r="F46">
        <v>12</v>
      </c>
      <c r="G46">
        <v>0.56747999999999998</v>
      </c>
      <c r="H46">
        <v>20</v>
      </c>
      <c r="I46">
        <v>12</v>
      </c>
      <c r="J46">
        <v>1.4</v>
      </c>
      <c r="K46">
        <v>584972975.33662534</v>
      </c>
      <c r="L46">
        <v>50160700</v>
      </c>
      <c r="M46">
        <v>79694718.823241279</v>
      </c>
      <c r="N46">
        <v>71655500</v>
      </c>
      <c r="O46">
        <v>15889905.039999999</v>
      </c>
      <c r="P46">
        <v>226.34944899999999</v>
      </c>
      <c r="Q46">
        <v>1.3352209798022716</v>
      </c>
      <c r="R46">
        <v>43.609611000000001</v>
      </c>
      <c r="S46">
        <v>779.53845000000001</v>
      </c>
      <c r="T46">
        <v>1.04981194E-15</v>
      </c>
      <c r="U46">
        <v>19.203452947253432</v>
      </c>
      <c r="V46">
        <v>100.934</v>
      </c>
      <c r="W46">
        <v>-238.90217728912904</v>
      </c>
      <c r="X46">
        <v>62.838873999999997</v>
      </c>
      <c r="Y46">
        <v>92.3549474</v>
      </c>
      <c r="Z46">
        <v>165.7</v>
      </c>
      <c r="AA46">
        <v>231.185845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5.4956838159332104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>
        <v>930</v>
      </c>
      <c r="B47">
        <v>30</v>
      </c>
      <c r="C47">
        <v>15</v>
      </c>
      <c r="D47">
        <v>13.6</v>
      </c>
      <c r="E47">
        <v>20</v>
      </c>
      <c r="F47">
        <v>12</v>
      </c>
      <c r="G47">
        <v>0.56747999999999998</v>
      </c>
      <c r="H47">
        <v>20</v>
      </c>
      <c r="I47">
        <v>12</v>
      </c>
      <c r="J47">
        <v>1.4</v>
      </c>
      <c r="K47">
        <v>585296975.33662534</v>
      </c>
      <c r="L47">
        <v>50160700</v>
      </c>
      <c r="M47">
        <v>79694718.823241279</v>
      </c>
      <c r="N47">
        <v>71655300</v>
      </c>
      <c r="O47">
        <v>15890637.76</v>
      </c>
      <c r="P47">
        <v>226.35120000000001</v>
      </c>
      <c r="Q47">
        <v>1.3361862671797247</v>
      </c>
      <c r="R47">
        <v>43.6096784</v>
      </c>
      <c r="S47">
        <v>779.53718000000003</v>
      </c>
      <c r="T47">
        <v>1.04998073E-15</v>
      </c>
      <c r="U47">
        <v>19.203388045325635</v>
      </c>
      <c r="V47">
        <v>100.934</v>
      </c>
      <c r="W47">
        <v>-238.89743936561547</v>
      </c>
      <c r="X47">
        <v>62.8387727</v>
      </c>
      <c r="Y47">
        <v>92.3403493</v>
      </c>
      <c r="Z47">
        <v>165.7</v>
      </c>
      <c r="AA47">
        <v>231.18624500000001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5.4957649433429552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3">
      <c r="A48">
        <v>930</v>
      </c>
      <c r="B48">
        <v>30</v>
      </c>
      <c r="C48">
        <v>15</v>
      </c>
      <c r="D48">
        <v>15</v>
      </c>
      <c r="E48">
        <v>20</v>
      </c>
      <c r="F48">
        <v>12</v>
      </c>
      <c r="G48">
        <v>0.56747999999999998</v>
      </c>
      <c r="H48">
        <v>20</v>
      </c>
      <c r="I48">
        <v>12</v>
      </c>
      <c r="J48">
        <v>1.4</v>
      </c>
      <c r="K48">
        <v>585592969.42849052</v>
      </c>
      <c r="L48">
        <v>50178400</v>
      </c>
      <c r="M48">
        <v>79694718.823241279</v>
      </c>
      <c r="N48">
        <v>71655200</v>
      </c>
      <c r="O48">
        <v>15891366.799999999</v>
      </c>
      <c r="P48">
        <v>226.35261299999999</v>
      </c>
      <c r="Q48">
        <v>1.3374127798039201</v>
      </c>
      <c r="R48">
        <v>43.609734000000003</v>
      </c>
      <c r="S48">
        <v>779.53718000000003</v>
      </c>
      <c r="T48">
        <v>1.05011474E-15</v>
      </c>
      <c r="U48">
        <v>19.203336192020132</v>
      </c>
      <c r="V48">
        <v>100.934</v>
      </c>
      <c r="W48">
        <v>-238.89351898678621</v>
      </c>
      <c r="X48">
        <v>62.8387727</v>
      </c>
      <c r="Y48">
        <v>92.328463900000003</v>
      </c>
      <c r="Z48">
        <v>165.7</v>
      </c>
      <c r="AA48">
        <v>231.18624500000001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5.4958297599748356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3">
      <c r="A49">
        <v>930</v>
      </c>
      <c r="B49">
        <v>30</v>
      </c>
      <c r="C49">
        <v>15</v>
      </c>
      <c r="D49">
        <v>2.95</v>
      </c>
      <c r="E49">
        <v>10</v>
      </c>
      <c r="F49">
        <v>12</v>
      </c>
      <c r="G49">
        <v>0.56747999999999998</v>
      </c>
      <c r="H49">
        <v>20</v>
      </c>
      <c r="I49">
        <v>12</v>
      </c>
      <c r="J49">
        <v>1.4</v>
      </c>
      <c r="K49">
        <v>585592969.42849052</v>
      </c>
      <c r="L49">
        <v>50178400</v>
      </c>
      <c r="M49">
        <v>79694718.823241279</v>
      </c>
      <c r="N49">
        <v>71655200</v>
      </c>
      <c r="O49">
        <v>15891366.799999999</v>
      </c>
      <c r="P49">
        <v>226.35261299999999</v>
      </c>
      <c r="Q49">
        <v>1.3374127798039201</v>
      </c>
      <c r="R49">
        <v>43.609734000000003</v>
      </c>
      <c r="S49">
        <v>779.53718000000003</v>
      </c>
      <c r="T49">
        <v>1.05011474E-15</v>
      </c>
      <c r="U49">
        <v>19.203336192020132</v>
      </c>
      <c r="V49">
        <v>100.934</v>
      </c>
      <c r="W49">
        <v>-238.89351898678621</v>
      </c>
      <c r="X49">
        <v>62.8387727</v>
      </c>
      <c r="Y49">
        <v>92.328463900000003</v>
      </c>
      <c r="Z49">
        <v>165.7</v>
      </c>
      <c r="AA49">
        <v>231.18624500000001</v>
      </c>
      <c r="AB49">
        <v>99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5.4958297599748356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>
        <v>930</v>
      </c>
      <c r="B50">
        <v>30</v>
      </c>
      <c r="C50">
        <v>15</v>
      </c>
      <c r="D50">
        <v>2.95</v>
      </c>
      <c r="E50">
        <v>12</v>
      </c>
      <c r="F50">
        <v>12</v>
      </c>
      <c r="G50">
        <v>0.56747999999999998</v>
      </c>
      <c r="H50">
        <v>20</v>
      </c>
      <c r="I50">
        <v>12</v>
      </c>
      <c r="J50">
        <v>1.4</v>
      </c>
      <c r="K50">
        <v>585592969.42849052</v>
      </c>
      <c r="L50">
        <v>50178400</v>
      </c>
      <c r="M50">
        <v>79694718.823241279</v>
      </c>
      <c r="N50">
        <v>71655200</v>
      </c>
      <c r="O50">
        <v>15891366.799999999</v>
      </c>
      <c r="P50">
        <v>226.35261299999999</v>
      </c>
      <c r="Q50">
        <v>1.3374127798039201</v>
      </c>
      <c r="R50">
        <v>43.609734000000003</v>
      </c>
      <c r="S50">
        <v>779.53718000000003</v>
      </c>
      <c r="T50">
        <v>1.05011474E-15</v>
      </c>
      <c r="U50">
        <v>19.203336192020132</v>
      </c>
      <c r="V50">
        <v>100.934</v>
      </c>
      <c r="W50">
        <v>-238.89351898678621</v>
      </c>
      <c r="X50">
        <v>62.8387727</v>
      </c>
      <c r="Y50">
        <v>92.328463900000003</v>
      </c>
      <c r="Z50">
        <v>165.7</v>
      </c>
      <c r="AA50">
        <v>231.18624500000001</v>
      </c>
      <c r="AB50">
        <v>99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5.4958297599748356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3">
      <c r="A51">
        <v>930</v>
      </c>
      <c r="B51">
        <v>30</v>
      </c>
      <c r="C51">
        <v>15</v>
      </c>
      <c r="D51">
        <v>2.95</v>
      </c>
      <c r="E51">
        <v>14</v>
      </c>
      <c r="F51">
        <v>12</v>
      </c>
      <c r="G51">
        <v>0.56747999999999998</v>
      </c>
      <c r="H51">
        <v>20</v>
      </c>
      <c r="I51">
        <v>12</v>
      </c>
      <c r="J51">
        <v>1.4</v>
      </c>
      <c r="K51">
        <v>585765408.01477039</v>
      </c>
      <c r="L51">
        <v>50178400</v>
      </c>
      <c r="M51">
        <v>79694718.337577865</v>
      </c>
      <c r="N51">
        <v>71655200</v>
      </c>
      <c r="O51">
        <v>15884994.960000001</v>
      </c>
      <c r="P51">
        <v>228.37940599999999</v>
      </c>
      <c r="Q51">
        <v>1.3260562477599807</v>
      </c>
      <c r="R51">
        <v>43.393834400000003</v>
      </c>
      <c r="S51">
        <v>780.451367</v>
      </c>
      <c r="T51">
        <v>4.2245591500000003E-15</v>
      </c>
      <c r="U51">
        <v>18.654958764065171</v>
      </c>
      <c r="V51">
        <v>91.850000000000009</v>
      </c>
      <c r="W51">
        <v>-240.70311944214575</v>
      </c>
      <c r="X51">
        <v>62.8433621</v>
      </c>
      <c r="Y51">
        <v>92.760767299999998</v>
      </c>
      <c r="Z51">
        <v>100.934</v>
      </c>
      <c r="AA51">
        <v>228.33828700000001</v>
      </c>
      <c r="AB51">
        <v>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6.1813015449185365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3">
      <c r="A52">
        <v>930</v>
      </c>
      <c r="B52">
        <v>30</v>
      </c>
      <c r="C52">
        <v>15</v>
      </c>
      <c r="D52">
        <v>2.95</v>
      </c>
      <c r="E52">
        <v>16</v>
      </c>
      <c r="F52">
        <v>12</v>
      </c>
      <c r="G52">
        <v>0.56747999999999998</v>
      </c>
      <c r="H52">
        <v>20</v>
      </c>
      <c r="I52">
        <v>12</v>
      </c>
      <c r="J52">
        <v>1.4</v>
      </c>
      <c r="K52">
        <v>585654477.50666964</v>
      </c>
      <c r="L52">
        <v>50178400</v>
      </c>
      <c r="M52">
        <v>79694718.646356255</v>
      </c>
      <c r="N52">
        <v>71655200</v>
      </c>
      <c r="O52">
        <v>15885019.439999999</v>
      </c>
      <c r="P52">
        <v>227.07514</v>
      </c>
      <c r="Q52">
        <v>1.3333411682239875</v>
      </c>
      <c r="R52">
        <v>43.525247999999998</v>
      </c>
      <c r="S52">
        <v>779.55854199999999</v>
      </c>
      <c r="T52">
        <v>1.92884012E-15</v>
      </c>
      <c r="U52">
        <v>19.012273771720061</v>
      </c>
      <c r="V52">
        <v>91.850000000000009</v>
      </c>
      <c r="W52">
        <v>-240.75505565744621</v>
      </c>
      <c r="X52">
        <v>62.841583100000001</v>
      </c>
      <c r="Y52">
        <v>92.759867900000003</v>
      </c>
      <c r="Z52">
        <v>144.29</v>
      </c>
      <c r="AA52">
        <v>230.013329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5.7346577853499241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3">
      <c r="A53">
        <v>930</v>
      </c>
      <c r="B53">
        <v>30</v>
      </c>
      <c r="C53">
        <v>15</v>
      </c>
      <c r="D53">
        <v>2.95</v>
      </c>
      <c r="E53">
        <v>18</v>
      </c>
      <c r="F53">
        <v>12</v>
      </c>
      <c r="G53">
        <v>0.56747999999999998</v>
      </c>
      <c r="H53">
        <v>20</v>
      </c>
      <c r="I53">
        <v>12</v>
      </c>
      <c r="J53">
        <v>1.4</v>
      </c>
      <c r="K53">
        <v>583305477.50666964</v>
      </c>
      <c r="L53">
        <v>50125400</v>
      </c>
      <c r="M53">
        <v>79694318.646356255</v>
      </c>
      <c r="N53">
        <v>70896800</v>
      </c>
      <c r="O53">
        <v>15885019.439999999</v>
      </c>
      <c r="P53">
        <v>227.07514</v>
      </c>
      <c r="Q53">
        <v>1.3400316636095382</v>
      </c>
      <c r="R53">
        <v>43.525247999999998</v>
      </c>
      <c r="S53">
        <v>779.55854199999999</v>
      </c>
      <c r="T53">
        <v>1.92884012E-15</v>
      </c>
      <c r="U53">
        <v>19.012273771720061</v>
      </c>
      <c r="V53">
        <v>91.850000000000009</v>
      </c>
      <c r="W53">
        <v>-240.75505565744621</v>
      </c>
      <c r="X53">
        <v>62.841583100000001</v>
      </c>
      <c r="Y53">
        <v>92.759867900000003</v>
      </c>
      <c r="Z53">
        <v>144.29</v>
      </c>
      <c r="AA53">
        <v>230.013329</v>
      </c>
      <c r="AB53">
        <v>99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5.7346577853499241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3">
      <c r="A54">
        <v>930</v>
      </c>
      <c r="B54">
        <v>30</v>
      </c>
      <c r="C54">
        <v>15</v>
      </c>
      <c r="D54">
        <v>2.95</v>
      </c>
      <c r="E54">
        <v>20</v>
      </c>
      <c r="F54">
        <v>12</v>
      </c>
      <c r="G54">
        <v>0.56747999999999998</v>
      </c>
      <c r="H54">
        <v>20</v>
      </c>
      <c r="I54">
        <v>12</v>
      </c>
      <c r="J54">
        <v>1.4</v>
      </c>
      <c r="K54">
        <v>583305477.50666964</v>
      </c>
      <c r="L54">
        <v>50125400</v>
      </c>
      <c r="M54">
        <v>79694318.646356255</v>
      </c>
      <c r="N54">
        <v>70896800</v>
      </c>
      <c r="O54">
        <v>15885019.439999999</v>
      </c>
      <c r="P54">
        <v>227.07514</v>
      </c>
      <c r="Q54">
        <v>1.3400316636095382</v>
      </c>
      <c r="R54">
        <v>43.525247999999998</v>
      </c>
      <c r="S54">
        <v>779.55854199999999</v>
      </c>
      <c r="T54">
        <v>1.92884012E-15</v>
      </c>
      <c r="U54">
        <v>19.012273771720061</v>
      </c>
      <c r="V54">
        <v>91.850000000000009</v>
      </c>
      <c r="W54">
        <v>-240.75505565744621</v>
      </c>
      <c r="X54">
        <v>62.841583100000001</v>
      </c>
      <c r="Y54">
        <v>92.759867900000003</v>
      </c>
      <c r="Z54">
        <v>144.29</v>
      </c>
      <c r="AA54">
        <v>230.013329</v>
      </c>
      <c r="AB54">
        <v>99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5.7346577853499241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3">
      <c r="A55">
        <v>930</v>
      </c>
      <c r="B55">
        <v>30</v>
      </c>
      <c r="C55">
        <v>15</v>
      </c>
      <c r="D55">
        <v>2.95</v>
      </c>
      <c r="E55">
        <v>21</v>
      </c>
      <c r="F55">
        <v>12</v>
      </c>
      <c r="G55">
        <v>0.56747999999999998</v>
      </c>
      <c r="H55">
        <v>20</v>
      </c>
      <c r="I55">
        <v>12</v>
      </c>
      <c r="J55">
        <v>1.4</v>
      </c>
      <c r="K55">
        <v>583305477.50666964</v>
      </c>
      <c r="L55">
        <v>50125400</v>
      </c>
      <c r="M55">
        <v>79694318.646356255</v>
      </c>
      <c r="N55">
        <v>70896800</v>
      </c>
      <c r="O55">
        <v>15885019.439999999</v>
      </c>
      <c r="P55">
        <v>227.07514</v>
      </c>
      <c r="Q55">
        <v>1.3400316636095382</v>
      </c>
      <c r="R55">
        <v>43.525247999999998</v>
      </c>
      <c r="S55">
        <v>779.55854199999999</v>
      </c>
      <c r="T55">
        <v>1.92884012E-15</v>
      </c>
      <c r="U55">
        <v>19.012273771720061</v>
      </c>
      <c r="V55">
        <v>91.850000000000009</v>
      </c>
      <c r="W55">
        <v>-240.75505565744621</v>
      </c>
      <c r="X55">
        <v>62.841583100000001</v>
      </c>
      <c r="Y55">
        <v>92.759867900000003</v>
      </c>
      <c r="Z55">
        <v>144.29</v>
      </c>
      <c r="AA55">
        <v>230.013329</v>
      </c>
      <c r="AB55">
        <v>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5.7346577853499241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3">
      <c r="A56">
        <v>930</v>
      </c>
      <c r="B56">
        <v>30</v>
      </c>
      <c r="C56">
        <v>15</v>
      </c>
      <c r="D56">
        <v>2.95</v>
      </c>
      <c r="E56">
        <v>23</v>
      </c>
      <c r="F56">
        <v>12</v>
      </c>
      <c r="G56">
        <v>0.56747999999999998</v>
      </c>
      <c r="H56">
        <v>20</v>
      </c>
      <c r="I56">
        <v>12</v>
      </c>
      <c r="J56">
        <v>1.4</v>
      </c>
      <c r="K56">
        <v>583305477.50666964</v>
      </c>
      <c r="L56">
        <v>50125400</v>
      </c>
      <c r="M56">
        <v>79694318.646356255</v>
      </c>
      <c r="N56">
        <v>70896800</v>
      </c>
      <c r="O56">
        <v>15885019.439999999</v>
      </c>
      <c r="P56">
        <v>227.07514</v>
      </c>
      <c r="Q56">
        <v>1.3400316636095382</v>
      </c>
      <c r="R56">
        <v>43.525247999999998</v>
      </c>
      <c r="S56">
        <v>779.55854199999999</v>
      </c>
      <c r="T56">
        <v>1.92884012E-15</v>
      </c>
      <c r="U56">
        <v>19.012273771720061</v>
      </c>
      <c r="V56">
        <v>91.850000000000009</v>
      </c>
      <c r="W56">
        <v>-240.75505565744621</v>
      </c>
      <c r="X56">
        <v>62.841583100000001</v>
      </c>
      <c r="Y56">
        <v>92.759867900000003</v>
      </c>
      <c r="Z56">
        <v>144.29</v>
      </c>
      <c r="AA56">
        <v>230.013329</v>
      </c>
      <c r="AB56">
        <v>99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5.7346577853499241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3">
      <c r="A57">
        <v>930</v>
      </c>
      <c r="B57">
        <v>30</v>
      </c>
      <c r="C57">
        <v>15</v>
      </c>
      <c r="D57">
        <v>2.95</v>
      </c>
      <c r="E57">
        <v>25</v>
      </c>
      <c r="F57">
        <v>12</v>
      </c>
      <c r="G57">
        <v>0.56747999999999998</v>
      </c>
      <c r="H57">
        <v>20</v>
      </c>
      <c r="I57">
        <v>12</v>
      </c>
      <c r="J57">
        <v>1.4</v>
      </c>
      <c r="K57">
        <v>583305477.50666964</v>
      </c>
      <c r="L57">
        <v>50125400</v>
      </c>
      <c r="M57">
        <v>79694318.646356255</v>
      </c>
      <c r="N57">
        <v>70896800</v>
      </c>
      <c r="O57">
        <v>15885019.439999999</v>
      </c>
      <c r="P57">
        <v>227.07514</v>
      </c>
      <c r="Q57">
        <v>1.3400316636095382</v>
      </c>
      <c r="R57">
        <v>43.525247999999998</v>
      </c>
      <c r="S57">
        <v>779.55854199999999</v>
      </c>
      <c r="T57">
        <v>1.92884012E-15</v>
      </c>
      <c r="U57">
        <v>19.012273771720061</v>
      </c>
      <c r="V57">
        <v>91.850000000000009</v>
      </c>
      <c r="W57">
        <v>-240.75505565744621</v>
      </c>
      <c r="X57">
        <v>62.841583100000001</v>
      </c>
      <c r="Y57">
        <v>92.759867900000003</v>
      </c>
      <c r="Z57">
        <v>144.29</v>
      </c>
      <c r="AA57">
        <v>230.013329</v>
      </c>
      <c r="AB57">
        <v>99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5.7346577853499241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3">
      <c r="A58">
        <v>930</v>
      </c>
      <c r="B58">
        <v>30</v>
      </c>
      <c r="C58">
        <v>15</v>
      </c>
      <c r="D58">
        <v>2.95</v>
      </c>
      <c r="E58">
        <v>27</v>
      </c>
      <c r="F58">
        <v>12</v>
      </c>
      <c r="G58">
        <v>0.56747999999999998</v>
      </c>
      <c r="H58">
        <v>20</v>
      </c>
      <c r="I58">
        <v>12</v>
      </c>
      <c r="J58">
        <v>1.4</v>
      </c>
      <c r="K58">
        <v>583570135.07279849</v>
      </c>
      <c r="L58">
        <v>50143600</v>
      </c>
      <c r="M58">
        <v>79694818.86679484</v>
      </c>
      <c r="N58">
        <v>71866500</v>
      </c>
      <c r="O58">
        <v>15885042.4</v>
      </c>
      <c r="P58">
        <v>225.952834</v>
      </c>
      <c r="Q58">
        <v>1.3288936959256934</v>
      </c>
      <c r="R58">
        <v>43.633606299999997</v>
      </c>
      <c r="S58">
        <v>779.71229099999994</v>
      </c>
      <c r="T58">
        <v>7.5818343799999996E-16</v>
      </c>
      <c r="U58">
        <v>19.228852445457324</v>
      </c>
      <c r="V58">
        <v>91.850000000000009</v>
      </c>
      <c r="W58">
        <v>-237.71722236299399</v>
      </c>
      <c r="X58">
        <v>62.840632200000002</v>
      </c>
      <c r="Y58">
        <v>92.759387200000006</v>
      </c>
      <c r="Z58">
        <v>180.98100000000002</v>
      </c>
      <c r="AA58">
        <v>231.578912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5.4639344431783439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3">
      <c r="A59">
        <v>930</v>
      </c>
      <c r="B59">
        <v>30</v>
      </c>
      <c r="C59">
        <v>15</v>
      </c>
      <c r="D59">
        <v>2.95</v>
      </c>
      <c r="E59">
        <v>29</v>
      </c>
      <c r="F59">
        <v>12</v>
      </c>
      <c r="G59">
        <v>0.56747999999999998</v>
      </c>
      <c r="H59">
        <v>20</v>
      </c>
      <c r="I59">
        <v>12</v>
      </c>
      <c r="J59">
        <v>1.4</v>
      </c>
      <c r="K59">
        <v>583624720.74633121</v>
      </c>
      <c r="L59">
        <v>50143600</v>
      </c>
      <c r="M59">
        <v>79694818.86679484</v>
      </c>
      <c r="N59">
        <v>71872200</v>
      </c>
      <c r="O59">
        <v>15885042.4</v>
      </c>
      <c r="P59">
        <v>225.916561</v>
      </c>
      <c r="Q59">
        <v>1.3291597099951329</v>
      </c>
      <c r="R59">
        <v>43.634883100000003</v>
      </c>
      <c r="S59">
        <v>779.74822899999992</v>
      </c>
      <c r="T59">
        <v>7.2955683199999998E-16</v>
      </c>
      <c r="U59">
        <v>19.227476034489619</v>
      </c>
      <c r="V59">
        <v>91.850000000000009</v>
      </c>
      <c r="W59">
        <v>-237.6855492468525</v>
      </c>
      <c r="X59">
        <v>62.840632200000002</v>
      </c>
      <c r="Y59">
        <v>92.759387200000006</v>
      </c>
      <c r="Z59">
        <v>180.98100000000002</v>
      </c>
      <c r="AA59">
        <v>231.587492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5.4656549568879758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3">
      <c r="A60">
        <v>930</v>
      </c>
      <c r="B60">
        <v>30</v>
      </c>
      <c r="C60">
        <v>15</v>
      </c>
      <c r="D60">
        <v>2.95</v>
      </c>
      <c r="E60">
        <v>20</v>
      </c>
      <c r="F60">
        <v>5</v>
      </c>
      <c r="G60">
        <v>0.56747999999999998</v>
      </c>
      <c r="H60">
        <v>20</v>
      </c>
      <c r="I60">
        <v>12</v>
      </c>
      <c r="J60">
        <v>1.4</v>
      </c>
      <c r="K60">
        <v>583401300.14434326</v>
      </c>
      <c r="L60">
        <v>50125900</v>
      </c>
      <c r="M60">
        <v>79694918.86679484</v>
      </c>
      <c r="N60">
        <v>71932900</v>
      </c>
      <c r="O60">
        <v>15885042.4</v>
      </c>
      <c r="P60">
        <v>225.88964100000001</v>
      </c>
      <c r="Q60">
        <v>1.3271145806025222</v>
      </c>
      <c r="R60">
        <v>43.647850400000003</v>
      </c>
      <c r="S60">
        <v>779.97081800000001</v>
      </c>
      <c r="T60">
        <v>1.44293355E-9</v>
      </c>
      <c r="U60">
        <v>19.516374965449739</v>
      </c>
      <c r="V60">
        <v>91.850000000000009</v>
      </c>
      <c r="W60">
        <v>-237.61405623535271</v>
      </c>
      <c r="X60">
        <v>62.840632200000002</v>
      </c>
      <c r="Y60">
        <v>92.759387200000006</v>
      </c>
      <c r="Z60">
        <v>180.98100000000002</v>
      </c>
      <c r="AA60">
        <v>231.58706900000001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5.1045312931878257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3">
      <c r="A61">
        <v>930</v>
      </c>
      <c r="B61">
        <v>30</v>
      </c>
      <c r="C61">
        <v>15</v>
      </c>
      <c r="D61">
        <v>2.95</v>
      </c>
      <c r="E61">
        <v>20</v>
      </c>
      <c r="F61">
        <v>6</v>
      </c>
      <c r="G61">
        <v>0.56747999999999998</v>
      </c>
      <c r="H61">
        <v>20</v>
      </c>
      <c r="I61">
        <v>12</v>
      </c>
      <c r="J61">
        <v>1.4</v>
      </c>
      <c r="K61">
        <v>583403616.83535874</v>
      </c>
      <c r="L61">
        <v>50125900</v>
      </c>
      <c r="M61">
        <v>79694818.86679484</v>
      </c>
      <c r="N61">
        <v>71904100</v>
      </c>
      <c r="O61">
        <v>15885042.4</v>
      </c>
      <c r="P61">
        <v>225.92332200000001</v>
      </c>
      <c r="Q61">
        <v>1.3274864198620211</v>
      </c>
      <c r="R61">
        <v>43.642574099999997</v>
      </c>
      <c r="S61">
        <v>779.87212</v>
      </c>
      <c r="T61">
        <v>1.75181561E-10</v>
      </c>
      <c r="U61">
        <v>19.429395393353147</v>
      </c>
      <c r="V61">
        <v>91.850000000000009</v>
      </c>
      <c r="W61">
        <v>-237.68197688187743</v>
      </c>
      <c r="X61">
        <v>62.840632200000002</v>
      </c>
      <c r="Y61">
        <v>92.759387200000006</v>
      </c>
      <c r="Z61">
        <v>180.98100000000002</v>
      </c>
      <c r="AA61">
        <v>231.57508200000001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5.2132557583085664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3">
      <c r="A62">
        <v>930</v>
      </c>
      <c r="B62">
        <v>30</v>
      </c>
      <c r="C62">
        <v>15</v>
      </c>
      <c r="D62">
        <v>2.95</v>
      </c>
      <c r="E62">
        <v>20</v>
      </c>
      <c r="F62">
        <v>7</v>
      </c>
      <c r="G62">
        <v>0.56747999999999998</v>
      </c>
      <c r="H62">
        <v>20</v>
      </c>
      <c r="I62">
        <v>12</v>
      </c>
      <c r="J62">
        <v>1.4</v>
      </c>
      <c r="K62">
        <v>583405446.29430687</v>
      </c>
      <c r="L62">
        <v>50125900</v>
      </c>
      <c r="M62">
        <v>79694818.86679484</v>
      </c>
      <c r="N62">
        <v>71879000</v>
      </c>
      <c r="O62">
        <v>15885042.4</v>
      </c>
      <c r="P62">
        <v>225.95355699999999</v>
      </c>
      <c r="Q62">
        <v>1.3278046504567385</v>
      </c>
      <c r="R62">
        <v>43.638227399999998</v>
      </c>
      <c r="S62">
        <v>779.80632100000003</v>
      </c>
      <c r="T62">
        <v>2.1967295199999999E-11</v>
      </c>
      <c r="U62">
        <v>19.370359385903743</v>
      </c>
      <c r="V62">
        <v>91.850000000000009</v>
      </c>
      <c r="W62">
        <v>-237.76899718364712</v>
      </c>
      <c r="X62">
        <v>62.840632200000002</v>
      </c>
      <c r="Y62">
        <v>92.759387200000006</v>
      </c>
      <c r="Z62">
        <v>180.98100000000002</v>
      </c>
      <c r="AA62">
        <v>231.55133699999999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5.28705076762032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3">
      <c r="A63">
        <v>930</v>
      </c>
      <c r="B63">
        <v>30</v>
      </c>
      <c r="C63">
        <v>15</v>
      </c>
      <c r="D63">
        <v>2.95</v>
      </c>
      <c r="E63">
        <v>20</v>
      </c>
      <c r="F63">
        <v>8</v>
      </c>
      <c r="G63">
        <v>0.56747999999999998</v>
      </c>
      <c r="H63">
        <v>20</v>
      </c>
      <c r="I63">
        <v>12</v>
      </c>
      <c r="J63">
        <v>1.4</v>
      </c>
      <c r="K63">
        <v>583407508.84226847</v>
      </c>
      <c r="L63">
        <v>50125900</v>
      </c>
      <c r="M63">
        <v>79694818.86679484</v>
      </c>
      <c r="N63">
        <v>71853700</v>
      </c>
      <c r="O63">
        <v>15885042.4</v>
      </c>
      <c r="P63">
        <v>225.989589</v>
      </c>
      <c r="Q63">
        <v>1.3280933342480681</v>
      </c>
      <c r="R63">
        <v>43.634055500000002</v>
      </c>
      <c r="S63">
        <v>779.75239399999998</v>
      </c>
      <c r="T63">
        <v>2.83315697E-12</v>
      </c>
      <c r="U63">
        <v>19.327163364488865</v>
      </c>
      <c r="V63">
        <v>91.850000000000009</v>
      </c>
      <c r="W63">
        <v>-237.87957659105143</v>
      </c>
      <c r="X63">
        <v>62.840632200000002</v>
      </c>
      <c r="Y63">
        <v>92.759387200000006</v>
      </c>
      <c r="Z63">
        <v>177.97</v>
      </c>
      <c r="AA63">
        <v>231.517776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5.3410457943889185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3">
      <c r="A64">
        <v>930</v>
      </c>
      <c r="B64">
        <v>30</v>
      </c>
      <c r="C64">
        <v>15</v>
      </c>
      <c r="D64">
        <v>2.95</v>
      </c>
      <c r="E64">
        <v>20</v>
      </c>
      <c r="F64">
        <v>9</v>
      </c>
      <c r="G64">
        <v>0.56747999999999998</v>
      </c>
      <c r="H64">
        <v>20</v>
      </c>
      <c r="I64">
        <v>12</v>
      </c>
      <c r="J64">
        <v>1.4</v>
      </c>
      <c r="K64">
        <v>583409690.58139324</v>
      </c>
      <c r="L64">
        <v>50125900</v>
      </c>
      <c r="M64">
        <v>79694818.86679484</v>
      </c>
      <c r="N64">
        <v>71824600</v>
      </c>
      <c r="O64">
        <v>15885042.4</v>
      </c>
      <c r="P64">
        <v>226.03583699999999</v>
      </c>
      <c r="Q64">
        <v>1.3283964575790008</v>
      </c>
      <c r="R64">
        <v>43.629511800000003</v>
      </c>
      <c r="S64">
        <v>779.70177799999999</v>
      </c>
      <c r="T64">
        <v>3.7538449600000001E-13</v>
      </c>
      <c r="U64">
        <v>19.293241998562955</v>
      </c>
      <c r="V64">
        <v>91.850000000000009</v>
      </c>
      <c r="W64">
        <v>-238.0239873475054</v>
      </c>
      <c r="X64">
        <v>62.840632200000002</v>
      </c>
      <c r="Y64">
        <v>92.759387200000006</v>
      </c>
      <c r="Z64">
        <v>177.97</v>
      </c>
      <c r="AA64">
        <v>231.471135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5.3834475017963062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3">
      <c r="A65">
        <v>930</v>
      </c>
      <c r="B65">
        <v>30</v>
      </c>
      <c r="C65">
        <v>15</v>
      </c>
      <c r="D65">
        <v>2.95</v>
      </c>
      <c r="E65">
        <v>20</v>
      </c>
      <c r="F65">
        <v>10</v>
      </c>
      <c r="G65">
        <v>0.56747999999999998</v>
      </c>
      <c r="H65">
        <v>20</v>
      </c>
      <c r="I65">
        <v>12</v>
      </c>
      <c r="J65">
        <v>1.4</v>
      </c>
      <c r="K65">
        <v>583412760.03022242</v>
      </c>
      <c r="L65">
        <v>50125800</v>
      </c>
      <c r="M65">
        <v>79694818.86679484</v>
      </c>
      <c r="N65">
        <v>71787600</v>
      </c>
      <c r="O65">
        <v>15885042.4</v>
      </c>
      <c r="P65">
        <v>226.09545700000001</v>
      </c>
      <c r="Q65">
        <v>1.3287758277957629</v>
      </c>
      <c r="R65">
        <v>43.624082899999998</v>
      </c>
      <c r="S65">
        <v>779.65111999999999</v>
      </c>
      <c r="T65">
        <v>5.1125390299999999E-14</v>
      </c>
      <c r="U65">
        <v>19.264288224264885</v>
      </c>
      <c r="V65">
        <v>91.850000000000009</v>
      </c>
      <c r="W65">
        <v>-238.21631023638108</v>
      </c>
      <c r="X65">
        <v>62.840696600000001</v>
      </c>
      <c r="Y65">
        <v>92.759387200000006</v>
      </c>
      <c r="Z65">
        <v>177.97</v>
      </c>
      <c r="AA65">
        <v>231.404889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5.4196397196688935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3">
      <c r="A66">
        <v>930</v>
      </c>
      <c r="B66">
        <v>30</v>
      </c>
      <c r="C66">
        <v>15</v>
      </c>
      <c r="D66">
        <v>2.95</v>
      </c>
      <c r="E66">
        <v>20</v>
      </c>
      <c r="F66">
        <v>10</v>
      </c>
      <c r="G66">
        <v>0.56747999999999998</v>
      </c>
      <c r="H66">
        <v>20</v>
      </c>
      <c r="I66">
        <v>12</v>
      </c>
      <c r="J66">
        <v>1.4</v>
      </c>
      <c r="K66">
        <v>583412760.03022242</v>
      </c>
      <c r="L66">
        <v>50125800</v>
      </c>
      <c r="M66">
        <v>79694818.86679484</v>
      </c>
      <c r="N66">
        <v>71787600</v>
      </c>
      <c r="O66">
        <v>15885042.4</v>
      </c>
      <c r="P66">
        <v>226.09545700000001</v>
      </c>
      <c r="Q66">
        <v>1.3287758277957629</v>
      </c>
      <c r="R66">
        <v>43.624082899999998</v>
      </c>
      <c r="S66">
        <v>779.65111999999999</v>
      </c>
      <c r="T66">
        <v>5.1125390299999999E-14</v>
      </c>
      <c r="U66">
        <v>19.264288224264885</v>
      </c>
      <c r="V66">
        <v>91.850000000000009</v>
      </c>
      <c r="W66">
        <v>-238.21631023638108</v>
      </c>
      <c r="X66">
        <v>62.840696600000001</v>
      </c>
      <c r="Y66">
        <v>92.759387200000006</v>
      </c>
      <c r="Z66">
        <v>177.97</v>
      </c>
      <c r="AA66">
        <v>231.404889</v>
      </c>
      <c r="AB66">
        <v>99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5.4196397196688935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3">
      <c r="A67">
        <v>930</v>
      </c>
      <c r="B67">
        <v>30</v>
      </c>
      <c r="C67">
        <v>15</v>
      </c>
      <c r="D67">
        <v>2.95</v>
      </c>
      <c r="E67">
        <v>20</v>
      </c>
      <c r="F67">
        <v>11</v>
      </c>
      <c r="G67">
        <v>0.56747999999999998</v>
      </c>
      <c r="H67">
        <v>20</v>
      </c>
      <c r="I67">
        <v>12</v>
      </c>
      <c r="J67">
        <v>1.4</v>
      </c>
      <c r="K67">
        <v>583416574.46396458</v>
      </c>
      <c r="L67">
        <v>50125800</v>
      </c>
      <c r="M67">
        <v>79694818.86679484</v>
      </c>
      <c r="N67">
        <v>71737400</v>
      </c>
      <c r="O67">
        <v>15885042.4</v>
      </c>
      <c r="P67">
        <v>226.17210800000001</v>
      </c>
      <c r="Q67">
        <v>1.3293167315848669</v>
      </c>
      <c r="R67">
        <v>43.6171875</v>
      </c>
      <c r="S67">
        <v>779.59922900000004</v>
      </c>
      <c r="T67">
        <v>7.1727491099999998E-15</v>
      </c>
      <c r="U67">
        <v>19.236793243038459</v>
      </c>
      <c r="V67">
        <v>91.850000000000009</v>
      </c>
      <c r="W67">
        <v>-238.47215427255048</v>
      </c>
      <c r="X67">
        <v>62.840696600000001</v>
      </c>
      <c r="Y67">
        <v>92.759387200000006</v>
      </c>
      <c r="Z67">
        <v>177.97</v>
      </c>
      <c r="AA67">
        <v>231.30999199999999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5.4540084462019252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3">
      <c r="A68">
        <v>930</v>
      </c>
      <c r="B68">
        <v>30</v>
      </c>
      <c r="C68">
        <v>15</v>
      </c>
      <c r="D68">
        <v>2.95</v>
      </c>
      <c r="E68">
        <v>20</v>
      </c>
      <c r="F68">
        <v>12</v>
      </c>
      <c r="G68">
        <v>0.56747999999999998</v>
      </c>
      <c r="H68">
        <v>20</v>
      </c>
      <c r="I68">
        <v>12</v>
      </c>
      <c r="J68">
        <v>1.4</v>
      </c>
      <c r="K68">
        <v>583425175.22062886</v>
      </c>
      <c r="L68">
        <v>50125800</v>
      </c>
      <c r="M68">
        <v>79694718.824063033</v>
      </c>
      <c r="N68">
        <v>71667300</v>
      </c>
      <c r="O68">
        <v>15885042.4</v>
      </c>
      <c r="P68">
        <v>226.271209</v>
      </c>
      <c r="Q68">
        <v>1.3301279144455813</v>
      </c>
      <c r="R68">
        <v>43.6080969</v>
      </c>
      <c r="S68">
        <v>779.54591100000005</v>
      </c>
      <c r="T68">
        <v>1.0407077699999999E-15</v>
      </c>
      <c r="U68">
        <v>19.207163182540537</v>
      </c>
      <c r="V68">
        <v>91.850000000000009</v>
      </c>
      <c r="W68">
        <v>-238.8056443034265</v>
      </c>
      <c r="X68">
        <v>62.840800999999999</v>
      </c>
      <c r="Y68">
        <v>92.759387200000006</v>
      </c>
      <c r="Z68">
        <v>165.7</v>
      </c>
      <c r="AA68">
        <v>231.17583999999999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5.491046021824328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3">
      <c r="A69">
        <v>930</v>
      </c>
      <c r="B69">
        <v>30</v>
      </c>
      <c r="C69">
        <v>15</v>
      </c>
      <c r="D69">
        <v>2.95</v>
      </c>
      <c r="E69">
        <v>20</v>
      </c>
      <c r="F69">
        <v>13</v>
      </c>
      <c r="G69">
        <v>0.56747999999999998</v>
      </c>
      <c r="H69">
        <v>20</v>
      </c>
      <c r="I69">
        <v>12</v>
      </c>
      <c r="J69">
        <v>1.4</v>
      </c>
      <c r="K69">
        <v>583440078.88409376</v>
      </c>
      <c r="L69">
        <v>50125700</v>
      </c>
      <c r="M69">
        <v>79694718.824063033</v>
      </c>
      <c r="N69">
        <v>71567900</v>
      </c>
      <c r="O69">
        <v>15885042.4</v>
      </c>
      <c r="P69">
        <v>226.40124900000001</v>
      </c>
      <c r="Q69">
        <v>1.3313447434933416</v>
      </c>
      <c r="R69">
        <v>43.595840799999998</v>
      </c>
      <c r="S69">
        <v>779.49201599999992</v>
      </c>
      <c r="T69">
        <v>1.57142089E-16</v>
      </c>
      <c r="U69">
        <v>19.170990685630603</v>
      </c>
      <c r="V69">
        <v>91.850000000000009</v>
      </c>
      <c r="W69">
        <v>-239.22411024029043</v>
      </c>
      <c r="X69">
        <v>62.840892400000001</v>
      </c>
      <c r="Y69">
        <v>92.759518700000001</v>
      </c>
      <c r="Z69">
        <v>165.7</v>
      </c>
      <c r="AA69">
        <v>230.99231499999999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5.5362616429617457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3">
      <c r="A70">
        <v>930</v>
      </c>
      <c r="B70">
        <v>30</v>
      </c>
      <c r="C70">
        <v>15</v>
      </c>
      <c r="D70">
        <v>2.95</v>
      </c>
      <c r="E70">
        <v>20</v>
      </c>
      <c r="F70">
        <v>14</v>
      </c>
      <c r="G70">
        <v>0.56747999999999998</v>
      </c>
      <c r="H70">
        <v>20</v>
      </c>
      <c r="I70">
        <v>12</v>
      </c>
      <c r="J70">
        <v>1.4</v>
      </c>
      <c r="K70">
        <v>583451418.61466992</v>
      </c>
      <c r="L70">
        <v>50125600</v>
      </c>
      <c r="M70">
        <v>79694618.762841508</v>
      </c>
      <c r="N70">
        <v>71425200</v>
      </c>
      <c r="O70">
        <v>15885042.4</v>
      </c>
      <c r="P70">
        <v>226.57556600000001</v>
      </c>
      <c r="Q70">
        <v>1.3331326987868242</v>
      </c>
      <c r="R70">
        <v>43.579039799999997</v>
      </c>
      <c r="S70">
        <v>779.44134299999996</v>
      </c>
      <c r="T70">
        <v>2.4929050200000001E-17</v>
      </c>
      <c r="U70">
        <v>19.122206043779002</v>
      </c>
      <c r="V70">
        <v>91.850000000000009</v>
      </c>
      <c r="W70">
        <v>-239.71856132949389</v>
      </c>
      <c r="X70">
        <v>62.841028899999998</v>
      </c>
      <c r="Y70">
        <v>92.759518700000001</v>
      </c>
      <c r="Z70">
        <v>144.29</v>
      </c>
      <c r="AA70">
        <v>230.74950899999999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5.5972424452762475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3">
      <c r="A71">
        <v>930</v>
      </c>
      <c r="B71">
        <v>30</v>
      </c>
      <c r="C71">
        <v>15</v>
      </c>
      <c r="D71">
        <v>2.95</v>
      </c>
      <c r="E71">
        <v>20</v>
      </c>
      <c r="F71">
        <v>12</v>
      </c>
      <c r="G71">
        <v>0.3</v>
      </c>
      <c r="H71">
        <v>20</v>
      </c>
      <c r="I71">
        <v>12</v>
      </c>
      <c r="J71">
        <v>1.4</v>
      </c>
      <c r="K71">
        <v>583290778.62103581</v>
      </c>
      <c r="L71">
        <v>50125700</v>
      </c>
      <c r="M71">
        <v>79694618.762841508</v>
      </c>
      <c r="N71">
        <v>71408500</v>
      </c>
      <c r="O71">
        <v>15885042.4</v>
      </c>
      <c r="P71">
        <v>226.503916</v>
      </c>
      <c r="Q71">
        <v>1.3334003700851544</v>
      </c>
      <c r="R71">
        <v>43.587051899999999</v>
      </c>
      <c r="S71">
        <v>779.971949</v>
      </c>
      <c r="T71">
        <v>1.87765813E-14</v>
      </c>
      <c r="U71">
        <v>19.539818169110621</v>
      </c>
      <c r="V71">
        <v>91.850000000000009</v>
      </c>
      <c r="W71">
        <v>-240.83033722393654</v>
      </c>
      <c r="X71">
        <v>62.841028899999998</v>
      </c>
      <c r="Y71">
        <v>92.759518700000001</v>
      </c>
      <c r="Z71">
        <v>165.7</v>
      </c>
      <c r="AA71">
        <v>230.56370699999999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5.0752272886117229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3">
      <c r="A72">
        <v>930</v>
      </c>
      <c r="B72">
        <v>30</v>
      </c>
      <c r="C72">
        <v>15</v>
      </c>
      <c r="D72">
        <v>2.95</v>
      </c>
      <c r="E72">
        <v>20</v>
      </c>
      <c r="F72">
        <v>12</v>
      </c>
      <c r="G72">
        <v>0.39</v>
      </c>
      <c r="H72">
        <v>20</v>
      </c>
      <c r="I72">
        <v>12</v>
      </c>
      <c r="J72">
        <v>1.4</v>
      </c>
      <c r="K72">
        <v>583319608.15896797</v>
      </c>
      <c r="L72">
        <v>50125700</v>
      </c>
      <c r="M72">
        <v>79694718.762841508</v>
      </c>
      <c r="N72">
        <v>71559900</v>
      </c>
      <c r="O72">
        <v>15885042.4</v>
      </c>
      <c r="P72">
        <v>226.51953399999999</v>
      </c>
      <c r="Q72">
        <v>1.3304443992556927</v>
      </c>
      <c r="R72">
        <v>43.5961614</v>
      </c>
      <c r="S72">
        <v>779.56111199999998</v>
      </c>
      <c r="T72">
        <v>4.4252577500000001E-15</v>
      </c>
      <c r="U72">
        <v>19.349428293824136</v>
      </c>
      <c r="V72">
        <v>91.850000000000009</v>
      </c>
      <c r="W72">
        <v>-239.66768392615998</v>
      </c>
      <c r="X72">
        <v>62.840896100000002</v>
      </c>
      <c r="Y72">
        <v>92.759518700000001</v>
      </c>
      <c r="Z72">
        <v>165.7</v>
      </c>
      <c r="AA72">
        <v>230.93418600000001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5.3132146327198289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3">
      <c r="A73">
        <v>930</v>
      </c>
      <c r="B73">
        <v>30</v>
      </c>
      <c r="C73">
        <v>15</v>
      </c>
      <c r="D73">
        <v>2.95</v>
      </c>
      <c r="E73">
        <v>20</v>
      </c>
      <c r="F73">
        <v>12</v>
      </c>
      <c r="G73">
        <v>0.48</v>
      </c>
      <c r="H73">
        <v>20</v>
      </c>
      <c r="I73">
        <v>12</v>
      </c>
      <c r="J73">
        <v>1.4</v>
      </c>
      <c r="K73">
        <v>583330813.12774301</v>
      </c>
      <c r="L73">
        <v>50125800</v>
      </c>
      <c r="M73">
        <v>79694718.813380092</v>
      </c>
      <c r="N73">
        <v>71631100</v>
      </c>
      <c r="O73">
        <v>15885042.4</v>
      </c>
      <c r="P73">
        <v>226.42246900000001</v>
      </c>
      <c r="Q73">
        <v>1.3296621735268965</v>
      </c>
      <c r="R73">
        <v>43.602633599999997</v>
      </c>
      <c r="S73">
        <v>779.47312499999998</v>
      </c>
      <c r="T73">
        <v>1.8468494900000001E-15</v>
      </c>
      <c r="U73">
        <v>19.252651099707059</v>
      </c>
      <c r="V73">
        <v>91.850000000000009</v>
      </c>
      <c r="W73">
        <v>-239.0779587264602</v>
      </c>
      <c r="X73">
        <v>62.8408303</v>
      </c>
      <c r="Y73">
        <v>92.759518700000001</v>
      </c>
      <c r="Z73">
        <v>165.7</v>
      </c>
      <c r="AA73">
        <v>231.102825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5.4341861253661765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3">
      <c r="A74">
        <v>930</v>
      </c>
      <c r="B74">
        <v>30</v>
      </c>
      <c r="C74">
        <v>15</v>
      </c>
      <c r="D74">
        <v>2.95</v>
      </c>
      <c r="E74">
        <v>20</v>
      </c>
      <c r="F74">
        <v>12</v>
      </c>
      <c r="G74">
        <v>0.57000000000000006</v>
      </c>
      <c r="H74">
        <v>20</v>
      </c>
      <c r="I74">
        <v>12</v>
      </c>
      <c r="J74">
        <v>1.4</v>
      </c>
      <c r="K74">
        <v>583425972.99353862</v>
      </c>
      <c r="L74">
        <v>50125800</v>
      </c>
      <c r="M74">
        <v>79694718.813380092</v>
      </c>
      <c r="N74">
        <v>71668000</v>
      </c>
      <c r="O74">
        <v>15885042.4</v>
      </c>
      <c r="P74">
        <v>226.26647500000001</v>
      </c>
      <c r="Q74">
        <v>1.3301444805734259</v>
      </c>
      <c r="R74">
        <v>43.608243100000003</v>
      </c>
      <c r="S74">
        <v>779.54927100000009</v>
      </c>
      <c r="T74">
        <v>1.0263438199999999E-15</v>
      </c>
      <c r="U74">
        <v>19.206259317882935</v>
      </c>
      <c r="V74">
        <v>91.850000000000009</v>
      </c>
      <c r="W74">
        <v>-238.80061711645308</v>
      </c>
      <c r="X74">
        <v>62.8408303</v>
      </c>
      <c r="Y74">
        <v>92.759518700000001</v>
      </c>
      <c r="Z74">
        <v>165.7</v>
      </c>
      <c r="AA74">
        <v>231.177155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5.49217585264633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3">
      <c r="A75">
        <v>930</v>
      </c>
      <c r="B75">
        <v>30</v>
      </c>
      <c r="C75">
        <v>15</v>
      </c>
      <c r="D75">
        <v>2.95</v>
      </c>
      <c r="E75">
        <v>20</v>
      </c>
      <c r="F75">
        <v>12</v>
      </c>
      <c r="G75">
        <v>0.65999999999999992</v>
      </c>
      <c r="H75">
        <v>20</v>
      </c>
      <c r="I75">
        <v>12</v>
      </c>
      <c r="J75">
        <v>1.4</v>
      </c>
      <c r="K75">
        <v>583443917.79162407</v>
      </c>
      <c r="L75">
        <v>50124900</v>
      </c>
      <c r="M75">
        <v>79694718.813380092</v>
      </c>
      <c r="N75">
        <v>71687800</v>
      </c>
      <c r="O75">
        <v>15885042.4</v>
      </c>
      <c r="P75">
        <v>226.093568</v>
      </c>
      <c r="Q75">
        <v>1.3308114449663859</v>
      </c>
      <c r="R75">
        <v>43.613056999999998</v>
      </c>
      <c r="S75">
        <v>779.69334500000002</v>
      </c>
      <c r="T75">
        <v>6.6853645499999996E-16</v>
      </c>
      <c r="U75">
        <v>19.182907945067619</v>
      </c>
      <c r="V75">
        <v>91.850000000000009</v>
      </c>
      <c r="W75">
        <v>-238.68872321649306</v>
      </c>
      <c r="X75">
        <v>62.8408303</v>
      </c>
      <c r="Y75">
        <v>92.759518700000001</v>
      </c>
      <c r="Z75">
        <v>177.97</v>
      </c>
      <c r="AA75">
        <v>231.20584700000001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5.5213650686654763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3">
      <c r="A76">
        <v>930</v>
      </c>
      <c r="B76">
        <v>30</v>
      </c>
      <c r="C76">
        <v>15</v>
      </c>
      <c r="D76">
        <v>2.95</v>
      </c>
      <c r="E76">
        <v>20</v>
      </c>
      <c r="F76">
        <v>12</v>
      </c>
      <c r="G76">
        <v>0.75</v>
      </c>
      <c r="H76">
        <v>20</v>
      </c>
      <c r="I76">
        <v>12</v>
      </c>
      <c r="J76">
        <v>1.4</v>
      </c>
      <c r="K76">
        <v>583454476.60152066</v>
      </c>
      <c r="L76">
        <v>50142700</v>
      </c>
      <c r="M76">
        <v>79694718.813380092</v>
      </c>
      <c r="N76">
        <v>71698200</v>
      </c>
      <c r="O76">
        <v>15885042.4</v>
      </c>
      <c r="P76">
        <v>225.92420300000001</v>
      </c>
      <c r="Q76">
        <v>1.3319854090637149</v>
      </c>
      <c r="R76">
        <v>43.617125799999997</v>
      </c>
      <c r="S76">
        <v>779.85890999999992</v>
      </c>
      <c r="T76">
        <v>4.7997025500000004E-16</v>
      </c>
      <c r="U76">
        <v>19.170539420841411</v>
      </c>
      <c r="V76">
        <v>91.850000000000009</v>
      </c>
      <c r="W76">
        <v>-238.66377520183107</v>
      </c>
      <c r="X76">
        <v>62.8408303</v>
      </c>
      <c r="Y76">
        <v>92.759518700000001</v>
      </c>
      <c r="Z76">
        <v>177.97</v>
      </c>
      <c r="AA76">
        <v>231.21138500000001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5.536825723948235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>
        <v>930</v>
      </c>
      <c r="B77">
        <v>30</v>
      </c>
      <c r="C77">
        <v>15</v>
      </c>
      <c r="D77">
        <v>2.95</v>
      </c>
      <c r="E77">
        <v>20</v>
      </c>
      <c r="F77">
        <v>12</v>
      </c>
      <c r="G77">
        <v>0.84000000000000008</v>
      </c>
      <c r="H77">
        <v>20</v>
      </c>
      <c r="I77">
        <v>12</v>
      </c>
      <c r="J77">
        <v>1.4</v>
      </c>
      <c r="K77">
        <v>583473470.96767259</v>
      </c>
      <c r="L77">
        <v>50142700</v>
      </c>
      <c r="M77">
        <v>79694718.813380092</v>
      </c>
      <c r="N77">
        <v>71703200</v>
      </c>
      <c r="O77">
        <v>15885042.4</v>
      </c>
      <c r="P77">
        <v>225.76734500000001</v>
      </c>
      <c r="Q77">
        <v>1.3328701928532367</v>
      </c>
      <c r="R77">
        <v>43.620546099999999</v>
      </c>
      <c r="S77">
        <v>780.02409699999998</v>
      </c>
      <c r="T77">
        <v>3.6751855599999999E-16</v>
      </c>
      <c r="U77">
        <v>19.163764790194911</v>
      </c>
      <c r="V77">
        <v>91.850000000000009</v>
      </c>
      <c r="W77">
        <v>-238.68347268565304</v>
      </c>
      <c r="X77">
        <v>62.8408303</v>
      </c>
      <c r="Y77">
        <v>92.759518700000001</v>
      </c>
      <c r="Z77">
        <v>177.97</v>
      </c>
      <c r="AA77">
        <v>231.205209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5.5452940122563614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">
      <c r="A78">
        <v>930</v>
      </c>
      <c r="B78">
        <v>30</v>
      </c>
      <c r="C78">
        <v>15</v>
      </c>
      <c r="D78">
        <v>2.95</v>
      </c>
      <c r="E78">
        <v>20</v>
      </c>
      <c r="F78">
        <v>12</v>
      </c>
      <c r="G78">
        <v>0.92999999999999994</v>
      </c>
      <c r="H78">
        <v>20</v>
      </c>
      <c r="I78">
        <v>12</v>
      </c>
      <c r="J78">
        <v>1.4</v>
      </c>
      <c r="K78">
        <v>583475695.57005239</v>
      </c>
      <c r="L78">
        <v>50142700</v>
      </c>
      <c r="M78">
        <v>79694718.813380092</v>
      </c>
      <c r="N78">
        <v>71705300</v>
      </c>
      <c r="O78">
        <v>15885042.4</v>
      </c>
      <c r="P78">
        <v>225.62629899999999</v>
      </c>
      <c r="Q78">
        <v>1.3336690185108675</v>
      </c>
      <c r="R78">
        <v>43.623421100000002</v>
      </c>
      <c r="S78">
        <v>780.17896299999995</v>
      </c>
      <c r="T78">
        <v>2.94469683E-16</v>
      </c>
      <c r="U78">
        <v>19.160004082956313</v>
      </c>
      <c r="V78">
        <v>91.850000000000009</v>
      </c>
      <c r="W78">
        <v>-238.72470996965959</v>
      </c>
      <c r="X78">
        <v>62.8408303</v>
      </c>
      <c r="Y78">
        <v>92.759518700000001</v>
      </c>
      <c r="Z78">
        <v>177.97</v>
      </c>
      <c r="AA78">
        <v>231.19350499999999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5.5499948963046091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3">
      <c r="A79">
        <v>930</v>
      </c>
      <c r="B79">
        <v>30</v>
      </c>
      <c r="C79">
        <v>15</v>
      </c>
      <c r="D79">
        <v>2.95</v>
      </c>
      <c r="E79">
        <v>20</v>
      </c>
      <c r="F79">
        <v>12</v>
      </c>
      <c r="G79">
        <v>1.02</v>
      </c>
      <c r="H79">
        <v>20</v>
      </c>
      <c r="I79">
        <v>12</v>
      </c>
      <c r="J79">
        <v>1.4</v>
      </c>
      <c r="K79">
        <v>583479018.24088717</v>
      </c>
      <c r="L79">
        <v>50142700</v>
      </c>
      <c r="M79">
        <v>79694718.813380092</v>
      </c>
      <c r="N79">
        <v>71705500</v>
      </c>
      <c r="O79">
        <v>15885042.4</v>
      </c>
      <c r="P79">
        <v>225.50160700000001</v>
      </c>
      <c r="Q79">
        <v>1.3344125635502415</v>
      </c>
      <c r="R79">
        <v>43.625844399999998</v>
      </c>
      <c r="S79">
        <v>780.31951499999991</v>
      </c>
      <c r="T79">
        <v>2.43998884E-16</v>
      </c>
      <c r="U79">
        <v>19.15793490592721</v>
      </c>
      <c r="V79">
        <v>91.850000000000009</v>
      </c>
      <c r="W79">
        <v>-238.77486953579353</v>
      </c>
      <c r="X79">
        <v>62.8408303</v>
      </c>
      <c r="Y79">
        <v>92.759518700000001</v>
      </c>
      <c r="Z79">
        <v>177.97</v>
      </c>
      <c r="AA79">
        <v>231.179666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5.552581367590987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3">
      <c r="A80">
        <v>930</v>
      </c>
      <c r="B80">
        <v>30</v>
      </c>
      <c r="C80">
        <v>15</v>
      </c>
      <c r="D80">
        <v>2.95</v>
      </c>
      <c r="E80">
        <v>20</v>
      </c>
      <c r="F80">
        <v>12</v>
      </c>
      <c r="G80">
        <v>1.1099999999999999</v>
      </c>
      <c r="H80">
        <v>20</v>
      </c>
      <c r="I80">
        <v>12</v>
      </c>
      <c r="J80">
        <v>1.4</v>
      </c>
      <c r="K80">
        <v>583485381.66523468</v>
      </c>
      <c r="L80">
        <v>50142700</v>
      </c>
      <c r="M80">
        <v>79694718.813380092</v>
      </c>
      <c r="N80">
        <v>71705000</v>
      </c>
      <c r="O80">
        <v>15885042.4</v>
      </c>
      <c r="P80">
        <v>225.39239599999999</v>
      </c>
      <c r="Q80">
        <v>1.3350880945206904</v>
      </c>
      <c r="R80">
        <v>43.627895100000003</v>
      </c>
      <c r="S80">
        <v>780.44480199999998</v>
      </c>
      <c r="T80">
        <v>2.0748346399999999E-16</v>
      </c>
      <c r="U80">
        <v>19.156845654368411</v>
      </c>
      <c r="V80">
        <v>91.850000000000009</v>
      </c>
      <c r="W80">
        <v>-238.8270475505316</v>
      </c>
      <c r="X80">
        <v>62.8408303</v>
      </c>
      <c r="Y80">
        <v>92.759518700000001</v>
      </c>
      <c r="Z80">
        <v>177.97</v>
      </c>
      <c r="AA80">
        <v>231.165526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5.5539429320394866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3">
      <c r="A81">
        <v>930</v>
      </c>
      <c r="B81">
        <v>30</v>
      </c>
      <c r="C81">
        <v>15</v>
      </c>
      <c r="D81">
        <v>2.95</v>
      </c>
      <c r="E81">
        <v>20</v>
      </c>
      <c r="F81">
        <v>12</v>
      </c>
      <c r="G81">
        <v>1.2</v>
      </c>
      <c r="H81">
        <v>20</v>
      </c>
      <c r="I81">
        <v>12</v>
      </c>
      <c r="J81">
        <v>1.4</v>
      </c>
      <c r="K81">
        <v>583536740.96979654</v>
      </c>
      <c r="L81">
        <v>50142700</v>
      </c>
      <c r="M81">
        <v>79694718.813380092</v>
      </c>
      <c r="N81">
        <v>71703900</v>
      </c>
      <c r="O81">
        <v>15885042.4</v>
      </c>
      <c r="P81">
        <v>225.29723200000001</v>
      </c>
      <c r="Q81">
        <v>1.3358283327546734</v>
      </c>
      <c r="R81">
        <v>43.629638800000002</v>
      </c>
      <c r="S81">
        <v>780.55536700000005</v>
      </c>
      <c r="T81">
        <v>1.80105969E-16</v>
      </c>
      <c r="U81">
        <v>19.156332146973103</v>
      </c>
      <c r="V81">
        <v>91.850000000000009</v>
      </c>
      <c r="W81">
        <v>-238.87769977342677</v>
      </c>
      <c r="X81">
        <v>62.8408303</v>
      </c>
      <c r="Y81">
        <v>92.759518700000001</v>
      </c>
      <c r="Z81">
        <v>177.97</v>
      </c>
      <c r="AA81">
        <v>231.15201999999999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5.5545848162836204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3">
      <c r="A82">
        <v>930</v>
      </c>
      <c r="B82">
        <v>30</v>
      </c>
      <c r="C82">
        <v>15</v>
      </c>
      <c r="D82">
        <v>2.95</v>
      </c>
      <c r="E82">
        <v>20</v>
      </c>
      <c r="F82">
        <v>12</v>
      </c>
      <c r="G82">
        <v>0.56747999999999998</v>
      </c>
      <c r="H82">
        <v>10</v>
      </c>
      <c r="I82">
        <v>12</v>
      </c>
      <c r="J82">
        <v>1.4</v>
      </c>
      <c r="K82">
        <v>583536740.96979654</v>
      </c>
      <c r="L82">
        <v>50142700</v>
      </c>
      <c r="M82">
        <v>79694718.813380092</v>
      </c>
      <c r="N82">
        <v>71703900</v>
      </c>
      <c r="O82">
        <v>15885042.4</v>
      </c>
      <c r="P82">
        <v>225.29723200000001</v>
      </c>
      <c r="Q82">
        <v>1.3358283327546734</v>
      </c>
      <c r="R82">
        <v>43.629638800000002</v>
      </c>
      <c r="S82">
        <v>780.55536700000005</v>
      </c>
      <c r="T82">
        <v>1.80105969E-16</v>
      </c>
      <c r="U82">
        <v>19.156332146973103</v>
      </c>
      <c r="V82">
        <v>91.850000000000009</v>
      </c>
      <c r="W82">
        <v>-238.87769977342677</v>
      </c>
      <c r="X82">
        <v>62.8408303</v>
      </c>
      <c r="Y82">
        <v>92.759518700000001</v>
      </c>
      <c r="Z82">
        <v>177.97</v>
      </c>
      <c r="AA82">
        <v>231.15201999999999</v>
      </c>
      <c r="AB82">
        <v>99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5.5545848162836204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3">
      <c r="A83">
        <v>930</v>
      </c>
      <c r="B83">
        <v>30</v>
      </c>
      <c r="C83">
        <v>15</v>
      </c>
      <c r="D83">
        <v>2.95</v>
      </c>
      <c r="E83">
        <v>20</v>
      </c>
      <c r="F83">
        <v>12</v>
      </c>
      <c r="G83">
        <v>0.56747999999999998</v>
      </c>
      <c r="H83">
        <v>12</v>
      </c>
      <c r="I83">
        <v>12</v>
      </c>
      <c r="J83">
        <v>1.4</v>
      </c>
      <c r="K83">
        <v>583536740.96979654</v>
      </c>
      <c r="L83">
        <v>50142700</v>
      </c>
      <c r="M83">
        <v>79694718.813380092</v>
      </c>
      <c r="N83">
        <v>71703900</v>
      </c>
      <c r="O83">
        <v>15885042.4</v>
      </c>
      <c r="P83">
        <v>225.29723200000001</v>
      </c>
      <c r="Q83">
        <v>1.3358283327546734</v>
      </c>
      <c r="R83">
        <v>43.629638800000002</v>
      </c>
      <c r="S83">
        <v>780.55536700000005</v>
      </c>
      <c r="T83">
        <v>1.80105969E-16</v>
      </c>
      <c r="U83">
        <v>19.156332146973103</v>
      </c>
      <c r="V83">
        <v>91.850000000000009</v>
      </c>
      <c r="W83">
        <v>-238.87769977342677</v>
      </c>
      <c r="X83">
        <v>62.8408303</v>
      </c>
      <c r="Y83">
        <v>92.759518700000001</v>
      </c>
      <c r="Z83">
        <v>177.97</v>
      </c>
      <c r="AA83">
        <v>231.15201999999999</v>
      </c>
      <c r="AB83">
        <v>99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5.5545848162836204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>
        <v>930</v>
      </c>
      <c r="B84">
        <v>30</v>
      </c>
      <c r="C84">
        <v>15</v>
      </c>
      <c r="D84">
        <v>2.95</v>
      </c>
      <c r="E84">
        <v>20</v>
      </c>
      <c r="F84">
        <v>12</v>
      </c>
      <c r="G84">
        <v>0.56747999999999998</v>
      </c>
      <c r="H84">
        <v>14</v>
      </c>
      <c r="I84">
        <v>12</v>
      </c>
      <c r="J84">
        <v>1.4</v>
      </c>
      <c r="K84">
        <v>583289015.61875367</v>
      </c>
      <c r="L84">
        <v>50126100</v>
      </c>
      <c r="M84">
        <v>79694818.859193519</v>
      </c>
      <c r="N84">
        <v>71786900</v>
      </c>
      <c r="O84">
        <v>15885277.040000001</v>
      </c>
      <c r="P84">
        <v>226.52711099999999</v>
      </c>
      <c r="Q84">
        <v>1.3258924573001658</v>
      </c>
      <c r="R84">
        <v>43.609273299999998</v>
      </c>
      <c r="S84">
        <v>779.47625700000003</v>
      </c>
      <c r="T84">
        <v>1.03755675E-15</v>
      </c>
      <c r="U84">
        <v>19.185748613020532</v>
      </c>
      <c r="V84">
        <v>91.850000000000009</v>
      </c>
      <c r="W84">
        <v>-239.22686123193125</v>
      </c>
      <c r="X84">
        <v>62.864428599999997</v>
      </c>
      <c r="Y84">
        <v>92.771425600000001</v>
      </c>
      <c r="Z84">
        <v>165.7</v>
      </c>
      <c r="AA84">
        <v>233.19543100000001</v>
      </c>
      <c r="AB84">
        <v>99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5.5178142337243337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3">
      <c r="A85">
        <v>930</v>
      </c>
      <c r="B85">
        <v>30</v>
      </c>
      <c r="C85">
        <v>15</v>
      </c>
      <c r="D85">
        <v>2.95</v>
      </c>
      <c r="E85">
        <v>20</v>
      </c>
      <c r="F85">
        <v>12</v>
      </c>
      <c r="G85">
        <v>0.56747999999999998</v>
      </c>
      <c r="H85">
        <v>16</v>
      </c>
      <c r="I85">
        <v>12</v>
      </c>
      <c r="J85">
        <v>1.4</v>
      </c>
      <c r="K85">
        <v>583323523.72046852</v>
      </c>
      <c r="L85">
        <v>50125800</v>
      </c>
      <c r="M85">
        <v>79694718.859193519</v>
      </c>
      <c r="N85">
        <v>71705700</v>
      </c>
      <c r="O85">
        <v>15885088.799999999</v>
      </c>
      <c r="P85">
        <v>226.325818</v>
      </c>
      <c r="Q85">
        <v>1.3287531076342867</v>
      </c>
      <c r="R85">
        <v>43.608348200000002</v>
      </c>
      <c r="S85">
        <v>779.53103399999998</v>
      </c>
      <c r="T85">
        <v>1.0400342100000001E-15</v>
      </c>
      <c r="U85">
        <v>19.202589290766838</v>
      </c>
      <c r="V85">
        <v>91.850000000000009</v>
      </c>
      <c r="W85">
        <v>-238.89560333157343</v>
      </c>
      <c r="X85">
        <v>62.845845400000002</v>
      </c>
      <c r="Y85">
        <v>92.762023400000004</v>
      </c>
      <c r="Z85">
        <v>165.7</v>
      </c>
      <c r="AA85">
        <v>231.910901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5.4967633865414527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>
        <v>930</v>
      </c>
      <c r="B86">
        <v>30</v>
      </c>
      <c r="C86">
        <v>15</v>
      </c>
      <c r="D86">
        <v>2.95</v>
      </c>
      <c r="E86">
        <v>20</v>
      </c>
      <c r="F86">
        <v>12</v>
      </c>
      <c r="G86">
        <v>0.56747999999999998</v>
      </c>
      <c r="H86">
        <v>18</v>
      </c>
      <c r="I86">
        <v>12</v>
      </c>
      <c r="J86">
        <v>1.4</v>
      </c>
      <c r="K86">
        <v>583398229.35016227</v>
      </c>
      <c r="L86">
        <v>50125800</v>
      </c>
      <c r="M86">
        <v>79694718.859193519</v>
      </c>
      <c r="N86">
        <v>71680000</v>
      </c>
      <c r="O86">
        <v>15885049.76</v>
      </c>
      <c r="P86">
        <v>226.28267099999999</v>
      </c>
      <c r="Q86">
        <v>1.3297319477829574</v>
      </c>
      <c r="R86">
        <v>43.608149699999998</v>
      </c>
      <c r="S86">
        <v>779.54278799999997</v>
      </c>
      <c r="T86">
        <v>1.04056624E-15</v>
      </c>
      <c r="U86">
        <v>19.206202960937834</v>
      </c>
      <c r="V86">
        <v>91.850000000000009</v>
      </c>
      <c r="W86">
        <v>-238.82452853618321</v>
      </c>
      <c r="X86">
        <v>62.841859800000002</v>
      </c>
      <c r="Y86">
        <v>92.760007900000005</v>
      </c>
      <c r="Z86">
        <v>165.7</v>
      </c>
      <c r="AA86">
        <v>231.469829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5.4922462988277072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>
        <v>930</v>
      </c>
      <c r="B87">
        <v>30</v>
      </c>
      <c r="C87">
        <v>15</v>
      </c>
      <c r="D87">
        <v>2.95</v>
      </c>
      <c r="E87">
        <v>20</v>
      </c>
      <c r="F87">
        <v>12</v>
      </c>
      <c r="G87">
        <v>0.56747999999999998</v>
      </c>
      <c r="H87">
        <v>20</v>
      </c>
      <c r="I87">
        <v>12</v>
      </c>
      <c r="J87">
        <v>1.4</v>
      </c>
      <c r="K87">
        <v>583425287.09321034</v>
      </c>
      <c r="L87">
        <v>50125800</v>
      </c>
      <c r="M87">
        <v>79694718.824063033</v>
      </c>
      <c r="N87">
        <v>71667300</v>
      </c>
      <c r="O87">
        <v>15885049.76</v>
      </c>
      <c r="P87">
        <v>226.271209</v>
      </c>
      <c r="Q87">
        <v>1.3301282500838421</v>
      </c>
      <c r="R87">
        <v>43.6080969</v>
      </c>
      <c r="S87">
        <v>779.54591100000005</v>
      </c>
      <c r="T87">
        <v>1.0407077699999999E-15</v>
      </c>
      <c r="U87">
        <v>19.207163182540537</v>
      </c>
      <c r="V87">
        <v>91.850000000000009</v>
      </c>
      <c r="W87">
        <v>-238.8056443034265</v>
      </c>
      <c r="X87">
        <v>62.840800999999999</v>
      </c>
      <c r="Y87">
        <v>92.759472500000001</v>
      </c>
      <c r="Z87">
        <v>165.7</v>
      </c>
      <c r="AA87">
        <v>231.17583999999999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5.491046021824328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">
      <c r="A88">
        <v>930</v>
      </c>
      <c r="B88">
        <v>30</v>
      </c>
      <c r="C88">
        <v>15</v>
      </c>
      <c r="D88">
        <v>2.95</v>
      </c>
      <c r="E88">
        <v>20</v>
      </c>
      <c r="F88">
        <v>12</v>
      </c>
      <c r="G88">
        <v>0.56747999999999998</v>
      </c>
      <c r="H88">
        <v>21</v>
      </c>
      <c r="I88">
        <v>12</v>
      </c>
      <c r="J88">
        <v>1.4</v>
      </c>
      <c r="K88">
        <v>583450675.13204336</v>
      </c>
      <c r="L88">
        <v>50143500</v>
      </c>
      <c r="M88">
        <v>79694718.824063033</v>
      </c>
      <c r="N88">
        <v>71663100</v>
      </c>
      <c r="O88">
        <v>15885049.76</v>
      </c>
      <c r="P88">
        <v>226.26907700000001</v>
      </c>
      <c r="Q88">
        <v>1.3306442052220029</v>
      </c>
      <c r="R88">
        <v>43.6080969</v>
      </c>
      <c r="S88">
        <v>779.54591100000005</v>
      </c>
      <c r="T88">
        <v>1.0407339699999999E-15</v>
      </c>
      <c r="U88">
        <v>19.207341800911731</v>
      </c>
      <c r="V88">
        <v>91.850000000000009</v>
      </c>
      <c r="W88">
        <v>-238.80213071912445</v>
      </c>
      <c r="X88">
        <v>62.840603999999999</v>
      </c>
      <c r="Y88">
        <v>92.759372900000002</v>
      </c>
      <c r="Z88">
        <v>165.7</v>
      </c>
      <c r="AA88">
        <v>231.03752700000001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5.4908227488603352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">
      <c r="A89">
        <v>930</v>
      </c>
      <c r="B89">
        <v>30</v>
      </c>
      <c r="C89">
        <v>15</v>
      </c>
      <c r="D89">
        <v>2.95</v>
      </c>
      <c r="E89">
        <v>20</v>
      </c>
      <c r="F89">
        <v>12</v>
      </c>
      <c r="G89">
        <v>0.56747999999999998</v>
      </c>
      <c r="H89">
        <v>23</v>
      </c>
      <c r="I89">
        <v>12</v>
      </c>
      <c r="J89">
        <v>1.4</v>
      </c>
      <c r="K89">
        <v>583505241.12806582</v>
      </c>
      <c r="L89">
        <v>50143500</v>
      </c>
      <c r="M89">
        <v>79694718.824063033</v>
      </c>
      <c r="N89">
        <v>71657200</v>
      </c>
      <c r="O89">
        <v>15885032.24</v>
      </c>
      <c r="P89">
        <v>226.267303</v>
      </c>
      <c r="Q89">
        <v>1.3309334541655613</v>
      </c>
      <c r="R89">
        <v>43.6080969</v>
      </c>
      <c r="S89">
        <v>779.54697499999997</v>
      </c>
      <c r="T89">
        <v>1.0407559699999999E-15</v>
      </c>
      <c r="U89">
        <v>19.207490383728832</v>
      </c>
      <c r="V89">
        <v>91.850000000000009</v>
      </c>
      <c r="W89">
        <v>-238.799208363292</v>
      </c>
      <c r="X89">
        <v>62.840440100000002</v>
      </c>
      <c r="Y89">
        <v>92.759372900000002</v>
      </c>
      <c r="Z89">
        <v>165.7</v>
      </c>
      <c r="AA89">
        <v>230.81195399999999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5.4906370203389603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3">
      <c r="A90">
        <v>930</v>
      </c>
      <c r="B90">
        <v>30</v>
      </c>
      <c r="C90">
        <v>15</v>
      </c>
      <c r="D90">
        <v>2.95</v>
      </c>
      <c r="E90">
        <v>20</v>
      </c>
      <c r="F90">
        <v>12</v>
      </c>
      <c r="G90">
        <v>0.56747999999999998</v>
      </c>
      <c r="H90">
        <v>25</v>
      </c>
      <c r="I90">
        <v>12</v>
      </c>
      <c r="J90">
        <v>1.4</v>
      </c>
      <c r="K90">
        <v>583534605.21618712</v>
      </c>
      <c r="L90">
        <v>50143500</v>
      </c>
      <c r="M90">
        <v>79694718.824063033</v>
      </c>
      <c r="N90">
        <v>71653700</v>
      </c>
      <c r="O90">
        <v>15885032.24</v>
      </c>
      <c r="P90">
        <v>226.26675499999999</v>
      </c>
      <c r="Q90">
        <v>1.3310930600489623</v>
      </c>
      <c r="R90">
        <v>43.6080969</v>
      </c>
      <c r="S90">
        <v>779.54697499999997</v>
      </c>
      <c r="T90">
        <v>1.0407626300000001E-15</v>
      </c>
      <c r="U90">
        <v>19.207536365131833</v>
      </c>
      <c r="V90">
        <v>91.850000000000009</v>
      </c>
      <c r="W90">
        <v>-238.79826229541993</v>
      </c>
      <c r="X90">
        <v>62.840440100000002</v>
      </c>
      <c r="Y90">
        <v>92.759264400000006</v>
      </c>
      <c r="Z90">
        <v>165.7</v>
      </c>
      <c r="AA90">
        <v>230.65875600000001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5.4905795435852074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3">
      <c r="A91">
        <v>930</v>
      </c>
      <c r="B91">
        <v>30</v>
      </c>
      <c r="C91">
        <v>15</v>
      </c>
      <c r="D91">
        <v>2.95</v>
      </c>
      <c r="E91">
        <v>20</v>
      </c>
      <c r="F91">
        <v>12</v>
      </c>
      <c r="G91">
        <v>0.56747999999999998</v>
      </c>
      <c r="H91">
        <v>27</v>
      </c>
      <c r="I91">
        <v>12</v>
      </c>
      <c r="J91">
        <v>1.4</v>
      </c>
      <c r="K91">
        <v>583582665.40170133</v>
      </c>
      <c r="L91">
        <v>50143500</v>
      </c>
      <c r="M91">
        <v>79694718.824063033</v>
      </c>
      <c r="N91">
        <v>71651500</v>
      </c>
      <c r="O91">
        <v>15885032.24</v>
      </c>
      <c r="P91">
        <v>226.26675499999999</v>
      </c>
      <c r="Q91">
        <v>1.3312801730541628</v>
      </c>
      <c r="R91">
        <v>43.6080969</v>
      </c>
      <c r="S91">
        <v>779.54697499999997</v>
      </c>
      <c r="T91">
        <v>1.0407647299999999E-15</v>
      </c>
      <c r="U91">
        <v>19.207536630948134</v>
      </c>
      <c r="V91">
        <v>91.850000000000009</v>
      </c>
      <c r="W91">
        <v>-238.79797179962458</v>
      </c>
      <c r="X91">
        <v>62.840374799999999</v>
      </c>
      <c r="Y91">
        <v>92.759264400000006</v>
      </c>
      <c r="Z91">
        <v>165.7</v>
      </c>
      <c r="AA91">
        <v>230.56317799999999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5.4905792113148326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3">
      <c r="A92">
        <v>930</v>
      </c>
      <c r="B92">
        <v>30</v>
      </c>
      <c r="C92">
        <v>15</v>
      </c>
      <c r="D92">
        <v>2.95</v>
      </c>
      <c r="E92">
        <v>20</v>
      </c>
      <c r="F92">
        <v>12</v>
      </c>
      <c r="G92">
        <v>0.56747999999999998</v>
      </c>
      <c r="H92">
        <v>29</v>
      </c>
      <c r="I92">
        <v>12</v>
      </c>
      <c r="J92">
        <v>1.4</v>
      </c>
      <c r="K92">
        <v>583642795.05152297</v>
      </c>
      <c r="L92">
        <v>50143500</v>
      </c>
      <c r="M92">
        <v>79694718.824063033</v>
      </c>
      <c r="N92">
        <v>71650200</v>
      </c>
      <c r="O92">
        <v>15885032.24</v>
      </c>
      <c r="P92">
        <v>226.26675499999999</v>
      </c>
      <c r="Q92">
        <v>1.3314859388709142</v>
      </c>
      <c r="R92">
        <v>43.6080969</v>
      </c>
      <c r="S92">
        <v>779.54697499999997</v>
      </c>
      <c r="T92">
        <v>1.0407647299999999E-15</v>
      </c>
      <c r="U92">
        <v>19.207536630948134</v>
      </c>
      <c r="V92">
        <v>91.850000000000009</v>
      </c>
      <c r="W92">
        <v>-238.7979738104051</v>
      </c>
      <c r="X92">
        <v>62.840374799999999</v>
      </c>
      <c r="Y92">
        <v>92.759264400000006</v>
      </c>
      <c r="Z92">
        <v>165.7</v>
      </c>
      <c r="AA92">
        <v>230.50655699999999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5.4905792113148326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3">
      <c r="A93">
        <v>930</v>
      </c>
      <c r="B93">
        <v>30</v>
      </c>
      <c r="C93">
        <v>15</v>
      </c>
      <c r="D93">
        <v>2.95</v>
      </c>
      <c r="E93">
        <v>20</v>
      </c>
      <c r="F93">
        <v>12</v>
      </c>
      <c r="G93">
        <v>0.56747999999999998</v>
      </c>
      <c r="H93">
        <v>20</v>
      </c>
      <c r="I93">
        <v>7</v>
      </c>
      <c r="J93">
        <v>1.4</v>
      </c>
      <c r="K93">
        <v>583424888.22158778</v>
      </c>
      <c r="L93">
        <v>50125800</v>
      </c>
      <c r="M93">
        <v>79694718.824063033</v>
      </c>
      <c r="N93">
        <v>71668500</v>
      </c>
      <c r="O93">
        <v>15885032.24</v>
      </c>
      <c r="P93">
        <v>226.26602299999999</v>
      </c>
      <c r="Q93">
        <v>1.3301341283872592</v>
      </c>
      <c r="R93">
        <v>43.6080969</v>
      </c>
      <c r="S93">
        <v>779.54697499999997</v>
      </c>
      <c r="T93">
        <v>1.04077174E-15</v>
      </c>
      <c r="U93">
        <v>19.207597606920235</v>
      </c>
      <c r="V93">
        <v>91.850000000000009</v>
      </c>
      <c r="W93">
        <v>-238.79709886890004</v>
      </c>
      <c r="X93">
        <v>62.840374799999999</v>
      </c>
      <c r="Y93">
        <v>92.759264400000006</v>
      </c>
      <c r="Z93">
        <v>165.7</v>
      </c>
      <c r="AA93">
        <v>231.220932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5.4905029913497057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3">
      <c r="A94">
        <v>930</v>
      </c>
      <c r="B94">
        <v>30</v>
      </c>
      <c r="C94">
        <v>15</v>
      </c>
      <c r="D94">
        <v>2.95</v>
      </c>
      <c r="E94">
        <v>20</v>
      </c>
      <c r="F94">
        <v>12</v>
      </c>
      <c r="G94">
        <v>0.56747999999999998</v>
      </c>
      <c r="H94">
        <v>20</v>
      </c>
      <c r="I94">
        <v>8</v>
      </c>
      <c r="J94">
        <v>1.4</v>
      </c>
      <c r="K94">
        <v>583425131.94174826</v>
      </c>
      <c r="L94">
        <v>50125800</v>
      </c>
      <c r="M94">
        <v>79694718.824063033</v>
      </c>
      <c r="N94">
        <v>71666300</v>
      </c>
      <c r="O94">
        <v>15885032.24</v>
      </c>
      <c r="P94">
        <v>226.266853</v>
      </c>
      <c r="Q94">
        <v>1.3301729011397168</v>
      </c>
      <c r="R94">
        <v>43.6080969</v>
      </c>
      <c r="S94">
        <v>779.54697499999997</v>
      </c>
      <c r="T94">
        <v>1.0407613699999999E-15</v>
      </c>
      <c r="U94">
        <v>19.207528042384233</v>
      </c>
      <c r="V94">
        <v>91.850000000000009</v>
      </c>
      <c r="W94">
        <v>-238.79852972171562</v>
      </c>
      <c r="X94">
        <v>62.840374799999999</v>
      </c>
      <c r="Y94">
        <v>92.759264400000006</v>
      </c>
      <c r="Z94">
        <v>165.7</v>
      </c>
      <c r="AA94">
        <v>231.15599700000001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5.4905899470197088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3">
      <c r="A95">
        <v>930</v>
      </c>
      <c r="B95">
        <v>30</v>
      </c>
      <c r="C95">
        <v>15</v>
      </c>
      <c r="D95">
        <v>2.95</v>
      </c>
      <c r="E95">
        <v>20</v>
      </c>
      <c r="F95">
        <v>12</v>
      </c>
      <c r="G95">
        <v>0.56747999999999998</v>
      </c>
      <c r="H95">
        <v>20</v>
      </c>
      <c r="I95">
        <v>8</v>
      </c>
      <c r="J95">
        <v>1.4</v>
      </c>
      <c r="K95">
        <v>583425131.94174826</v>
      </c>
      <c r="L95">
        <v>50125800</v>
      </c>
      <c r="M95">
        <v>79694718.824063033</v>
      </c>
      <c r="N95">
        <v>71666300</v>
      </c>
      <c r="O95">
        <v>15885032.24</v>
      </c>
      <c r="P95">
        <v>226.266853</v>
      </c>
      <c r="Q95">
        <v>1.3301729011397168</v>
      </c>
      <c r="R95">
        <v>43.6080969</v>
      </c>
      <c r="S95">
        <v>779.54697499999997</v>
      </c>
      <c r="T95">
        <v>1.0407613699999999E-15</v>
      </c>
      <c r="U95">
        <v>19.207528042384233</v>
      </c>
      <c r="V95">
        <v>91.850000000000009</v>
      </c>
      <c r="W95">
        <v>-238.79852972171562</v>
      </c>
      <c r="X95">
        <v>62.840374799999999</v>
      </c>
      <c r="Y95">
        <v>92.759264400000006</v>
      </c>
      <c r="Z95">
        <v>165.7</v>
      </c>
      <c r="AA95">
        <v>231.15599700000001</v>
      </c>
      <c r="AB95">
        <v>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5.4905899470197088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3">
      <c r="A96">
        <v>930</v>
      </c>
      <c r="B96">
        <v>30</v>
      </c>
      <c r="C96">
        <v>15</v>
      </c>
      <c r="D96">
        <v>2.95</v>
      </c>
      <c r="E96">
        <v>20</v>
      </c>
      <c r="F96">
        <v>12</v>
      </c>
      <c r="G96">
        <v>0.56747999999999998</v>
      </c>
      <c r="H96">
        <v>20</v>
      </c>
      <c r="I96">
        <v>9</v>
      </c>
      <c r="J96">
        <v>1.4</v>
      </c>
      <c r="K96">
        <v>583425252.18902302</v>
      </c>
      <c r="L96">
        <v>50125800</v>
      </c>
      <c r="M96">
        <v>79694718.824063033</v>
      </c>
      <c r="N96">
        <v>71665300</v>
      </c>
      <c r="O96">
        <v>15885032.24</v>
      </c>
      <c r="P96">
        <v>226.26735600000001</v>
      </c>
      <c r="Q96">
        <v>1.3301898142913993</v>
      </c>
      <c r="R96">
        <v>43.6080969</v>
      </c>
      <c r="S96">
        <v>779.54697499999997</v>
      </c>
      <c r="T96">
        <v>1.04075525E-15</v>
      </c>
      <c r="U96">
        <v>19.207485953379035</v>
      </c>
      <c r="V96">
        <v>91.850000000000009</v>
      </c>
      <c r="W96">
        <v>-238.79929595649179</v>
      </c>
      <c r="X96">
        <v>62.840445000000003</v>
      </c>
      <c r="Y96">
        <v>92.759264400000006</v>
      </c>
      <c r="Z96">
        <v>165.7</v>
      </c>
      <c r="AA96">
        <v>231.12341799999999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5.4906425582762068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3">
      <c r="A97">
        <v>930</v>
      </c>
      <c r="B97">
        <v>30</v>
      </c>
      <c r="C97">
        <v>15</v>
      </c>
      <c r="D97">
        <v>2.95</v>
      </c>
      <c r="E97">
        <v>20</v>
      </c>
      <c r="F97">
        <v>12</v>
      </c>
      <c r="G97">
        <v>0.56747999999999998</v>
      </c>
      <c r="H97">
        <v>20</v>
      </c>
      <c r="I97">
        <v>10</v>
      </c>
      <c r="J97">
        <v>1.4</v>
      </c>
      <c r="K97">
        <v>583425281.86135459</v>
      </c>
      <c r="L97">
        <v>50125800</v>
      </c>
      <c r="M97">
        <v>79694718.824063033</v>
      </c>
      <c r="N97">
        <v>71665100</v>
      </c>
      <c r="O97">
        <v>15885032.24</v>
      </c>
      <c r="P97">
        <v>226.268023</v>
      </c>
      <c r="Q97">
        <v>1.3301898840084043</v>
      </c>
      <c r="R97">
        <v>43.6080969</v>
      </c>
      <c r="S97">
        <v>779.54697499999997</v>
      </c>
      <c r="T97">
        <v>1.04074696E-15</v>
      </c>
      <c r="U97">
        <v>19.207430128001132</v>
      </c>
      <c r="V97">
        <v>91.850000000000009</v>
      </c>
      <c r="W97">
        <v>-238.8004446805144</v>
      </c>
      <c r="X97">
        <v>62.840445000000003</v>
      </c>
      <c r="Y97">
        <v>92.759264400000006</v>
      </c>
      <c r="Z97">
        <v>165.7</v>
      </c>
      <c r="AA97">
        <v>231.11749499999999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5.4907123399985842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3">
      <c r="A98">
        <v>930</v>
      </c>
      <c r="B98">
        <v>30</v>
      </c>
      <c r="C98">
        <v>15</v>
      </c>
      <c r="D98">
        <v>2.95</v>
      </c>
      <c r="E98">
        <v>20</v>
      </c>
      <c r="F98">
        <v>12</v>
      </c>
      <c r="G98">
        <v>0.56747999999999998</v>
      </c>
      <c r="H98">
        <v>20</v>
      </c>
      <c r="I98">
        <v>10</v>
      </c>
      <c r="J98">
        <v>1.4</v>
      </c>
      <c r="K98">
        <v>583425281.86135459</v>
      </c>
      <c r="L98">
        <v>50125800</v>
      </c>
      <c r="M98">
        <v>79694718.824063033</v>
      </c>
      <c r="N98">
        <v>71665100</v>
      </c>
      <c r="O98">
        <v>15885032.24</v>
      </c>
      <c r="P98">
        <v>226.268023</v>
      </c>
      <c r="Q98">
        <v>1.3301898840084043</v>
      </c>
      <c r="R98">
        <v>43.6080969</v>
      </c>
      <c r="S98">
        <v>779.54697499999997</v>
      </c>
      <c r="T98">
        <v>1.04074696E-15</v>
      </c>
      <c r="U98">
        <v>19.207430128001132</v>
      </c>
      <c r="V98">
        <v>91.850000000000009</v>
      </c>
      <c r="W98">
        <v>-238.8004446805144</v>
      </c>
      <c r="X98">
        <v>62.840445000000003</v>
      </c>
      <c r="Y98">
        <v>92.759264400000006</v>
      </c>
      <c r="Z98">
        <v>165.7</v>
      </c>
      <c r="AA98">
        <v>231.11749499999999</v>
      </c>
      <c r="AB98">
        <v>99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5.4907123399985842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3">
      <c r="A99">
        <v>930</v>
      </c>
      <c r="B99">
        <v>30</v>
      </c>
      <c r="C99">
        <v>15</v>
      </c>
      <c r="D99">
        <v>2.95</v>
      </c>
      <c r="E99">
        <v>20</v>
      </c>
      <c r="F99">
        <v>12</v>
      </c>
      <c r="G99">
        <v>0.56747999999999998</v>
      </c>
      <c r="H99">
        <v>20</v>
      </c>
      <c r="I99">
        <v>11</v>
      </c>
      <c r="J99">
        <v>1.4</v>
      </c>
      <c r="K99">
        <v>583425239.82966578</v>
      </c>
      <c r="L99">
        <v>50125800</v>
      </c>
      <c r="M99">
        <v>79694718.824063033</v>
      </c>
      <c r="N99">
        <v>71665800</v>
      </c>
      <c r="O99">
        <v>15885032.24</v>
      </c>
      <c r="P99">
        <v>226.26916800000001</v>
      </c>
      <c r="Q99">
        <v>1.3301693702136705</v>
      </c>
      <c r="R99">
        <v>43.6080969</v>
      </c>
      <c r="S99">
        <v>779.54697499999997</v>
      </c>
      <c r="T99">
        <v>1.0407329599999999E-15</v>
      </c>
      <c r="U99">
        <v>19.207334201289434</v>
      </c>
      <c r="V99">
        <v>91.850000000000009</v>
      </c>
      <c r="W99">
        <v>-238.80228006149528</v>
      </c>
      <c r="X99">
        <v>62.840612299999997</v>
      </c>
      <c r="Y99">
        <v>92.759377099999995</v>
      </c>
      <c r="Z99">
        <v>165.7</v>
      </c>
      <c r="AA99">
        <v>231.135245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5.490832248388207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3">
      <c r="A100">
        <v>930</v>
      </c>
      <c r="B100">
        <v>30</v>
      </c>
      <c r="C100">
        <v>15</v>
      </c>
      <c r="D100">
        <v>2.95</v>
      </c>
      <c r="E100">
        <v>20</v>
      </c>
      <c r="F100">
        <v>12</v>
      </c>
      <c r="G100">
        <v>0.56747999999999998</v>
      </c>
      <c r="H100">
        <v>20</v>
      </c>
      <c r="I100">
        <v>12</v>
      </c>
      <c r="J100">
        <v>1.4</v>
      </c>
      <c r="K100">
        <v>583425129.29762483</v>
      </c>
      <c r="L100">
        <v>50125800</v>
      </c>
      <c r="M100">
        <v>79694718.824063033</v>
      </c>
      <c r="N100">
        <v>71667300</v>
      </c>
      <c r="O100">
        <v>15885032.24</v>
      </c>
      <c r="P100">
        <v>226.271209</v>
      </c>
      <c r="Q100">
        <v>1.3301277766681476</v>
      </c>
      <c r="R100">
        <v>43.6080969</v>
      </c>
      <c r="S100">
        <v>779.54591100000005</v>
      </c>
      <c r="T100">
        <v>1.0407077699999999E-15</v>
      </c>
      <c r="U100">
        <v>19.207163182540537</v>
      </c>
      <c r="V100">
        <v>91.850000000000009</v>
      </c>
      <c r="W100">
        <v>-238.8056443034265</v>
      </c>
      <c r="X100">
        <v>62.840800999999999</v>
      </c>
      <c r="Y100">
        <v>92.759472500000001</v>
      </c>
      <c r="Z100">
        <v>165.7</v>
      </c>
      <c r="AA100">
        <v>231.17583999999999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5.491046021824328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3">
      <c r="A101">
        <v>930</v>
      </c>
      <c r="B101">
        <v>30</v>
      </c>
      <c r="C101">
        <v>15</v>
      </c>
      <c r="D101">
        <v>2.95</v>
      </c>
      <c r="E101">
        <v>20</v>
      </c>
      <c r="F101">
        <v>12</v>
      </c>
      <c r="G101">
        <v>0.56747999999999998</v>
      </c>
      <c r="H101">
        <v>20</v>
      </c>
      <c r="I101">
        <v>13</v>
      </c>
      <c r="J101">
        <v>1.4</v>
      </c>
      <c r="K101">
        <v>583424939.94108164</v>
      </c>
      <c r="L101">
        <v>50125800</v>
      </c>
      <c r="M101">
        <v>79694718.824063033</v>
      </c>
      <c r="N101">
        <v>71669900</v>
      </c>
      <c r="O101">
        <v>15885032.24</v>
      </c>
      <c r="P101">
        <v>226.27493799999999</v>
      </c>
      <c r="Q101">
        <v>1.3300545653887448</v>
      </c>
      <c r="R101">
        <v>43.6080969</v>
      </c>
      <c r="S101">
        <v>779.544895</v>
      </c>
      <c r="T101">
        <v>1.0406617399999999E-15</v>
      </c>
      <c r="U101">
        <v>19.206850828692133</v>
      </c>
      <c r="V101">
        <v>91.850000000000009</v>
      </c>
      <c r="W101">
        <v>-238.81178776300766</v>
      </c>
      <c r="X101">
        <v>62.841145400000002</v>
      </c>
      <c r="Y101">
        <v>92.759646700000005</v>
      </c>
      <c r="Z101">
        <v>165.7</v>
      </c>
      <c r="AA101">
        <v>231.24041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5.4914364641348339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3">
      <c r="A102">
        <v>930</v>
      </c>
      <c r="B102">
        <v>30</v>
      </c>
      <c r="C102">
        <v>15</v>
      </c>
      <c r="D102">
        <v>2.95</v>
      </c>
      <c r="E102">
        <v>20</v>
      </c>
      <c r="F102">
        <v>12</v>
      </c>
      <c r="G102">
        <v>0.56747999999999998</v>
      </c>
      <c r="H102">
        <v>20</v>
      </c>
      <c r="I102">
        <v>13</v>
      </c>
      <c r="J102">
        <v>1.4</v>
      </c>
      <c r="K102">
        <v>583424939.94108164</v>
      </c>
      <c r="L102">
        <v>50125800</v>
      </c>
      <c r="M102">
        <v>79694718.824063033</v>
      </c>
      <c r="N102">
        <v>71669900</v>
      </c>
      <c r="O102">
        <v>15885032.24</v>
      </c>
      <c r="P102">
        <v>226.27493799999999</v>
      </c>
      <c r="Q102">
        <v>1.3300545653887448</v>
      </c>
      <c r="R102">
        <v>43.6080969</v>
      </c>
      <c r="S102">
        <v>779.544895</v>
      </c>
      <c r="T102">
        <v>1.0406617399999999E-15</v>
      </c>
      <c r="U102">
        <v>19.206850828692133</v>
      </c>
      <c r="V102">
        <v>91.850000000000009</v>
      </c>
      <c r="W102">
        <v>-238.81178776300766</v>
      </c>
      <c r="X102">
        <v>62.841145400000002</v>
      </c>
      <c r="Y102">
        <v>92.759646700000005</v>
      </c>
      <c r="Z102">
        <v>165.7</v>
      </c>
      <c r="AA102">
        <v>231.24041</v>
      </c>
      <c r="AB102">
        <v>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5.4914364641348339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3">
      <c r="A103">
        <v>930</v>
      </c>
      <c r="B103">
        <v>30</v>
      </c>
      <c r="C103">
        <v>15</v>
      </c>
      <c r="D103">
        <v>2.95</v>
      </c>
      <c r="E103">
        <v>20</v>
      </c>
      <c r="F103">
        <v>12</v>
      </c>
      <c r="G103">
        <v>0.56747999999999998</v>
      </c>
      <c r="H103">
        <v>20</v>
      </c>
      <c r="I103">
        <v>14</v>
      </c>
      <c r="J103">
        <v>1.4</v>
      </c>
      <c r="K103">
        <v>583424657.05278504</v>
      </c>
      <c r="L103">
        <v>50125800</v>
      </c>
      <c r="M103">
        <v>79694718.824063033</v>
      </c>
      <c r="N103">
        <v>71674100</v>
      </c>
      <c r="O103">
        <v>15885032.24</v>
      </c>
      <c r="P103">
        <v>226.28187299999999</v>
      </c>
      <c r="Q103">
        <v>1.3299310194822858</v>
      </c>
      <c r="R103">
        <v>43.608145999999998</v>
      </c>
      <c r="S103">
        <v>779.54300499999999</v>
      </c>
      <c r="T103">
        <v>1.0405761899999999E-15</v>
      </c>
      <c r="U103">
        <v>19.206269831258137</v>
      </c>
      <c r="V103">
        <v>91.850000000000009</v>
      </c>
      <c r="W103">
        <v>-238.82321377751632</v>
      </c>
      <c r="X103">
        <v>62.8417861</v>
      </c>
      <c r="Y103">
        <v>92.759970600000003</v>
      </c>
      <c r="Z103">
        <v>165.7</v>
      </c>
      <c r="AA103">
        <v>231.331974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5.4921627109273281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3">
      <c r="A104">
        <v>930</v>
      </c>
      <c r="B104">
        <v>30</v>
      </c>
      <c r="C104">
        <v>15</v>
      </c>
      <c r="D104">
        <v>2.95</v>
      </c>
      <c r="E104">
        <v>20</v>
      </c>
      <c r="F104">
        <v>12</v>
      </c>
      <c r="G104">
        <v>0.56747999999999998</v>
      </c>
      <c r="H104">
        <v>20</v>
      </c>
      <c r="I104">
        <v>12</v>
      </c>
      <c r="J104">
        <v>0.3</v>
      </c>
      <c r="K104">
        <v>583274697.38416147</v>
      </c>
      <c r="L104">
        <v>50134000</v>
      </c>
      <c r="M104">
        <v>79702126.86811994</v>
      </c>
      <c r="N104">
        <v>71800200</v>
      </c>
      <c r="O104">
        <v>15887049.6</v>
      </c>
      <c r="P104">
        <v>225.732326</v>
      </c>
      <c r="Q104">
        <v>1.3304121555134507</v>
      </c>
      <c r="R104">
        <v>43.605611699999997</v>
      </c>
      <c r="S104">
        <v>779.69309699999997</v>
      </c>
      <c r="T104">
        <v>1.0473861799999999E-15</v>
      </c>
      <c r="U104">
        <v>19.252415076587134</v>
      </c>
      <c r="V104">
        <v>91.850000000000009</v>
      </c>
      <c r="W104">
        <v>-237.91580963995202</v>
      </c>
      <c r="X104">
        <v>62.790951900000003</v>
      </c>
      <c r="Y104">
        <v>92.734296700000002</v>
      </c>
      <c r="Z104">
        <v>165.7</v>
      </c>
      <c r="AA104">
        <v>235.69831500000001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5.4344811542660825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3">
      <c r="A105">
        <v>930</v>
      </c>
      <c r="B105">
        <v>30</v>
      </c>
      <c r="C105">
        <v>15</v>
      </c>
      <c r="D105">
        <v>2.95</v>
      </c>
      <c r="E105">
        <v>20</v>
      </c>
      <c r="F105">
        <v>12</v>
      </c>
      <c r="G105">
        <v>0.56747999999999998</v>
      </c>
      <c r="H105">
        <v>20</v>
      </c>
      <c r="I105">
        <v>12</v>
      </c>
      <c r="J105">
        <v>0.41</v>
      </c>
      <c r="K105">
        <v>583242825.37612569</v>
      </c>
      <c r="L105">
        <v>50126700</v>
      </c>
      <c r="M105">
        <v>79694918.96314685</v>
      </c>
      <c r="N105">
        <v>71795900</v>
      </c>
      <c r="O105">
        <v>15885095.119999999</v>
      </c>
      <c r="P105">
        <v>226.29053400000001</v>
      </c>
      <c r="Q105">
        <v>1.3269761911691809</v>
      </c>
      <c r="R105">
        <v>43.608185900000002</v>
      </c>
      <c r="S105">
        <v>779.54064499999993</v>
      </c>
      <c r="T105">
        <v>1.0404691600000001E-15</v>
      </c>
      <c r="U105">
        <v>19.205544285636133</v>
      </c>
      <c r="V105">
        <v>91.850000000000009</v>
      </c>
      <c r="W105">
        <v>-238.83748352995067</v>
      </c>
      <c r="X105">
        <v>62.842586300000001</v>
      </c>
      <c r="Y105">
        <v>92.760375199999999</v>
      </c>
      <c r="Z105">
        <v>165.7</v>
      </c>
      <c r="AA105">
        <v>233.67613800000001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5.4930696429548327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3">
      <c r="A106">
        <v>930</v>
      </c>
      <c r="B106">
        <v>30</v>
      </c>
      <c r="C106">
        <v>15</v>
      </c>
      <c r="D106">
        <v>2.95</v>
      </c>
      <c r="E106">
        <v>20</v>
      </c>
      <c r="F106">
        <v>12</v>
      </c>
      <c r="G106">
        <v>0.56747999999999998</v>
      </c>
      <c r="H106">
        <v>20</v>
      </c>
      <c r="I106">
        <v>12</v>
      </c>
      <c r="J106">
        <v>0.52</v>
      </c>
      <c r="K106">
        <v>583250893.02356505</v>
      </c>
      <c r="L106">
        <v>50126500</v>
      </c>
      <c r="M106">
        <v>79694718.845428944</v>
      </c>
      <c r="N106">
        <v>71732100</v>
      </c>
      <c r="O106">
        <v>15885058.32</v>
      </c>
      <c r="P106">
        <v>226.287398</v>
      </c>
      <c r="Q106">
        <v>1.328259471749901</v>
      </c>
      <c r="R106">
        <v>43.608185900000002</v>
      </c>
      <c r="S106">
        <v>779.54150000000004</v>
      </c>
      <c r="T106">
        <v>1.04050791E-15</v>
      </c>
      <c r="U106">
        <v>19.205807060530436</v>
      </c>
      <c r="V106">
        <v>91.850000000000009</v>
      </c>
      <c r="W106">
        <v>-238.83231590368538</v>
      </c>
      <c r="X106">
        <v>62.842296500000003</v>
      </c>
      <c r="Y106">
        <v>92.760228699999999</v>
      </c>
      <c r="Z106">
        <v>165.7</v>
      </c>
      <c r="AA106">
        <v>232.66936899999999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5.4927411743369543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3">
      <c r="A107">
        <v>930</v>
      </c>
      <c r="B107">
        <v>30</v>
      </c>
      <c r="C107">
        <v>15</v>
      </c>
      <c r="D107">
        <v>2.95</v>
      </c>
      <c r="E107">
        <v>20</v>
      </c>
      <c r="F107">
        <v>12</v>
      </c>
      <c r="G107">
        <v>0.56747999999999998</v>
      </c>
      <c r="H107">
        <v>20</v>
      </c>
      <c r="I107">
        <v>12</v>
      </c>
      <c r="J107">
        <v>0.62999999999999989</v>
      </c>
      <c r="K107">
        <v>583367682.64532185</v>
      </c>
      <c r="L107">
        <v>50126300</v>
      </c>
      <c r="M107">
        <v>79694718.845428944</v>
      </c>
      <c r="N107">
        <v>71713800</v>
      </c>
      <c r="O107">
        <v>15885058.32</v>
      </c>
      <c r="P107">
        <v>226.282569</v>
      </c>
      <c r="Q107">
        <v>1.3289912866826923</v>
      </c>
      <c r="R107">
        <v>43.608185900000002</v>
      </c>
      <c r="S107">
        <v>779.54281500000002</v>
      </c>
      <c r="T107">
        <v>1.0405675399999999E-15</v>
      </c>
      <c r="U107">
        <v>19.206211539008937</v>
      </c>
      <c r="V107">
        <v>91.850000000000009</v>
      </c>
      <c r="W107">
        <v>-238.82436083564372</v>
      </c>
      <c r="X107">
        <v>62.841850399999998</v>
      </c>
      <c r="Y107">
        <v>92.7600032</v>
      </c>
      <c r="Z107">
        <v>165.7</v>
      </c>
      <c r="AA107">
        <v>232.24455900000001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5.4922355762388282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3">
      <c r="A108">
        <v>930</v>
      </c>
      <c r="B108">
        <v>30</v>
      </c>
      <c r="C108">
        <v>15</v>
      </c>
      <c r="D108">
        <v>2.95</v>
      </c>
      <c r="E108">
        <v>20</v>
      </c>
      <c r="F108">
        <v>12</v>
      </c>
      <c r="G108">
        <v>0.56747999999999998</v>
      </c>
      <c r="H108">
        <v>20</v>
      </c>
      <c r="I108">
        <v>12</v>
      </c>
      <c r="J108">
        <v>0.74</v>
      </c>
      <c r="K108">
        <v>583281917.41806638</v>
      </c>
      <c r="L108">
        <v>50126300</v>
      </c>
      <c r="M108">
        <v>79694718.845428944</v>
      </c>
      <c r="N108">
        <v>71701200</v>
      </c>
      <c r="O108">
        <v>15885058.32</v>
      </c>
      <c r="P108">
        <v>226.279156</v>
      </c>
      <c r="Q108">
        <v>1.3289998353044481</v>
      </c>
      <c r="R108">
        <v>43.608133500000001</v>
      </c>
      <c r="S108">
        <v>779.54374500000006</v>
      </c>
      <c r="T108">
        <v>1.04060962E-15</v>
      </c>
      <c r="U108">
        <v>19.206497397826336</v>
      </c>
      <c r="V108">
        <v>91.850000000000009</v>
      </c>
      <c r="W108">
        <v>-238.81873741052451</v>
      </c>
      <c r="X108">
        <v>62.841535100000002</v>
      </c>
      <c r="Y108">
        <v>92.759843700000005</v>
      </c>
      <c r="Z108">
        <v>165.7</v>
      </c>
      <c r="AA108">
        <v>231.968774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5.4918782527170791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3">
      <c r="A109">
        <v>930</v>
      </c>
      <c r="B109">
        <v>30</v>
      </c>
      <c r="C109">
        <v>15</v>
      </c>
      <c r="D109">
        <v>2.95</v>
      </c>
      <c r="E109">
        <v>20</v>
      </c>
      <c r="F109">
        <v>12</v>
      </c>
      <c r="G109">
        <v>0.56747999999999998</v>
      </c>
      <c r="H109">
        <v>20</v>
      </c>
      <c r="I109">
        <v>12</v>
      </c>
      <c r="J109">
        <v>0.84999999999999987</v>
      </c>
      <c r="K109">
        <v>583304873.9160161</v>
      </c>
      <c r="L109">
        <v>50126300</v>
      </c>
      <c r="M109">
        <v>79694718.845428944</v>
      </c>
      <c r="N109">
        <v>71691500</v>
      </c>
      <c r="O109">
        <v>15885058.32</v>
      </c>
      <c r="P109">
        <v>226.27672000000001</v>
      </c>
      <c r="Q109">
        <v>1.3292722481434953</v>
      </c>
      <c r="R109">
        <v>43.608133500000001</v>
      </c>
      <c r="S109">
        <v>779.54374500000006</v>
      </c>
      <c r="T109">
        <v>1.0406397099999999E-15</v>
      </c>
      <c r="U109">
        <v>19.206701538259932</v>
      </c>
      <c r="V109">
        <v>91.850000000000009</v>
      </c>
      <c r="W109">
        <v>-238.81472329337009</v>
      </c>
      <c r="X109">
        <v>62.84131</v>
      </c>
      <c r="Y109">
        <v>92.759729899999996</v>
      </c>
      <c r="Z109">
        <v>165.7</v>
      </c>
      <c r="AA109">
        <v>231.77321499999999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5.4916230771750847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3">
      <c r="A110">
        <v>930</v>
      </c>
      <c r="B110">
        <v>30</v>
      </c>
      <c r="C110">
        <v>15</v>
      </c>
      <c r="D110">
        <v>2.95</v>
      </c>
      <c r="E110">
        <v>20</v>
      </c>
      <c r="F110">
        <v>12</v>
      </c>
      <c r="G110">
        <v>0.56747999999999998</v>
      </c>
      <c r="H110">
        <v>20</v>
      </c>
      <c r="I110">
        <v>12</v>
      </c>
      <c r="J110">
        <v>0.96</v>
      </c>
      <c r="K110">
        <v>583305614.82464588</v>
      </c>
      <c r="L110">
        <v>50126300</v>
      </c>
      <c r="M110">
        <v>79694718.845428944</v>
      </c>
      <c r="N110">
        <v>71684000</v>
      </c>
      <c r="O110">
        <v>15885041.92</v>
      </c>
      <c r="P110">
        <v>226.274947</v>
      </c>
      <c r="Q110">
        <v>1.3294312022138342</v>
      </c>
      <c r="R110">
        <v>43.608133500000001</v>
      </c>
      <c r="S110">
        <v>779.544892</v>
      </c>
      <c r="T110">
        <v>1.0406615699999999E-15</v>
      </c>
      <c r="U110">
        <v>19.206850090679936</v>
      </c>
      <c r="V110">
        <v>91.850000000000009</v>
      </c>
      <c r="W110">
        <v>-238.81180235791169</v>
      </c>
      <c r="X110">
        <v>62.841146199999997</v>
      </c>
      <c r="Y110">
        <v>92.759729899999996</v>
      </c>
      <c r="Z110">
        <v>165.7</v>
      </c>
      <c r="AA110">
        <v>231.55829299999999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5.4914373866500803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3">
      <c r="A111">
        <v>930</v>
      </c>
      <c r="B111">
        <v>30</v>
      </c>
      <c r="C111">
        <v>15</v>
      </c>
      <c r="D111">
        <v>2.95</v>
      </c>
      <c r="E111">
        <v>20</v>
      </c>
      <c r="F111">
        <v>12</v>
      </c>
      <c r="G111">
        <v>0.56747999999999998</v>
      </c>
      <c r="H111">
        <v>20</v>
      </c>
      <c r="I111">
        <v>12</v>
      </c>
      <c r="J111">
        <v>1.0699999999999998</v>
      </c>
      <c r="K111">
        <v>583338191.77019203</v>
      </c>
      <c r="L111">
        <v>50126300</v>
      </c>
      <c r="M111">
        <v>79694718.845428944</v>
      </c>
      <c r="N111">
        <v>71678200</v>
      </c>
      <c r="O111">
        <v>15885041.92</v>
      </c>
      <c r="P111">
        <v>226.273628</v>
      </c>
      <c r="Q111">
        <v>1.3296498389241227</v>
      </c>
      <c r="R111">
        <v>43.608133500000001</v>
      </c>
      <c r="S111">
        <v>779.544892</v>
      </c>
      <c r="T111">
        <v>1.04067798E-15</v>
      </c>
      <c r="U111">
        <v>19.206960516999732</v>
      </c>
      <c r="V111">
        <v>91.850000000000009</v>
      </c>
      <c r="W111">
        <v>-238.80963055690393</v>
      </c>
      <c r="X111">
        <v>62.841024400000002</v>
      </c>
      <c r="Y111">
        <v>92.7595855</v>
      </c>
      <c r="Z111">
        <v>165.7</v>
      </c>
      <c r="AA111">
        <v>231.46243100000001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5.4912993537503336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3">
      <c r="A112">
        <v>930</v>
      </c>
      <c r="B112">
        <v>30</v>
      </c>
      <c r="C112">
        <v>15</v>
      </c>
      <c r="D112">
        <v>2.95</v>
      </c>
      <c r="E112">
        <v>20</v>
      </c>
      <c r="F112">
        <v>12</v>
      </c>
      <c r="G112">
        <v>0.56747999999999998</v>
      </c>
      <c r="H112">
        <v>20</v>
      </c>
      <c r="I112">
        <v>12</v>
      </c>
      <c r="J112">
        <v>1.18</v>
      </c>
      <c r="K112">
        <v>583346643.2679882</v>
      </c>
      <c r="L112">
        <v>50125800</v>
      </c>
      <c r="M112">
        <v>79694718.845428944</v>
      </c>
      <c r="N112">
        <v>71673600</v>
      </c>
      <c r="O112">
        <v>15885041.92</v>
      </c>
      <c r="P112">
        <v>226.27261200000001</v>
      </c>
      <c r="Q112">
        <v>1.3297611518358754</v>
      </c>
      <c r="R112">
        <v>43.608133500000001</v>
      </c>
      <c r="S112">
        <v>779.544892</v>
      </c>
      <c r="T112">
        <v>1.0406903700000001E-15</v>
      </c>
      <c r="U112">
        <v>19.207045654102838</v>
      </c>
      <c r="V112">
        <v>91.850000000000009</v>
      </c>
      <c r="W112">
        <v>-238.80787814261879</v>
      </c>
      <c r="X112">
        <v>62.840930499999999</v>
      </c>
      <c r="Y112">
        <v>92.7595855</v>
      </c>
      <c r="Z112">
        <v>165.7</v>
      </c>
      <c r="AA112">
        <v>231.360939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5.491192932371451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3">
      <c r="A113">
        <v>930</v>
      </c>
      <c r="B113">
        <v>30</v>
      </c>
      <c r="C113">
        <v>15</v>
      </c>
      <c r="D113">
        <v>2.95</v>
      </c>
      <c r="E113">
        <v>20</v>
      </c>
      <c r="F113">
        <v>12</v>
      </c>
      <c r="G113">
        <v>0.56747999999999998</v>
      </c>
      <c r="H113">
        <v>20</v>
      </c>
      <c r="I113">
        <v>12</v>
      </c>
      <c r="J113">
        <v>1.2899999999999998</v>
      </c>
      <c r="K113">
        <v>583387993.06028855</v>
      </c>
      <c r="L113">
        <v>50125800</v>
      </c>
      <c r="M113">
        <v>79694718.845428944</v>
      </c>
      <c r="N113">
        <v>71670100</v>
      </c>
      <c r="O113">
        <v>15885041.92</v>
      </c>
      <c r="P113">
        <v>226.27183500000001</v>
      </c>
      <c r="Q113">
        <v>1.3299580563020892</v>
      </c>
      <c r="R113">
        <v>43.608133500000001</v>
      </c>
      <c r="S113">
        <v>779.54574000000002</v>
      </c>
      <c r="T113">
        <v>1.0407000099999999E-15</v>
      </c>
      <c r="U113">
        <v>19.207110686228233</v>
      </c>
      <c r="V113">
        <v>91.850000000000009</v>
      </c>
      <c r="W113">
        <v>-238.80667544444427</v>
      </c>
      <c r="X113">
        <v>62.840858799999999</v>
      </c>
      <c r="Y113">
        <v>92.7595855</v>
      </c>
      <c r="Z113">
        <v>165.7</v>
      </c>
      <c r="AA113">
        <v>231.26375400000001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5.4911116422147082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3">
      <c r="A114">
        <v>930</v>
      </c>
      <c r="B114">
        <v>30</v>
      </c>
      <c r="C114">
        <v>15</v>
      </c>
      <c r="D114">
        <v>2.95</v>
      </c>
      <c r="E114">
        <v>20</v>
      </c>
      <c r="F114">
        <v>12</v>
      </c>
      <c r="G114">
        <v>0.56747999999999998</v>
      </c>
      <c r="H114">
        <v>20</v>
      </c>
      <c r="I114">
        <v>12</v>
      </c>
      <c r="J114">
        <v>1.4</v>
      </c>
      <c r="K114">
        <v>583425275.87727046</v>
      </c>
      <c r="L114">
        <v>50125800</v>
      </c>
      <c r="M114">
        <v>79694718.845428944</v>
      </c>
      <c r="N114">
        <v>71667300</v>
      </c>
      <c r="O114">
        <v>15885041.92</v>
      </c>
      <c r="P114">
        <v>226.271209</v>
      </c>
      <c r="Q114">
        <v>1.3301282164339658</v>
      </c>
      <c r="R114">
        <v>43.608133500000001</v>
      </c>
      <c r="S114">
        <v>779.54574000000002</v>
      </c>
      <c r="T114">
        <v>1.0407077699999999E-15</v>
      </c>
      <c r="U114">
        <v>19.207163182540537</v>
      </c>
      <c r="V114">
        <v>91.850000000000009</v>
      </c>
      <c r="W114">
        <v>-238.80559667789285</v>
      </c>
      <c r="X114">
        <v>62.840858799999999</v>
      </c>
      <c r="Y114">
        <v>92.759472500000001</v>
      </c>
      <c r="Z114">
        <v>165.7</v>
      </c>
      <c r="AA114">
        <v>231.17583999999999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5.491046021824328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FBC9-556B-4DFD-90FE-9DA6F1001503}">
  <dimension ref="A1:AO292"/>
  <sheetViews>
    <sheetView topLeftCell="A136" workbookViewId="0">
      <selection activeCell="M105" sqref="M105"/>
    </sheetView>
  </sheetViews>
  <sheetFormatPr defaultRowHeight="16.5" x14ac:dyDescent="0.3"/>
  <sheetData>
    <row r="1" spans="1:41" x14ac:dyDescent="0.3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155</v>
      </c>
      <c r="Q1" t="s">
        <v>208</v>
      </c>
      <c r="R1" t="s">
        <v>185</v>
      </c>
      <c r="S1" t="s">
        <v>186</v>
      </c>
      <c r="T1" t="s">
        <v>187</v>
      </c>
      <c r="U1" t="s">
        <v>188</v>
      </c>
      <c r="V1" t="s">
        <v>209</v>
      </c>
      <c r="W1" t="s">
        <v>210</v>
      </c>
      <c r="X1" t="s">
        <v>355</v>
      </c>
      <c r="Y1" t="s">
        <v>356</v>
      </c>
      <c r="Z1" t="s">
        <v>357</v>
      </c>
      <c r="AA1" t="s">
        <v>358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359</v>
      </c>
      <c r="AL1" t="s">
        <v>360</v>
      </c>
      <c r="AM1" t="s">
        <v>361</v>
      </c>
      <c r="AN1" t="s">
        <v>362</v>
      </c>
      <c r="AO1" t="s">
        <v>389</v>
      </c>
    </row>
    <row r="2" spans="1:41" x14ac:dyDescent="0.3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0.7</v>
      </c>
      <c r="K2">
        <v>509140370.45959592</v>
      </c>
      <c r="L2">
        <v>54446000</v>
      </c>
      <c r="M2">
        <v>79696318.81851612</v>
      </c>
      <c r="N2">
        <v>72467800</v>
      </c>
      <c r="O2">
        <v>15885036.560000001</v>
      </c>
      <c r="P2">
        <v>211.10033999999999</v>
      </c>
      <c r="Q2">
        <v>1.260434661690278</v>
      </c>
      <c r="R2">
        <v>43.608138599999997</v>
      </c>
      <c r="S2">
        <v>779.54344400000002</v>
      </c>
      <c r="T2">
        <v>1.0405959499999999E-15</v>
      </c>
      <c r="U2">
        <v>19.206404763539531</v>
      </c>
      <c r="V2">
        <v>91.850000000000009</v>
      </c>
      <c r="W2">
        <v>-238.82056056194332</v>
      </c>
      <c r="X2">
        <v>62.841637400000003</v>
      </c>
      <c r="Y2">
        <v>92.759895400000005</v>
      </c>
      <c r="Z2">
        <v>165.7</v>
      </c>
      <c r="AA2">
        <v>232.05795800000001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1.260434661690278</v>
      </c>
    </row>
    <row r="3" spans="1:41" x14ac:dyDescent="0.3">
      <c r="A3">
        <v>930</v>
      </c>
      <c r="B3">
        <v>30</v>
      </c>
      <c r="C3">
        <v>18</v>
      </c>
      <c r="D3">
        <v>2.95</v>
      </c>
      <c r="E3">
        <v>20</v>
      </c>
      <c r="F3">
        <v>12</v>
      </c>
      <c r="G3">
        <v>0.56747999999999998</v>
      </c>
      <c r="H3">
        <v>20</v>
      </c>
      <c r="I3">
        <v>12</v>
      </c>
      <c r="J3">
        <v>1.4</v>
      </c>
      <c r="K3">
        <v>509144448.06003988</v>
      </c>
      <c r="L3">
        <v>54446000</v>
      </c>
      <c r="M3">
        <v>79696318.81851612</v>
      </c>
      <c r="N3">
        <v>72467800</v>
      </c>
      <c r="O3">
        <v>15885036.560000001</v>
      </c>
      <c r="P3">
        <v>211.03787399999999</v>
      </c>
      <c r="Q3">
        <v>1.260820859721872</v>
      </c>
      <c r="R3">
        <v>43.610077099999998</v>
      </c>
      <c r="S3">
        <v>779.51589200000001</v>
      </c>
      <c r="T3">
        <v>1.44724855E-13</v>
      </c>
      <c r="U3">
        <v>19.210471062566434</v>
      </c>
      <c r="V3">
        <v>91.850000000000009</v>
      </c>
      <c r="W3">
        <v>-240.12790090390695</v>
      </c>
      <c r="X3">
        <v>62.839121200000001</v>
      </c>
      <c r="Y3">
        <v>92.781455100000002</v>
      </c>
      <c r="Z3">
        <v>165.7</v>
      </c>
      <c r="AA3">
        <v>231.159291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1.260820859721872</v>
      </c>
    </row>
    <row r="4" spans="1:41" x14ac:dyDescent="0.3">
      <c r="A4">
        <v>929.70681436341215</v>
      </c>
      <c r="B4">
        <v>28</v>
      </c>
      <c r="C4">
        <v>11</v>
      </c>
      <c r="D4">
        <v>13.257009493347219</v>
      </c>
      <c r="E4">
        <v>22</v>
      </c>
      <c r="F4">
        <v>12</v>
      </c>
      <c r="G4">
        <v>1.0178085336318996</v>
      </c>
      <c r="H4">
        <v>23</v>
      </c>
      <c r="I4">
        <v>7</v>
      </c>
      <c r="J4">
        <v>0.76814445840068268</v>
      </c>
      <c r="K4">
        <v>509127122.05861682</v>
      </c>
      <c r="L4">
        <v>54446000</v>
      </c>
      <c r="M4">
        <v>79696319.3810146</v>
      </c>
      <c r="N4">
        <v>72467800</v>
      </c>
      <c r="O4">
        <v>15890354.799999999</v>
      </c>
      <c r="P4">
        <v>210.72776099999999</v>
      </c>
      <c r="Q4">
        <v>1.2626205044038719</v>
      </c>
      <c r="R4">
        <v>43.633308499999998</v>
      </c>
      <c r="S4">
        <v>780.45327600000007</v>
      </c>
      <c r="T4">
        <v>2.0755047900000001E-16</v>
      </c>
      <c r="U4">
        <v>19.159813243416206</v>
      </c>
      <c r="V4">
        <v>100.934</v>
      </c>
      <c r="W4">
        <v>-238.48124481147627</v>
      </c>
      <c r="X4">
        <v>62.839121200000001</v>
      </c>
      <c r="Y4">
        <v>92.400304800000001</v>
      </c>
      <c r="Z4">
        <v>180.98100000000002</v>
      </c>
      <c r="AA4">
        <v>231.77211600000001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1.2626205044038719</v>
      </c>
    </row>
    <row r="5" spans="1:41" x14ac:dyDescent="0.3">
      <c r="A5">
        <v>913.60996640491942</v>
      </c>
      <c r="B5">
        <v>29</v>
      </c>
      <c r="C5">
        <v>14</v>
      </c>
      <c r="D5">
        <v>6.3682909099499607</v>
      </c>
      <c r="E5">
        <v>11</v>
      </c>
      <c r="F5">
        <v>7</v>
      </c>
      <c r="G5">
        <v>0.56912726533756786</v>
      </c>
      <c r="H5">
        <v>15</v>
      </c>
      <c r="I5">
        <v>9</v>
      </c>
      <c r="J5">
        <v>1.2187977537284143</v>
      </c>
      <c r="K5">
        <v>508704958.14267099</v>
      </c>
      <c r="L5">
        <v>54446000</v>
      </c>
      <c r="M5">
        <v>79696340.052525386</v>
      </c>
      <c r="N5">
        <v>72467800</v>
      </c>
      <c r="O5">
        <v>15893064.800000001</v>
      </c>
      <c r="P5">
        <v>210.69416100000001</v>
      </c>
      <c r="Q5">
        <v>1.2614616488986594</v>
      </c>
      <c r="R5">
        <v>43.533587400000002</v>
      </c>
      <c r="S5">
        <v>779.842175</v>
      </c>
      <c r="T5">
        <v>3.7488731600000002E-11</v>
      </c>
      <c r="U5">
        <v>19.178889779005175</v>
      </c>
      <c r="V5">
        <v>100.934</v>
      </c>
      <c r="W5">
        <v>-240.9682634682903</v>
      </c>
      <c r="X5">
        <v>62.863816900000003</v>
      </c>
      <c r="Y5">
        <v>92.515186400000005</v>
      </c>
      <c r="Z5">
        <v>144.29</v>
      </c>
      <c r="AA5">
        <v>230.52683500000001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1.2614616488986594</v>
      </c>
    </row>
    <row r="6" spans="1:41" x14ac:dyDescent="0.3">
      <c r="A6">
        <v>936.28459328254655</v>
      </c>
      <c r="B6">
        <v>30</v>
      </c>
      <c r="C6">
        <v>15</v>
      </c>
      <c r="D6">
        <v>1.3001992152668105</v>
      </c>
      <c r="E6">
        <v>20</v>
      </c>
      <c r="F6">
        <v>10</v>
      </c>
      <c r="G6">
        <v>0.62900786249187979</v>
      </c>
      <c r="H6">
        <v>16</v>
      </c>
      <c r="I6">
        <v>12</v>
      </c>
      <c r="J6">
        <v>0.31449753991048512</v>
      </c>
      <c r="K6">
        <v>509384668.76220083</v>
      </c>
      <c r="L6">
        <v>54446000</v>
      </c>
      <c r="M6">
        <v>79696317.228810787</v>
      </c>
      <c r="N6">
        <v>72467800</v>
      </c>
      <c r="O6">
        <v>15889362.639999999</v>
      </c>
      <c r="P6">
        <v>209.74936400000001</v>
      </c>
      <c r="Q6">
        <v>1.2693436762221249</v>
      </c>
      <c r="R6">
        <v>43.598642599999998</v>
      </c>
      <c r="S6">
        <v>780.10771099999999</v>
      </c>
      <c r="T6">
        <v>1.5714406199999999E-13</v>
      </c>
      <c r="U6">
        <v>19.373141468008583</v>
      </c>
      <c r="V6">
        <v>80.72</v>
      </c>
      <c r="W6">
        <v>-192.44717637946593</v>
      </c>
      <c r="X6">
        <v>62.910995100000001</v>
      </c>
      <c r="Y6">
        <v>93.763287599999998</v>
      </c>
      <c r="Z6">
        <v>177.97</v>
      </c>
      <c r="AA6">
        <v>234.84287900000001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1.2693436762221249</v>
      </c>
    </row>
    <row r="7" spans="1:41" x14ac:dyDescent="0.3">
      <c r="A7">
        <v>927.35464198884642</v>
      </c>
      <c r="B7">
        <v>38</v>
      </c>
      <c r="C7">
        <v>17</v>
      </c>
      <c r="D7">
        <v>1.4975433642302454</v>
      </c>
      <c r="E7">
        <v>11</v>
      </c>
      <c r="F7">
        <v>8</v>
      </c>
      <c r="G7">
        <v>0.65045696498593131</v>
      </c>
      <c r="H7">
        <v>29</v>
      </c>
      <c r="I7">
        <v>13</v>
      </c>
      <c r="J7">
        <v>1.1992388794601152</v>
      </c>
      <c r="K7">
        <v>509136206.6343928</v>
      </c>
      <c r="L7">
        <v>54446000</v>
      </c>
      <c r="M7">
        <v>79696322.823595658</v>
      </c>
      <c r="N7">
        <v>72467800</v>
      </c>
      <c r="O7">
        <v>15882486.720000001</v>
      </c>
      <c r="P7">
        <v>211.33978500000001</v>
      </c>
      <c r="Q7">
        <v>1.2589932321381405</v>
      </c>
      <c r="R7">
        <v>43.479956199999997</v>
      </c>
      <c r="S7">
        <v>780.11858499999994</v>
      </c>
      <c r="T7">
        <v>4.5277776599999999E-12</v>
      </c>
      <c r="U7">
        <v>19.036863323254227</v>
      </c>
      <c r="V7">
        <v>91.850000000000009</v>
      </c>
      <c r="W7">
        <v>-221.93477320735346</v>
      </c>
      <c r="X7">
        <v>62.885855800000002</v>
      </c>
      <c r="Y7">
        <v>93.388223499999995</v>
      </c>
      <c r="Z7">
        <v>121.52199999999999</v>
      </c>
      <c r="AA7">
        <v>229.43061800000001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1.2589932321381405</v>
      </c>
    </row>
    <row r="8" spans="1:41" x14ac:dyDescent="0.3">
      <c r="A8">
        <v>937.13605510948867</v>
      </c>
      <c r="B8">
        <v>30</v>
      </c>
      <c r="C8">
        <v>16</v>
      </c>
      <c r="D8">
        <v>7.2741048100999377</v>
      </c>
      <c r="E8">
        <v>11</v>
      </c>
      <c r="F8">
        <v>9</v>
      </c>
      <c r="G8">
        <v>0.48955232422461514</v>
      </c>
      <c r="H8">
        <v>14</v>
      </c>
      <c r="I8">
        <v>12</v>
      </c>
      <c r="J8">
        <v>1.280418942018348</v>
      </c>
      <c r="K8">
        <v>509609282.32753623</v>
      </c>
      <c r="L8">
        <v>54446000</v>
      </c>
      <c r="M8">
        <v>79696306.581606269</v>
      </c>
      <c r="N8">
        <v>72467800</v>
      </c>
      <c r="O8">
        <v>15891051.76</v>
      </c>
      <c r="P8">
        <v>213.878747</v>
      </c>
      <c r="Q8">
        <v>1.2455492310073737</v>
      </c>
      <c r="R8">
        <v>43.3863907</v>
      </c>
      <c r="S8">
        <v>780.85564599999998</v>
      </c>
      <c r="T8">
        <v>2.14368326E-12</v>
      </c>
      <c r="U8">
        <v>18.758924195300544</v>
      </c>
      <c r="V8">
        <v>100.934</v>
      </c>
      <c r="W8">
        <v>-242.212068869929</v>
      </c>
      <c r="X8">
        <v>62.887362600000003</v>
      </c>
      <c r="Y8">
        <v>92.482934299999997</v>
      </c>
      <c r="Z8">
        <v>100.934</v>
      </c>
      <c r="AA8">
        <v>229.06872200000001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1.2455492310073737</v>
      </c>
    </row>
    <row r="9" spans="1:41" x14ac:dyDescent="0.3">
      <c r="A9">
        <v>946.40393246255553</v>
      </c>
      <c r="B9">
        <v>35</v>
      </c>
      <c r="C9">
        <v>19</v>
      </c>
      <c r="D9">
        <v>13.873458199430821</v>
      </c>
      <c r="E9">
        <v>21</v>
      </c>
      <c r="F9">
        <v>9</v>
      </c>
      <c r="G9">
        <v>0.84561691972915121</v>
      </c>
      <c r="H9">
        <v>19</v>
      </c>
      <c r="I9">
        <v>9</v>
      </c>
      <c r="J9">
        <v>0.34263790908630398</v>
      </c>
      <c r="K9">
        <v>509768357.32526779</v>
      </c>
      <c r="L9">
        <v>54446000</v>
      </c>
      <c r="M9">
        <v>79696294.618138894</v>
      </c>
      <c r="N9">
        <v>72467800</v>
      </c>
      <c r="O9">
        <v>15899842.08</v>
      </c>
      <c r="P9">
        <v>211.85265699999999</v>
      </c>
      <c r="Q9">
        <v>1.257970995057746</v>
      </c>
      <c r="R9">
        <v>43.6349211</v>
      </c>
      <c r="S9">
        <v>780.20696499999997</v>
      </c>
      <c r="T9">
        <v>1.4631511699999999E-13</v>
      </c>
      <c r="U9">
        <v>19.238617730055324</v>
      </c>
      <c r="V9">
        <v>100.934</v>
      </c>
      <c r="W9">
        <v>-237.96592659277329</v>
      </c>
      <c r="X9">
        <v>62.791274299999998</v>
      </c>
      <c r="Y9">
        <v>92.183944699999998</v>
      </c>
      <c r="Z9">
        <v>180.98100000000002</v>
      </c>
      <c r="AA9">
        <v>234.85277300000001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1.257970995057746</v>
      </c>
    </row>
    <row r="10" spans="1:41" x14ac:dyDescent="0.3">
      <c r="A10">
        <v>938.97605945405428</v>
      </c>
      <c r="B10">
        <v>35</v>
      </c>
      <c r="C10">
        <v>10</v>
      </c>
      <c r="D10">
        <v>11.223670224866177</v>
      </c>
      <c r="E10">
        <v>21</v>
      </c>
      <c r="F10">
        <v>8</v>
      </c>
      <c r="G10">
        <v>1.0130960766903114</v>
      </c>
      <c r="H10">
        <v>19</v>
      </c>
      <c r="I10">
        <v>14</v>
      </c>
      <c r="J10">
        <v>0.3175412333838285</v>
      </c>
      <c r="K10">
        <v>509482503.76832986</v>
      </c>
      <c r="L10">
        <v>54446000</v>
      </c>
      <c r="M10">
        <v>79696310.717346519</v>
      </c>
      <c r="N10">
        <v>72467800</v>
      </c>
      <c r="O10">
        <v>15895346.560000001</v>
      </c>
      <c r="P10">
        <v>211.16565299999999</v>
      </c>
      <c r="Q10">
        <v>1.2611447022598454</v>
      </c>
      <c r="R10">
        <v>43.636833199999998</v>
      </c>
      <c r="S10">
        <v>780.38727900000004</v>
      </c>
      <c r="T10">
        <v>8.6873786299999995E-13</v>
      </c>
      <c r="U10">
        <v>19.245543418513282</v>
      </c>
      <c r="V10">
        <v>100.934</v>
      </c>
      <c r="W10">
        <v>-237.37950438875635</v>
      </c>
      <c r="X10">
        <v>62.7981403</v>
      </c>
      <c r="Y10">
        <v>92.227050000000006</v>
      </c>
      <c r="Z10">
        <v>180.98100000000002</v>
      </c>
      <c r="AA10">
        <v>236.50972400000001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1.2611447022598454</v>
      </c>
    </row>
    <row r="11" spans="1:41" x14ac:dyDescent="0.3">
      <c r="A11">
        <v>913.57289026704746</v>
      </c>
      <c r="B11">
        <v>29</v>
      </c>
      <c r="C11">
        <v>18</v>
      </c>
      <c r="D11">
        <v>9.5132498944529509</v>
      </c>
      <c r="E11">
        <v>26</v>
      </c>
      <c r="F11">
        <v>8</v>
      </c>
      <c r="G11">
        <v>0.65913834983812147</v>
      </c>
      <c r="H11">
        <v>25</v>
      </c>
      <c r="I11">
        <v>11</v>
      </c>
      <c r="J11">
        <v>1.240197228521799</v>
      </c>
      <c r="K11">
        <v>508629599.37226814</v>
      </c>
      <c r="L11">
        <v>54446000</v>
      </c>
      <c r="M11">
        <v>79696340.323091671</v>
      </c>
      <c r="N11">
        <v>72467800</v>
      </c>
      <c r="O11">
        <v>15894688.800000001</v>
      </c>
      <c r="P11">
        <v>209.870803</v>
      </c>
      <c r="Q11">
        <v>1.2661668143566569</v>
      </c>
      <c r="R11">
        <v>43.641066000000002</v>
      </c>
      <c r="S11">
        <v>779.94208200000003</v>
      </c>
      <c r="T11">
        <v>1.8606620400000002E-12</v>
      </c>
      <c r="U11">
        <v>19.274651189387086</v>
      </c>
      <c r="V11">
        <v>100.934</v>
      </c>
      <c r="W11">
        <v>-238.13844383663331</v>
      </c>
      <c r="X11">
        <v>62.859214299999998</v>
      </c>
      <c r="Y11">
        <v>92.448508700000005</v>
      </c>
      <c r="Z11">
        <v>180.98100000000002</v>
      </c>
      <c r="AA11">
        <v>231.081108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1.2661668143566569</v>
      </c>
    </row>
    <row r="12" spans="1:41" x14ac:dyDescent="0.3">
      <c r="A12">
        <v>922.6228927900878</v>
      </c>
      <c r="B12">
        <v>39</v>
      </c>
      <c r="C12">
        <v>10</v>
      </c>
      <c r="D12">
        <v>6.9349655560941903</v>
      </c>
      <c r="E12">
        <v>12</v>
      </c>
      <c r="F12">
        <v>8</v>
      </c>
      <c r="G12">
        <v>0.99531676887678056</v>
      </c>
      <c r="H12">
        <v>29</v>
      </c>
      <c r="I12">
        <v>9</v>
      </c>
      <c r="J12">
        <v>1.1172474562195518</v>
      </c>
      <c r="K12">
        <v>509003978.78474355</v>
      </c>
      <c r="L12">
        <v>54446000</v>
      </c>
      <c r="M12">
        <v>79696325.972600996</v>
      </c>
      <c r="N12">
        <v>72467800</v>
      </c>
      <c r="O12">
        <v>15895779.439999999</v>
      </c>
      <c r="P12">
        <v>210.962694</v>
      </c>
      <c r="Q12">
        <v>1.2608181588888545</v>
      </c>
      <c r="R12">
        <v>43.576182199999998</v>
      </c>
      <c r="S12">
        <v>779.88448200000005</v>
      </c>
      <c r="T12">
        <v>1.63066223E-12</v>
      </c>
      <c r="U12">
        <v>19.139383121319966</v>
      </c>
      <c r="V12">
        <v>100.934</v>
      </c>
      <c r="W12">
        <v>-238.96425720424932</v>
      </c>
      <c r="X12">
        <v>62.847230400000001</v>
      </c>
      <c r="Y12">
        <v>92.297485899999998</v>
      </c>
      <c r="Z12">
        <v>144.29</v>
      </c>
      <c r="AA12">
        <v>230.54621800000001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1.2608181588888545</v>
      </c>
    </row>
    <row r="13" spans="1:41" x14ac:dyDescent="0.3">
      <c r="A13">
        <v>946.31510740167766</v>
      </c>
      <c r="B13">
        <v>34</v>
      </c>
      <c r="C13">
        <v>12</v>
      </c>
      <c r="D13">
        <v>2.5897834948327909</v>
      </c>
      <c r="E13">
        <v>19</v>
      </c>
      <c r="F13">
        <v>7</v>
      </c>
      <c r="G13">
        <v>0.90411705763620009</v>
      </c>
      <c r="H13">
        <v>27</v>
      </c>
      <c r="I13">
        <v>10</v>
      </c>
      <c r="J13">
        <v>1.1864197263092948</v>
      </c>
      <c r="K13">
        <v>509770305.96986198</v>
      </c>
      <c r="L13">
        <v>54446000</v>
      </c>
      <c r="M13">
        <v>79696291.482692674</v>
      </c>
      <c r="N13">
        <v>72467800</v>
      </c>
      <c r="O13">
        <v>15892980.48</v>
      </c>
      <c r="P13">
        <v>211.99152900000001</v>
      </c>
      <c r="Q13">
        <v>1.2571531600174659</v>
      </c>
      <c r="R13">
        <v>43.632538699999998</v>
      </c>
      <c r="S13">
        <v>780.14212800000007</v>
      </c>
      <c r="T13">
        <v>9.3568925599999997E-12</v>
      </c>
      <c r="U13">
        <v>19.276676828476702</v>
      </c>
      <c r="V13">
        <v>100.934</v>
      </c>
      <c r="W13">
        <v>-234.98236018853834</v>
      </c>
      <c r="X13">
        <v>62.820433899999998</v>
      </c>
      <c r="Y13">
        <v>92.811857399999994</v>
      </c>
      <c r="Z13">
        <v>180.98100000000002</v>
      </c>
      <c r="AA13">
        <v>230.97028599999999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1.2571531600174659</v>
      </c>
    </row>
    <row r="14" spans="1:41" x14ac:dyDescent="0.3">
      <c r="A14">
        <v>952.4372376366523</v>
      </c>
      <c r="B14">
        <v>35</v>
      </c>
      <c r="C14">
        <v>18</v>
      </c>
      <c r="D14">
        <v>6.0690868898069432</v>
      </c>
      <c r="E14">
        <v>15</v>
      </c>
      <c r="F14">
        <v>11</v>
      </c>
      <c r="G14">
        <v>0.70366301410540788</v>
      </c>
      <c r="H14">
        <v>15</v>
      </c>
      <c r="I14">
        <v>9</v>
      </c>
      <c r="J14">
        <v>0.7372127297352441</v>
      </c>
      <c r="K14">
        <v>510073240.31749874</v>
      </c>
      <c r="L14">
        <v>54446000</v>
      </c>
      <c r="M14">
        <v>79696280.565127313</v>
      </c>
      <c r="N14">
        <v>72467800</v>
      </c>
      <c r="O14">
        <v>15898682.720000001</v>
      </c>
      <c r="P14">
        <v>213.309091</v>
      </c>
      <c r="Q14">
        <v>1.2503520964012351</v>
      </c>
      <c r="R14">
        <v>43.546709300000003</v>
      </c>
      <c r="S14">
        <v>779.70056799999998</v>
      </c>
      <c r="T14">
        <v>7.4027686300000004E-15</v>
      </c>
      <c r="U14">
        <v>19.033928899307529</v>
      </c>
      <c r="V14">
        <v>100.934</v>
      </c>
      <c r="W14">
        <v>-240.75554726981122</v>
      </c>
      <c r="X14">
        <v>62.8085576</v>
      </c>
      <c r="Y14">
        <v>92.384235799999999</v>
      </c>
      <c r="Z14">
        <v>144.29</v>
      </c>
      <c r="AA14">
        <v>231.410078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1.2503520964012351</v>
      </c>
    </row>
    <row r="15" spans="1:41" x14ac:dyDescent="0.3">
      <c r="A15">
        <v>917.17042531621087</v>
      </c>
      <c r="B15">
        <v>31</v>
      </c>
      <c r="C15">
        <v>19</v>
      </c>
      <c r="D15">
        <v>7.0855255835976267</v>
      </c>
      <c r="E15">
        <v>23</v>
      </c>
      <c r="F15">
        <v>8</v>
      </c>
      <c r="G15">
        <v>0.85489195555440944</v>
      </c>
      <c r="H15">
        <v>17</v>
      </c>
      <c r="I15">
        <v>8</v>
      </c>
      <c r="J15">
        <v>0.36713634864322242</v>
      </c>
      <c r="K15">
        <v>508755409.0049246</v>
      </c>
      <c r="L15">
        <v>54446000</v>
      </c>
      <c r="M15">
        <v>79696337.161554411</v>
      </c>
      <c r="N15">
        <v>72467800</v>
      </c>
      <c r="O15">
        <v>15893683.279999999</v>
      </c>
      <c r="P15">
        <v>209.92883599999999</v>
      </c>
      <c r="Q15">
        <v>1.2662236291097739</v>
      </c>
      <c r="R15">
        <v>43.638639499999996</v>
      </c>
      <c r="S15">
        <v>780.19951099999992</v>
      </c>
      <c r="T15">
        <v>1.11184191E-12</v>
      </c>
      <c r="U15">
        <v>19.245522047892631</v>
      </c>
      <c r="V15">
        <v>100.934</v>
      </c>
      <c r="W15">
        <v>-238.16287741402363</v>
      </c>
      <c r="X15">
        <v>62.839374900000003</v>
      </c>
      <c r="Y15">
        <v>92.455673300000001</v>
      </c>
      <c r="Z15">
        <v>180.98100000000002</v>
      </c>
      <c r="AA15">
        <v>234.547337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1.2662236291097739</v>
      </c>
    </row>
    <row r="16" spans="1:41" x14ac:dyDescent="0.3">
      <c r="A16">
        <v>922.59296562624479</v>
      </c>
      <c r="B16">
        <v>34</v>
      </c>
      <c r="C16">
        <v>10</v>
      </c>
      <c r="D16">
        <v>3.7233473713968115</v>
      </c>
      <c r="E16">
        <v>13</v>
      </c>
      <c r="F16">
        <v>10</v>
      </c>
      <c r="G16">
        <v>0.33360423124549587</v>
      </c>
      <c r="H16">
        <v>25</v>
      </c>
      <c r="I16">
        <v>7</v>
      </c>
      <c r="J16">
        <v>1.3065639700134488</v>
      </c>
      <c r="K16">
        <v>509125478.22617453</v>
      </c>
      <c r="L16">
        <v>54446000</v>
      </c>
      <c r="M16">
        <v>79696325.685393959</v>
      </c>
      <c r="N16">
        <v>72467800</v>
      </c>
      <c r="O16">
        <v>15892762.800000001</v>
      </c>
      <c r="P16">
        <v>211.93974600000001</v>
      </c>
      <c r="Q16">
        <v>1.255394898706931</v>
      </c>
      <c r="R16">
        <v>43.428046000000002</v>
      </c>
      <c r="S16">
        <v>780.83691499999998</v>
      </c>
      <c r="T16">
        <v>1.0553327000000001E-12</v>
      </c>
      <c r="U16">
        <v>19.118270200465581</v>
      </c>
      <c r="V16">
        <v>100.934</v>
      </c>
      <c r="W16">
        <v>-239.16089889123592</v>
      </c>
      <c r="X16">
        <v>62.852973200000001</v>
      </c>
      <c r="Y16">
        <v>92.652910000000006</v>
      </c>
      <c r="Z16">
        <v>121.52199999999999</v>
      </c>
      <c r="AA16">
        <v>228.57172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1.255394898706931</v>
      </c>
    </row>
    <row r="17" spans="1:41" x14ac:dyDescent="0.3">
      <c r="A17">
        <v>935.32408946856788</v>
      </c>
      <c r="B17">
        <v>39</v>
      </c>
      <c r="C17">
        <v>15</v>
      </c>
      <c r="D17">
        <v>7.4826645087612</v>
      </c>
      <c r="E17">
        <v>27</v>
      </c>
      <c r="F17">
        <v>10</v>
      </c>
      <c r="G17">
        <v>0.36493421446101926</v>
      </c>
      <c r="H17">
        <v>29</v>
      </c>
      <c r="I17">
        <v>7</v>
      </c>
      <c r="J17">
        <v>0.75362690201645566</v>
      </c>
      <c r="K17">
        <v>509318863.27980417</v>
      </c>
      <c r="L17">
        <v>54446000</v>
      </c>
      <c r="M17">
        <v>79696310.254692554</v>
      </c>
      <c r="N17">
        <v>72467800</v>
      </c>
      <c r="O17">
        <v>15889795.040000001</v>
      </c>
      <c r="P17">
        <v>211.28016600000001</v>
      </c>
      <c r="Q17">
        <v>1.2599353807594356</v>
      </c>
      <c r="R17">
        <v>43.648107299999999</v>
      </c>
      <c r="S17">
        <v>779.69118400000002</v>
      </c>
      <c r="T17">
        <v>1.9972623999999999E-13</v>
      </c>
      <c r="U17">
        <v>19.476616367767178</v>
      </c>
      <c r="V17">
        <v>100.934</v>
      </c>
      <c r="W17">
        <v>-237.50746851957476</v>
      </c>
      <c r="X17">
        <v>62.829282200000002</v>
      </c>
      <c r="Y17">
        <v>92.235102999999995</v>
      </c>
      <c r="Z17">
        <v>180.98100000000002</v>
      </c>
      <c r="AA17">
        <v>232.02362099999999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1.2599353807594356</v>
      </c>
    </row>
    <row r="18" spans="1:41" x14ac:dyDescent="0.3">
      <c r="A18">
        <v>932.58426188179999</v>
      </c>
      <c r="B18">
        <v>34</v>
      </c>
      <c r="C18">
        <v>13</v>
      </c>
      <c r="D18">
        <v>10.791077335421416</v>
      </c>
      <c r="E18">
        <v>28</v>
      </c>
      <c r="F18">
        <v>6</v>
      </c>
      <c r="G18">
        <v>0.43010814454788338</v>
      </c>
      <c r="H18">
        <v>28</v>
      </c>
      <c r="I18">
        <v>12</v>
      </c>
      <c r="J18">
        <v>0.99559920781486411</v>
      </c>
      <c r="K18">
        <v>509217513.55717403</v>
      </c>
      <c r="L18">
        <v>54446000</v>
      </c>
      <c r="M18">
        <v>79696314.686268374</v>
      </c>
      <c r="N18">
        <v>72467800</v>
      </c>
      <c r="O18">
        <v>15890270.32</v>
      </c>
      <c r="P18">
        <v>210.985409</v>
      </c>
      <c r="Q18">
        <v>1.2613694751642466</v>
      </c>
      <c r="R18">
        <v>43.653986000000003</v>
      </c>
      <c r="S18">
        <v>779.93806499999994</v>
      </c>
      <c r="T18">
        <v>3.01310153E-10</v>
      </c>
      <c r="U18">
        <v>19.536932006016865</v>
      </c>
      <c r="V18">
        <v>100.934</v>
      </c>
      <c r="W18">
        <v>-237.40535393959715</v>
      </c>
      <c r="X18">
        <v>62.8342946</v>
      </c>
      <c r="Y18">
        <v>92.264843400000004</v>
      </c>
      <c r="Z18">
        <v>203.285</v>
      </c>
      <c r="AA18">
        <v>231.36686599999999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1.2613694751642466</v>
      </c>
    </row>
    <row r="19" spans="1:41" x14ac:dyDescent="0.3">
      <c r="A19">
        <v>941.45104283881494</v>
      </c>
      <c r="B19">
        <v>34</v>
      </c>
      <c r="C19">
        <v>10</v>
      </c>
      <c r="D19">
        <v>11.71328031201389</v>
      </c>
      <c r="E19">
        <v>29</v>
      </c>
      <c r="F19">
        <v>6</v>
      </c>
      <c r="G19">
        <v>0.36827694734447219</v>
      </c>
      <c r="H19">
        <v>15</v>
      </c>
      <c r="I19">
        <v>10</v>
      </c>
      <c r="J19">
        <v>1.0958855924397155</v>
      </c>
      <c r="K19">
        <v>509552808.37464494</v>
      </c>
      <c r="L19">
        <v>54446000</v>
      </c>
      <c r="M19">
        <v>79696299.912773922</v>
      </c>
      <c r="N19">
        <v>72467800</v>
      </c>
      <c r="O19">
        <v>15895146</v>
      </c>
      <c r="P19">
        <v>211.62574799999999</v>
      </c>
      <c r="Q19">
        <v>1.2586283745700002</v>
      </c>
      <c r="R19">
        <v>43.658522300000001</v>
      </c>
      <c r="S19">
        <v>780.01324</v>
      </c>
      <c r="T19">
        <v>4.3304255599999999E-10</v>
      </c>
      <c r="U19">
        <v>19.622292604108306</v>
      </c>
      <c r="V19">
        <v>100.934</v>
      </c>
      <c r="W19">
        <v>-237.17617827823028</v>
      </c>
      <c r="X19">
        <v>62.823802299999997</v>
      </c>
      <c r="Y19">
        <v>92.257957200000007</v>
      </c>
      <c r="Z19">
        <v>180.98100000000002</v>
      </c>
      <c r="AA19">
        <v>232.73772299999999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1.2586283745700002</v>
      </c>
    </row>
    <row r="20" spans="1:41" x14ac:dyDescent="0.3">
      <c r="A20">
        <v>923.63985917883849</v>
      </c>
      <c r="B20">
        <v>31</v>
      </c>
      <c r="C20">
        <v>19</v>
      </c>
      <c r="D20">
        <v>6.9513957589784932</v>
      </c>
      <c r="E20">
        <v>19</v>
      </c>
      <c r="F20">
        <v>9</v>
      </c>
      <c r="G20">
        <v>0.38821705674743184</v>
      </c>
      <c r="H20">
        <v>18</v>
      </c>
      <c r="I20">
        <v>12</v>
      </c>
      <c r="J20">
        <v>0.7908326130162675</v>
      </c>
      <c r="K20">
        <v>509000374.56647146</v>
      </c>
      <c r="L20">
        <v>54446000</v>
      </c>
      <c r="M20">
        <v>79696324.455621913</v>
      </c>
      <c r="N20">
        <v>72467800</v>
      </c>
      <c r="O20">
        <v>15896073.039999999</v>
      </c>
      <c r="P20">
        <v>210.78883200000001</v>
      </c>
      <c r="Q20">
        <v>1.2618464943212562</v>
      </c>
      <c r="R20">
        <v>43.622904499999997</v>
      </c>
      <c r="S20">
        <v>779.67531300000007</v>
      </c>
      <c r="T20">
        <v>1.2703614999999999E-12</v>
      </c>
      <c r="U20">
        <v>19.442817075810094</v>
      </c>
      <c r="V20">
        <v>100.934</v>
      </c>
      <c r="W20">
        <v>-239.29404931552989</v>
      </c>
      <c r="X20">
        <v>62.846827699999999</v>
      </c>
      <c r="Y20">
        <v>92.466365499999995</v>
      </c>
      <c r="Z20">
        <v>177.97</v>
      </c>
      <c r="AA20">
        <v>232.32431800000001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1.2618464943212562</v>
      </c>
    </row>
    <row r="21" spans="1:41" x14ac:dyDescent="0.3">
      <c r="A21">
        <v>915.45079680539845</v>
      </c>
      <c r="B21">
        <v>33</v>
      </c>
      <c r="C21">
        <v>14</v>
      </c>
      <c r="D21">
        <v>2.9149213314616906</v>
      </c>
      <c r="E21">
        <v>10</v>
      </c>
      <c r="F21">
        <v>7</v>
      </c>
      <c r="G21">
        <v>0.41853597663344155</v>
      </c>
      <c r="H21">
        <v>27</v>
      </c>
      <c r="I21">
        <v>11</v>
      </c>
      <c r="J21">
        <v>0.49173201862097343</v>
      </c>
      <c r="K21">
        <v>508838773.79555655</v>
      </c>
      <c r="L21">
        <v>54446000</v>
      </c>
      <c r="M21">
        <v>79696337.026990309</v>
      </c>
      <c r="N21">
        <v>72467800</v>
      </c>
      <c r="O21">
        <v>15890395.439999999</v>
      </c>
      <c r="P21">
        <v>211.30278300000001</v>
      </c>
      <c r="Q21">
        <v>1.2582581327854965</v>
      </c>
      <c r="R21">
        <v>43.451941400000003</v>
      </c>
      <c r="S21">
        <v>780.57111499999996</v>
      </c>
      <c r="T21">
        <v>1.02554427E-10</v>
      </c>
      <c r="U21">
        <v>19.115201749073606</v>
      </c>
      <c r="V21">
        <v>100.934</v>
      </c>
      <c r="W21">
        <v>-240.83124014100775</v>
      </c>
      <c r="X21">
        <v>62.860272999999999</v>
      </c>
      <c r="Y21">
        <v>92.736931600000005</v>
      </c>
      <c r="Z21">
        <v>121.52199999999999</v>
      </c>
      <c r="AA21">
        <v>229.594222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1.2582581327854965</v>
      </c>
    </row>
    <row r="22" spans="1:41" x14ac:dyDescent="0.3">
      <c r="A22">
        <v>919.89165878759275</v>
      </c>
      <c r="B22">
        <v>33</v>
      </c>
      <c r="C22">
        <v>16</v>
      </c>
      <c r="D22">
        <v>11.877234156881419</v>
      </c>
      <c r="E22">
        <v>20</v>
      </c>
      <c r="F22">
        <v>12</v>
      </c>
      <c r="G22">
        <v>0.53537816233382718</v>
      </c>
      <c r="H22">
        <v>13</v>
      </c>
      <c r="I22">
        <v>8</v>
      </c>
      <c r="J22">
        <v>0.83786856585281178</v>
      </c>
      <c r="K22">
        <v>508849112.50077593</v>
      </c>
      <c r="L22">
        <v>54446000</v>
      </c>
      <c r="M22">
        <v>79696330.517785907</v>
      </c>
      <c r="N22">
        <v>72467800</v>
      </c>
      <c r="O22">
        <v>15897680.879999999</v>
      </c>
      <c r="P22">
        <v>210.44068799999999</v>
      </c>
      <c r="Q22">
        <v>1.2634460864002135</v>
      </c>
      <c r="R22">
        <v>43.640840900000001</v>
      </c>
      <c r="S22">
        <v>779.75232900000003</v>
      </c>
      <c r="T22">
        <v>2.5207660199999999E-11</v>
      </c>
      <c r="U22">
        <v>19.379225699704985</v>
      </c>
      <c r="V22">
        <v>100.934</v>
      </c>
      <c r="W22">
        <v>-237.87033537474281</v>
      </c>
      <c r="X22">
        <v>62.854182100000003</v>
      </c>
      <c r="Y22">
        <v>92.285175199999998</v>
      </c>
      <c r="Z22">
        <v>180.98100000000002</v>
      </c>
      <c r="AA22">
        <v>233.08250799999999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1.2634460864002135</v>
      </c>
    </row>
    <row r="23" spans="1:41" x14ac:dyDescent="0.3">
      <c r="A23">
        <v>916.45275792811663</v>
      </c>
      <c r="B23">
        <v>32</v>
      </c>
      <c r="C23">
        <v>16</v>
      </c>
      <c r="D23">
        <v>4.0026095600508684</v>
      </c>
      <c r="E23">
        <v>11</v>
      </c>
      <c r="F23">
        <v>9</v>
      </c>
      <c r="G23">
        <v>0.60282500836181718</v>
      </c>
      <c r="H23">
        <v>22</v>
      </c>
      <c r="I23">
        <v>14</v>
      </c>
      <c r="J23">
        <v>1.2603301403150737</v>
      </c>
      <c r="K23">
        <v>508912719.21656418</v>
      </c>
      <c r="L23">
        <v>54446000</v>
      </c>
      <c r="M23">
        <v>79696335.354081228</v>
      </c>
      <c r="N23">
        <v>72467800</v>
      </c>
      <c r="O23">
        <v>15892488.560000001</v>
      </c>
      <c r="P23">
        <v>211.86702299999999</v>
      </c>
      <c r="Q23">
        <v>1.2551440977101789</v>
      </c>
      <c r="R23">
        <v>43.407363699999998</v>
      </c>
      <c r="S23">
        <v>780.60543299999995</v>
      </c>
      <c r="T23">
        <v>1.14327399E-12</v>
      </c>
      <c r="U23">
        <v>18.759281958792382</v>
      </c>
      <c r="V23">
        <v>100.934</v>
      </c>
      <c r="W23">
        <v>-240.82760362877895</v>
      </c>
      <c r="X23">
        <v>62.859028299999999</v>
      </c>
      <c r="Y23">
        <v>92.608994899999999</v>
      </c>
      <c r="Z23">
        <v>100.934</v>
      </c>
      <c r="AA23">
        <v>228.35701800000001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1.2551440977101789</v>
      </c>
    </row>
    <row r="24" spans="1:41" x14ac:dyDescent="0.3">
      <c r="A24">
        <v>960</v>
      </c>
      <c r="B24">
        <v>27</v>
      </c>
      <c r="C24">
        <v>10</v>
      </c>
      <c r="D24">
        <v>15</v>
      </c>
      <c r="E24">
        <v>10</v>
      </c>
      <c r="F24">
        <v>5</v>
      </c>
      <c r="G24">
        <v>0.3</v>
      </c>
      <c r="H24">
        <v>10</v>
      </c>
      <c r="I24">
        <v>7</v>
      </c>
      <c r="J24">
        <v>1.4</v>
      </c>
      <c r="K24">
        <v>504818522.82270062</v>
      </c>
      <c r="L24">
        <v>54446000</v>
      </c>
      <c r="M24">
        <v>79696402.22689116</v>
      </c>
      <c r="N24">
        <v>72467800</v>
      </c>
      <c r="O24">
        <v>16383849.280000001</v>
      </c>
      <c r="P24">
        <v>205.61973699999999</v>
      </c>
      <c r="Q24">
        <v>1.2797617634287637</v>
      </c>
      <c r="R24">
        <v>43.522945800000002</v>
      </c>
      <c r="S24">
        <v>780.67919500000005</v>
      </c>
      <c r="T24">
        <v>6.7118633000000002E-9</v>
      </c>
      <c r="U24">
        <v>19.55766385660576</v>
      </c>
      <c r="V24">
        <v>100.934</v>
      </c>
      <c r="W24">
        <v>-241.34403995921153</v>
      </c>
      <c r="X24">
        <v>62.928132699999999</v>
      </c>
      <c r="Y24">
        <v>92.449983200000005</v>
      </c>
      <c r="Z24">
        <v>144.29</v>
      </c>
      <c r="AA24">
        <v>230.65732700000001</v>
      </c>
      <c r="AB24">
        <v>100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101.27976176342877</v>
      </c>
    </row>
    <row r="25" spans="1:41" x14ac:dyDescent="0.3">
      <c r="A25">
        <v>947.93327159448802</v>
      </c>
      <c r="B25">
        <v>39</v>
      </c>
      <c r="C25">
        <v>19</v>
      </c>
      <c r="D25">
        <v>1</v>
      </c>
      <c r="E25">
        <v>16</v>
      </c>
      <c r="F25">
        <v>14</v>
      </c>
      <c r="G25">
        <v>1.2</v>
      </c>
      <c r="H25">
        <v>17</v>
      </c>
      <c r="I25">
        <v>12</v>
      </c>
      <c r="J25">
        <v>1.4</v>
      </c>
      <c r="K25">
        <v>509836331.83550256</v>
      </c>
      <c r="L25">
        <v>54446000</v>
      </c>
      <c r="M25">
        <v>79696288.669173092</v>
      </c>
      <c r="N25">
        <v>72467800</v>
      </c>
      <c r="O25">
        <v>15893097.52</v>
      </c>
      <c r="P25">
        <v>208.81236000000001</v>
      </c>
      <c r="Q25">
        <v>1.2765079738405543</v>
      </c>
      <c r="R25">
        <v>43.600755200000002</v>
      </c>
      <c r="S25">
        <v>780.716005</v>
      </c>
      <c r="T25">
        <v>4.6201009899999998E-10</v>
      </c>
      <c r="U25">
        <v>19.602181834125791</v>
      </c>
      <c r="V25">
        <v>80.72</v>
      </c>
      <c r="W25">
        <v>-147.0528786271725</v>
      </c>
      <c r="X25">
        <v>63.055204500000002</v>
      </c>
      <c r="Y25">
        <v>94.815694899999997</v>
      </c>
      <c r="Z25">
        <v>180.98100000000002</v>
      </c>
      <c r="AA25">
        <v>231.327293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1.2765079738405543</v>
      </c>
    </row>
    <row r="26" spans="1:41" x14ac:dyDescent="0.3">
      <c r="A26">
        <v>949.90264675997537</v>
      </c>
      <c r="B26">
        <v>39</v>
      </c>
      <c r="C26">
        <v>19</v>
      </c>
      <c r="D26">
        <v>1</v>
      </c>
      <c r="E26">
        <v>29</v>
      </c>
      <c r="F26">
        <v>5</v>
      </c>
      <c r="G26">
        <v>0.3</v>
      </c>
      <c r="H26">
        <v>14</v>
      </c>
      <c r="I26">
        <v>7</v>
      </c>
      <c r="J26">
        <v>0.3</v>
      </c>
      <c r="K26">
        <v>509915355.67944127</v>
      </c>
      <c r="L26">
        <v>54446000</v>
      </c>
      <c r="M26">
        <v>79696295.27514039</v>
      </c>
      <c r="N26">
        <v>72467800</v>
      </c>
      <c r="O26">
        <v>15896817.84</v>
      </c>
      <c r="P26">
        <v>208.146478</v>
      </c>
      <c r="Q26">
        <v>1.2808493849115659</v>
      </c>
      <c r="R26">
        <v>43.626732099999998</v>
      </c>
      <c r="S26">
        <v>781.06675800000005</v>
      </c>
      <c r="T26">
        <v>3.8603514200000003E-9</v>
      </c>
      <c r="U26">
        <v>20.107355548938628</v>
      </c>
      <c r="V26">
        <v>80.72</v>
      </c>
      <c r="W26">
        <v>-145.75934111122362</v>
      </c>
      <c r="X26">
        <v>62.985559100000003</v>
      </c>
      <c r="Y26">
        <v>94.775738700000005</v>
      </c>
      <c r="Z26">
        <v>180.98100000000002</v>
      </c>
      <c r="AA26">
        <v>235.80616599999999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1.2808493849115659</v>
      </c>
    </row>
    <row r="27" spans="1:41" x14ac:dyDescent="0.3">
      <c r="A27">
        <v>910</v>
      </c>
      <c r="B27">
        <v>39</v>
      </c>
      <c r="C27">
        <v>10</v>
      </c>
      <c r="D27">
        <v>15</v>
      </c>
      <c r="E27">
        <v>29</v>
      </c>
      <c r="F27">
        <v>5</v>
      </c>
      <c r="G27">
        <v>0.3</v>
      </c>
      <c r="H27">
        <v>10</v>
      </c>
      <c r="I27">
        <v>7</v>
      </c>
      <c r="J27">
        <v>0.3</v>
      </c>
      <c r="K27">
        <v>508521194.78557944</v>
      </c>
      <c r="L27">
        <v>54446000</v>
      </c>
      <c r="M27">
        <v>79696363.202480882</v>
      </c>
      <c r="N27">
        <v>72467800</v>
      </c>
      <c r="O27">
        <v>15901397.039999999</v>
      </c>
      <c r="P27">
        <v>208.69724500000001</v>
      </c>
      <c r="Q27">
        <v>1.272934173385414</v>
      </c>
      <c r="R27">
        <v>43.667888900000001</v>
      </c>
      <c r="S27">
        <v>780.48605699999996</v>
      </c>
      <c r="T27">
        <v>4.76064111E-9</v>
      </c>
      <c r="U27">
        <v>19.892984666370975</v>
      </c>
      <c r="V27">
        <v>100.934</v>
      </c>
      <c r="W27">
        <v>-235.71709480149778</v>
      </c>
      <c r="X27">
        <v>62.790311000000003</v>
      </c>
      <c r="Y27">
        <v>92.056313200000005</v>
      </c>
      <c r="Z27">
        <v>180.98100000000002</v>
      </c>
      <c r="AA27">
        <v>237.39395300000001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1.272934173385414</v>
      </c>
    </row>
    <row r="28" spans="1:41" x14ac:dyDescent="0.3">
      <c r="A28">
        <v>943.5360133866568</v>
      </c>
      <c r="B28">
        <v>36</v>
      </c>
      <c r="C28">
        <v>19</v>
      </c>
      <c r="D28">
        <v>5.1422725040336985</v>
      </c>
      <c r="E28">
        <v>14</v>
      </c>
      <c r="F28">
        <v>10</v>
      </c>
      <c r="G28">
        <v>0.3</v>
      </c>
      <c r="H28">
        <v>19</v>
      </c>
      <c r="I28">
        <v>7</v>
      </c>
      <c r="J28">
        <v>0.3</v>
      </c>
      <c r="K28">
        <v>509788116.79640681</v>
      </c>
      <c r="L28">
        <v>54446000</v>
      </c>
      <c r="M28">
        <v>79696301.887270942</v>
      </c>
      <c r="N28">
        <v>72467800</v>
      </c>
      <c r="O28">
        <v>15894172.800000001</v>
      </c>
      <c r="P28">
        <v>212.550408</v>
      </c>
      <c r="Q28">
        <v>1.2539044928586527</v>
      </c>
      <c r="R28">
        <v>43.4768197</v>
      </c>
      <c r="S28">
        <v>780.648684</v>
      </c>
      <c r="T28">
        <v>1.3089941599999999E-12</v>
      </c>
      <c r="U28">
        <v>19.342538585399495</v>
      </c>
      <c r="V28">
        <v>100.934</v>
      </c>
      <c r="W28">
        <v>-242.05341625273303</v>
      </c>
      <c r="X28">
        <v>62.780092799999998</v>
      </c>
      <c r="Y28">
        <v>92.411211399999999</v>
      </c>
      <c r="Z28">
        <v>121.52199999999999</v>
      </c>
      <c r="AA28">
        <v>232.07814500000001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1.2539044928586527</v>
      </c>
    </row>
    <row r="29" spans="1:41" x14ac:dyDescent="0.3">
      <c r="A29">
        <v>960</v>
      </c>
      <c r="B29">
        <v>33</v>
      </c>
      <c r="C29">
        <v>19</v>
      </c>
      <c r="D29">
        <v>1</v>
      </c>
      <c r="E29">
        <v>29</v>
      </c>
      <c r="F29">
        <v>14</v>
      </c>
      <c r="G29">
        <v>0.3</v>
      </c>
      <c r="H29">
        <v>29</v>
      </c>
      <c r="I29">
        <v>14</v>
      </c>
      <c r="J29">
        <v>0.3</v>
      </c>
      <c r="K29">
        <v>504735325.43734539</v>
      </c>
      <c r="L29">
        <v>54446000</v>
      </c>
      <c r="M29">
        <v>79696409.303730071</v>
      </c>
      <c r="N29">
        <v>72467800</v>
      </c>
      <c r="O29">
        <v>16378075.279999999</v>
      </c>
      <c r="P29">
        <v>200.258444</v>
      </c>
      <c r="Q29">
        <v>1.3137413483925802</v>
      </c>
      <c r="R29">
        <v>43.620546400000002</v>
      </c>
      <c r="S29">
        <v>780.21592099999998</v>
      </c>
      <c r="T29">
        <v>3.15225588E-12</v>
      </c>
      <c r="U29">
        <v>19.879874792443001</v>
      </c>
      <c r="V29">
        <v>80.72</v>
      </c>
      <c r="W29">
        <v>-153.76693477382997</v>
      </c>
      <c r="X29">
        <v>63.096831600000002</v>
      </c>
      <c r="Y29">
        <v>94.905654999999996</v>
      </c>
      <c r="Z29">
        <v>177.97</v>
      </c>
      <c r="AA29">
        <v>234.92989800000001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101.31374134839258</v>
      </c>
    </row>
    <row r="30" spans="1:41" x14ac:dyDescent="0.3">
      <c r="A30">
        <v>944.96869739280987</v>
      </c>
      <c r="B30">
        <v>39</v>
      </c>
      <c r="C30">
        <v>19</v>
      </c>
      <c r="D30">
        <v>5.5914970270244941</v>
      </c>
      <c r="E30">
        <v>22</v>
      </c>
      <c r="F30">
        <v>5</v>
      </c>
      <c r="G30">
        <v>1.2</v>
      </c>
      <c r="H30">
        <v>10</v>
      </c>
      <c r="I30">
        <v>8</v>
      </c>
      <c r="J30">
        <v>1.4</v>
      </c>
      <c r="K30">
        <v>509705275.57851195</v>
      </c>
      <c r="L30">
        <v>54446000</v>
      </c>
      <c r="M30">
        <v>79696293.90710631</v>
      </c>
      <c r="N30">
        <v>72467800</v>
      </c>
      <c r="O30">
        <v>15894054.879999999</v>
      </c>
      <c r="P30">
        <v>212.092074</v>
      </c>
      <c r="Q30">
        <v>1.2563490437880604</v>
      </c>
      <c r="R30">
        <v>43.644830200000001</v>
      </c>
      <c r="S30">
        <v>780.24559099999999</v>
      </c>
      <c r="T30">
        <v>4.9552336299999997E-10</v>
      </c>
      <c r="U30">
        <v>19.308992038525588</v>
      </c>
      <c r="V30">
        <v>100.934</v>
      </c>
      <c r="W30">
        <v>-238.57199785640697</v>
      </c>
      <c r="X30">
        <v>62.837946100000003</v>
      </c>
      <c r="Y30">
        <v>92.351042399999997</v>
      </c>
      <c r="Z30">
        <v>203.285</v>
      </c>
      <c r="AA30">
        <v>233.88932500000001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1.2563490437880604</v>
      </c>
    </row>
    <row r="31" spans="1:41" x14ac:dyDescent="0.3">
      <c r="A31">
        <v>910</v>
      </c>
      <c r="B31">
        <v>27</v>
      </c>
      <c r="C31">
        <v>10</v>
      </c>
      <c r="D31">
        <v>1</v>
      </c>
      <c r="E31">
        <v>29</v>
      </c>
      <c r="F31">
        <v>14</v>
      </c>
      <c r="G31">
        <v>1.2</v>
      </c>
      <c r="H31">
        <v>10</v>
      </c>
      <c r="I31">
        <v>7</v>
      </c>
      <c r="J31">
        <v>1.4</v>
      </c>
      <c r="K31">
        <v>508513809.32657599</v>
      </c>
      <c r="L31">
        <v>54446000</v>
      </c>
      <c r="M31">
        <v>79696345.814744979</v>
      </c>
      <c r="N31">
        <v>72467800</v>
      </c>
      <c r="O31">
        <v>15889593.68</v>
      </c>
      <c r="P31">
        <v>205.678314</v>
      </c>
      <c r="Q31">
        <v>1.2915938303306178</v>
      </c>
      <c r="R31">
        <v>43.628213899999999</v>
      </c>
      <c r="S31">
        <v>781.50645500000007</v>
      </c>
      <c r="T31">
        <v>1.04293929E-13</v>
      </c>
      <c r="U31">
        <v>19.217779535348686</v>
      </c>
      <c r="V31">
        <v>80.72</v>
      </c>
      <c r="W31">
        <v>-148.80189301526883</v>
      </c>
      <c r="X31">
        <v>63.120559499999999</v>
      </c>
      <c r="Y31">
        <v>94.949332100000007</v>
      </c>
      <c r="Z31">
        <v>180.98100000000002</v>
      </c>
      <c r="AA31">
        <v>232.49788599999999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1.2915938303306178</v>
      </c>
    </row>
    <row r="32" spans="1:41" x14ac:dyDescent="0.3">
      <c r="A32">
        <v>939.92219744547469</v>
      </c>
      <c r="B32">
        <v>39</v>
      </c>
      <c r="C32">
        <v>10</v>
      </c>
      <c r="D32">
        <v>1</v>
      </c>
      <c r="E32">
        <v>21</v>
      </c>
      <c r="F32">
        <v>5</v>
      </c>
      <c r="G32">
        <v>1.2</v>
      </c>
      <c r="H32">
        <v>26</v>
      </c>
      <c r="I32">
        <v>7</v>
      </c>
      <c r="J32">
        <v>1.4</v>
      </c>
      <c r="K32">
        <v>509516877.57077909</v>
      </c>
      <c r="L32">
        <v>54446000</v>
      </c>
      <c r="M32">
        <v>79696302.442373514</v>
      </c>
      <c r="N32">
        <v>72467800</v>
      </c>
      <c r="O32">
        <v>15888606.16</v>
      </c>
      <c r="P32">
        <v>208.692578</v>
      </c>
      <c r="Q32">
        <v>1.2762014919960456</v>
      </c>
      <c r="R32">
        <v>43.598719299999999</v>
      </c>
      <c r="S32">
        <v>780.94504399999994</v>
      </c>
      <c r="T32">
        <v>4.4300080200000001E-10</v>
      </c>
      <c r="U32">
        <v>19.319161050766247</v>
      </c>
      <c r="V32">
        <v>80.72</v>
      </c>
      <c r="W32">
        <v>-138.35588147067961</v>
      </c>
      <c r="X32">
        <v>63.0714021</v>
      </c>
      <c r="Y32">
        <v>94.850554399999993</v>
      </c>
      <c r="Z32">
        <v>180.98100000000002</v>
      </c>
      <c r="AA32">
        <v>230.91910899999999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1.2762014919960456</v>
      </c>
    </row>
    <row r="33" spans="1:41" x14ac:dyDescent="0.3">
      <c r="A33">
        <v>933.77455348982619</v>
      </c>
      <c r="B33">
        <v>27</v>
      </c>
      <c r="C33">
        <v>10</v>
      </c>
      <c r="D33">
        <v>1</v>
      </c>
      <c r="E33">
        <v>10</v>
      </c>
      <c r="F33">
        <v>5</v>
      </c>
      <c r="G33">
        <v>1.2</v>
      </c>
      <c r="H33">
        <v>29</v>
      </c>
      <c r="I33">
        <v>14</v>
      </c>
      <c r="J33">
        <v>1.4</v>
      </c>
      <c r="K33">
        <v>509312783.51865506</v>
      </c>
      <c r="L33">
        <v>54446000</v>
      </c>
      <c r="M33">
        <v>79696312.592204481</v>
      </c>
      <c r="N33">
        <v>72467800</v>
      </c>
      <c r="O33">
        <v>15884921.840000002</v>
      </c>
      <c r="P33">
        <v>207.69096099999999</v>
      </c>
      <c r="Q33">
        <v>1.2816890433624621</v>
      </c>
      <c r="R33">
        <v>43.573948399999999</v>
      </c>
      <c r="S33">
        <v>780.17382399999997</v>
      </c>
      <c r="T33">
        <v>5.8681617600000001E-10</v>
      </c>
      <c r="U33">
        <v>19.366009548392977</v>
      </c>
      <c r="V33">
        <v>80.72</v>
      </c>
      <c r="W33">
        <v>-149.38477442500582</v>
      </c>
      <c r="X33">
        <v>63.072934199999999</v>
      </c>
      <c r="Y33">
        <v>94.922782900000001</v>
      </c>
      <c r="Z33">
        <v>144.29</v>
      </c>
      <c r="AA33">
        <v>229.86842200000001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1.2816890433624621</v>
      </c>
    </row>
    <row r="34" spans="1:41" x14ac:dyDescent="0.3">
      <c r="A34">
        <v>910</v>
      </c>
      <c r="B34">
        <v>39</v>
      </c>
      <c r="C34">
        <v>10</v>
      </c>
      <c r="D34">
        <v>15</v>
      </c>
      <c r="E34">
        <v>29</v>
      </c>
      <c r="F34">
        <v>14</v>
      </c>
      <c r="G34">
        <v>0.3</v>
      </c>
      <c r="H34">
        <v>29</v>
      </c>
      <c r="I34">
        <v>7</v>
      </c>
      <c r="J34">
        <v>1.4</v>
      </c>
      <c r="K34">
        <v>508484641.93492699</v>
      </c>
      <c r="L34">
        <v>54446000</v>
      </c>
      <c r="M34">
        <v>79696345.859325752</v>
      </c>
      <c r="N34">
        <v>72467800</v>
      </c>
      <c r="O34">
        <v>15896753.039999999</v>
      </c>
      <c r="P34">
        <v>209.42812699999999</v>
      </c>
      <c r="Q34">
        <v>1.2683732828396093</v>
      </c>
      <c r="R34">
        <v>43.671208999999998</v>
      </c>
      <c r="S34">
        <v>780.25996799999996</v>
      </c>
      <c r="T34">
        <v>4.7328852800000003E-9</v>
      </c>
      <c r="U34">
        <v>19.82246630757226</v>
      </c>
      <c r="V34">
        <v>100.934</v>
      </c>
      <c r="W34">
        <v>-237.07084923302341</v>
      </c>
      <c r="X34">
        <v>62.864292200000001</v>
      </c>
      <c r="Y34">
        <v>92.098933900000006</v>
      </c>
      <c r="Z34">
        <v>180.98100000000002</v>
      </c>
      <c r="AA34">
        <v>231.236378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1.2683732828396093</v>
      </c>
    </row>
    <row r="35" spans="1:41" x14ac:dyDescent="0.3">
      <c r="A35">
        <v>910</v>
      </c>
      <c r="B35">
        <v>27</v>
      </c>
      <c r="C35">
        <v>19</v>
      </c>
      <c r="D35">
        <v>15</v>
      </c>
      <c r="E35">
        <v>11</v>
      </c>
      <c r="F35">
        <v>9</v>
      </c>
      <c r="G35">
        <v>0.31566755470950025</v>
      </c>
      <c r="H35">
        <v>27</v>
      </c>
      <c r="I35">
        <v>7</v>
      </c>
      <c r="J35">
        <v>0.85232860977418223</v>
      </c>
      <c r="K35">
        <v>508759146.61992764</v>
      </c>
      <c r="L35">
        <v>54446000</v>
      </c>
      <c r="M35">
        <v>79696345.087893397</v>
      </c>
      <c r="N35">
        <v>72467800</v>
      </c>
      <c r="O35">
        <v>15896657.040000001</v>
      </c>
      <c r="P35">
        <v>211.688762</v>
      </c>
      <c r="Q35">
        <v>1.2557085570456754</v>
      </c>
      <c r="R35">
        <v>43.341257900000002</v>
      </c>
      <c r="S35">
        <v>782.24539000000004</v>
      </c>
      <c r="T35">
        <v>1.4385848399999999E-11</v>
      </c>
      <c r="U35">
        <v>19.025142126176927</v>
      </c>
      <c r="V35">
        <v>91.850000000000009</v>
      </c>
      <c r="W35">
        <v>-241.96688686520463</v>
      </c>
      <c r="X35">
        <v>62.865360500000001</v>
      </c>
      <c r="Y35">
        <v>92.453911399999996</v>
      </c>
      <c r="Z35">
        <v>100.934</v>
      </c>
      <c r="AA35">
        <v>226.87700699999999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1.2557085570456754</v>
      </c>
    </row>
    <row r="36" spans="1:41" x14ac:dyDescent="0.3">
      <c r="A36">
        <v>938.28555538384444</v>
      </c>
      <c r="B36">
        <v>39</v>
      </c>
      <c r="C36">
        <v>19</v>
      </c>
      <c r="D36">
        <v>15</v>
      </c>
      <c r="E36">
        <v>29</v>
      </c>
      <c r="F36">
        <v>14</v>
      </c>
      <c r="G36">
        <v>0.3</v>
      </c>
      <c r="H36">
        <v>10</v>
      </c>
      <c r="I36">
        <v>7</v>
      </c>
      <c r="J36">
        <v>1.4</v>
      </c>
      <c r="K36">
        <v>509422153.09142363</v>
      </c>
      <c r="L36">
        <v>54446000</v>
      </c>
      <c r="M36">
        <v>79696305.350601569</v>
      </c>
      <c r="N36">
        <v>72467800</v>
      </c>
      <c r="O36">
        <v>15895304.959999999</v>
      </c>
      <c r="P36">
        <v>211.47870900000001</v>
      </c>
      <c r="Q36">
        <v>1.2590840774139598</v>
      </c>
      <c r="R36">
        <v>43.660919200000002</v>
      </c>
      <c r="S36">
        <v>779.91053299999999</v>
      </c>
      <c r="T36">
        <v>2.97644754E-12</v>
      </c>
      <c r="U36">
        <v>19.642978881863055</v>
      </c>
      <c r="V36">
        <v>100.934</v>
      </c>
      <c r="W36">
        <v>-237.77598468515725</v>
      </c>
      <c r="X36">
        <v>62.8341724</v>
      </c>
      <c r="Y36">
        <v>92.078416500000003</v>
      </c>
      <c r="Z36">
        <v>180.98100000000002</v>
      </c>
      <c r="AA36">
        <v>233.76804999999999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1.2590840774139598</v>
      </c>
    </row>
    <row r="37" spans="1:41" x14ac:dyDescent="0.3">
      <c r="A37">
        <v>910</v>
      </c>
      <c r="B37">
        <v>27</v>
      </c>
      <c r="C37">
        <v>10</v>
      </c>
      <c r="D37">
        <v>1</v>
      </c>
      <c r="E37">
        <v>29</v>
      </c>
      <c r="F37">
        <v>5</v>
      </c>
      <c r="G37">
        <v>0.3</v>
      </c>
      <c r="H37">
        <v>29</v>
      </c>
      <c r="I37">
        <v>7</v>
      </c>
      <c r="J37">
        <v>1.4</v>
      </c>
      <c r="K37">
        <v>508490614.20276308</v>
      </c>
      <c r="L37">
        <v>54446000</v>
      </c>
      <c r="M37">
        <v>79696345.845150292</v>
      </c>
      <c r="N37">
        <v>72467800</v>
      </c>
      <c r="O37">
        <v>15889466.08</v>
      </c>
      <c r="P37">
        <v>205.73741999999999</v>
      </c>
      <c r="Q37">
        <v>1.2911462351698619</v>
      </c>
      <c r="R37">
        <v>43.648818499999997</v>
      </c>
      <c r="S37">
        <v>780.44689599999992</v>
      </c>
      <c r="T37">
        <v>3.7487258700000002E-9</v>
      </c>
      <c r="U37">
        <v>19.819225552792201</v>
      </c>
      <c r="V37">
        <v>80.72</v>
      </c>
      <c r="W37">
        <v>-146.34746209763091</v>
      </c>
      <c r="X37">
        <v>63.106802799999997</v>
      </c>
      <c r="Y37">
        <v>94.941374300000007</v>
      </c>
      <c r="Z37">
        <v>180.98100000000002</v>
      </c>
      <c r="AA37">
        <v>230.84571399999999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1.2911462351698619</v>
      </c>
    </row>
    <row r="38" spans="1:41" x14ac:dyDescent="0.3">
      <c r="A38">
        <v>922.39996946390943</v>
      </c>
      <c r="B38">
        <v>39</v>
      </c>
      <c r="C38">
        <v>19</v>
      </c>
      <c r="D38">
        <v>15</v>
      </c>
      <c r="E38">
        <v>29</v>
      </c>
      <c r="F38">
        <v>5</v>
      </c>
      <c r="G38">
        <v>0.3</v>
      </c>
      <c r="H38">
        <v>29</v>
      </c>
      <c r="I38">
        <v>7</v>
      </c>
      <c r="J38">
        <v>1.4</v>
      </c>
      <c r="K38">
        <v>508934402.6041773</v>
      </c>
      <c r="L38">
        <v>54446000</v>
      </c>
      <c r="M38">
        <v>79696326.519075051</v>
      </c>
      <c r="N38">
        <v>72467800</v>
      </c>
      <c r="O38">
        <v>15899964.799999999</v>
      </c>
      <c r="P38">
        <v>210.28875500000001</v>
      </c>
      <c r="Q38">
        <v>1.2646342563426884</v>
      </c>
      <c r="R38">
        <v>43.671205700000002</v>
      </c>
      <c r="S38">
        <v>780.28199799999993</v>
      </c>
      <c r="T38">
        <v>4.7148665300000003E-9</v>
      </c>
      <c r="U38">
        <v>19.826745811809516</v>
      </c>
      <c r="V38">
        <v>100.934</v>
      </c>
      <c r="W38">
        <v>-237.44927311128743</v>
      </c>
      <c r="X38">
        <v>62.844690100000001</v>
      </c>
      <c r="Y38">
        <v>92.080539999999999</v>
      </c>
      <c r="Z38">
        <v>180.98100000000002</v>
      </c>
      <c r="AA38">
        <v>231.23584700000001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1.2646342563426884</v>
      </c>
    </row>
    <row r="39" spans="1:41" x14ac:dyDescent="0.3">
      <c r="A39">
        <v>910</v>
      </c>
      <c r="B39">
        <v>39</v>
      </c>
      <c r="C39">
        <v>19</v>
      </c>
      <c r="D39">
        <v>1</v>
      </c>
      <c r="E39">
        <v>29</v>
      </c>
      <c r="F39">
        <v>14</v>
      </c>
      <c r="G39">
        <v>0.3</v>
      </c>
      <c r="H39">
        <v>29</v>
      </c>
      <c r="I39">
        <v>14</v>
      </c>
      <c r="J39">
        <v>1.4</v>
      </c>
      <c r="K39">
        <v>508499466.24594074</v>
      </c>
      <c r="L39">
        <v>54446000</v>
      </c>
      <c r="M39">
        <v>79696345.811047032</v>
      </c>
      <c r="N39">
        <v>72467800</v>
      </c>
      <c r="O39">
        <v>15889456.800000001</v>
      </c>
      <c r="P39">
        <v>206.36671000000001</v>
      </c>
      <c r="Q39">
        <v>1.2872381622085565</v>
      </c>
      <c r="R39">
        <v>43.603872299999999</v>
      </c>
      <c r="S39">
        <v>780.35951599999999</v>
      </c>
      <c r="T39">
        <v>1.8537257599999999E-16</v>
      </c>
      <c r="U39">
        <v>19.789745990414001</v>
      </c>
      <c r="V39">
        <v>80.72</v>
      </c>
      <c r="W39">
        <v>-146.83835920124048</v>
      </c>
      <c r="X39">
        <v>63.112465899999997</v>
      </c>
      <c r="Y39">
        <v>94.846765000000005</v>
      </c>
      <c r="Z39">
        <v>177.97</v>
      </c>
      <c r="AA39">
        <v>230.52619999999999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1.2872381622085565</v>
      </c>
    </row>
    <row r="40" spans="1:41" x14ac:dyDescent="0.3">
      <c r="A40">
        <v>936.07872367755419</v>
      </c>
      <c r="B40">
        <v>39</v>
      </c>
      <c r="C40">
        <v>10</v>
      </c>
      <c r="D40">
        <v>15</v>
      </c>
      <c r="E40">
        <v>16</v>
      </c>
      <c r="F40">
        <v>14</v>
      </c>
      <c r="G40">
        <v>0.3</v>
      </c>
      <c r="H40">
        <v>29</v>
      </c>
      <c r="I40">
        <v>7</v>
      </c>
      <c r="J40">
        <v>1.4</v>
      </c>
      <c r="K40">
        <v>509626790.16487497</v>
      </c>
      <c r="L40">
        <v>54446000</v>
      </c>
      <c r="M40">
        <v>79696308.143987909</v>
      </c>
      <c r="N40">
        <v>72467800</v>
      </c>
      <c r="O40">
        <v>15893984.959999999</v>
      </c>
      <c r="P40">
        <v>213.42254399999999</v>
      </c>
      <c r="Q40">
        <v>1.2482673533296054</v>
      </c>
      <c r="R40">
        <v>43.336950100000003</v>
      </c>
      <c r="S40">
        <v>782.37929399999996</v>
      </c>
      <c r="T40">
        <v>4.1926383299999997E-15</v>
      </c>
      <c r="U40">
        <v>19.036105728350051</v>
      </c>
      <c r="V40">
        <v>100.934</v>
      </c>
      <c r="W40">
        <v>-241.15629725370565</v>
      </c>
      <c r="X40">
        <v>62.829739699999998</v>
      </c>
      <c r="Y40">
        <v>92.0853951</v>
      </c>
      <c r="Z40">
        <v>100.934</v>
      </c>
      <c r="AA40">
        <v>226.83813000000001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1.2482673533296054</v>
      </c>
    </row>
    <row r="41" spans="1:41" x14ac:dyDescent="0.3">
      <c r="A41">
        <v>910</v>
      </c>
      <c r="B41">
        <v>39</v>
      </c>
      <c r="C41">
        <v>10</v>
      </c>
      <c r="D41">
        <v>1</v>
      </c>
      <c r="E41">
        <v>16</v>
      </c>
      <c r="F41">
        <v>14</v>
      </c>
      <c r="G41">
        <v>0.49115166390328041</v>
      </c>
      <c r="H41">
        <v>29</v>
      </c>
      <c r="I41">
        <v>7</v>
      </c>
      <c r="J41">
        <v>1.4</v>
      </c>
      <c r="K41">
        <v>508709867.60817534</v>
      </c>
      <c r="L41">
        <v>54446000</v>
      </c>
      <c r="M41">
        <v>79696345.221019417</v>
      </c>
      <c r="N41">
        <v>72467800</v>
      </c>
      <c r="O41">
        <v>15889386.32</v>
      </c>
      <c r="P41">
        <v>208.96313900000001</v>
      </c>
      <c r="Q41">
        <v>1.2719273735842545</v>
      </c>
      <c r="R41">
        <v>43.3231714</v>
      </c>
      <c r="S41">
        <v>781.25422000000003</v>
      </c>
      <c r="T41">
        <v>1.3722243700000001E-16</v>
      </c>
      <c r="U41">
        <v>18.570091454015998</v>
      </c>
      <c r="V41">
        <v>80.72</v>
      </c>
      <c r="W41">
        <v>-142.02053760889851</v>
      </c>
      <c r="X41">
        <v>63.1158535</v>
      </c>
      <c r="Y41">
        <v>94.874578099999994</v>
      </c>
      <c r="Z41">
        <v>100.934</v>
      </c>
      <c r="AA41">
        <v>227.84541100000001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1.2719273735842545</v>
      </c>
    </row>
    <row r="42" spans="1:41" x14ac:dyDescent="0.3">
      <c r="A42">
        <v>910</v>
      </c>
      <c r="B42">
        <v>27</v>
      </c>
      <c r="C42">
        <v>13</v>
      </c>
      <c r="D42">
        <v>15</v>
      </c>
      <c r="E42">
        <v>21</v>
      </c>
      <c r="F42">
        <v>14</v>
      </c>
      <c r="G42">
        <v>0.3</v>
      </c>
      <c r="H42">
        <v>10</v>
      </c>
      <c r="I42">
        <v>8</v>
      </c>
      <c r="J42">
        <v>0.3</v>
      </c>
      <c r="K42">
        <v>508600746.6584928</v>
      </c>
      <c r="L42">
        <v>54446000</v>
      </c>
      <c r="M42">
        <v>79696366.931652665</v>
      </c>
      <c r="N42">
        <v>72467800</v>
      </c>
      <c r="O42">
        <v>15902864.08</v>
      </c>
      <c r="P42">
        <v>209.65961200000001</v>
      </c>
      <c r="Q42">
        <v>1.2673488074966359</v>
      </c>
      <c r="R42">
        <v>43.568006500000003</v>
      </c>
      <c r="S42">
        <v>780.07841499999995</v>
      </c>
      <c r="T42">
        <v>6.0341559900000003E-16</v>
      </c>
      <c r="U42">
        <v>19.527731822504009</v>
      </c>
      <c r="V42">
        <v>100.934</v>
      </c>
      <c r="W42">
        <v>-240.50365113329676</v>
      </c>
      <c r="X42">
        <v>62.8186593</v>
      </c>
      <c r="Y42">
        <v>92.400880700000002</v>
      </c>
      <c r="Z42">
        <v>144.29</v>
      </c>
      <c r="AA42">
        <v>238.99256700000001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1.2673488074966359</v>
      </c>
    </row>
    <row r="43" spans="1:41" x14ac:dyDescent="0.3">
      <c r="A43">
        <v>947.04825625216893</v>
      </c>
      <c r="B43">
        <v>36</v>
      </c>
      <c r="C43">
        <v>18</v>
      </c>
      <c r="D43">
        <v>5.9369118680750157</v>
      </c>
      <c r="E43">
        <v>17</v>
      </c>
      <c r="F43">
        <v>12</v>
      </c>
      <c r="G43">
        <v>1.2</v>
      </c>
      <c r="H43">
        <v>13</v>
      </c>
      <c r="I43">
        <v>11</v>
      </c>
      <c r="J43">
        <v>1.4</v>
      </c>
      <c r="K43">
        <v>509815404.3970781</v>
      </c>
      <c r="L43">
        <v>54446000</v>
      </c>
      <c r="M43">
        <v>79696290.185535863</v>
      </c>
      <c r="N43">
        <v>72467800</v>
      </c>
      <c r="O43">
        <v>15895460.639999999</v>
      </c>
      <c r="P43">
        <v>212.483968</v>
      </c>
      <c r="Q43">
        <v>1.254383746625374</v>
      </c>
      <c r="R43">
        <v>43.608236099999999</v>
      </c>
      <c r="S43">
        <v>780.25119399999994</v>
      </c>
      <c r="T43">
        <v>2.6871126100000002E-16</v>
      </c>
      <c r="U43">
        <v>19.096257289764708</v>
      </c>
      <c r="V43">
        <v>100.934</v>
      </c>
      <c r="W43">
        <v>-240.13609524693007</v>
      </c>
      <c r="X43">
        <v>62.836629600000002</v>
      </c>
      <c r="Y43">
        <v>92.384050200000004</v>
      </c>
      <c r="Z43">
        <v>144.29</v>
      </c>
      <c r="AA43">
        <v>232.91544400000001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1.254383746625374</v>
      </c>
    </row>
    <row r="44" spans="1:41" x14ac:dyDescent="0.3">
      <c r="A44">
        <v>949.63431594771464</v>
      </c>
      <c r="B44">
        <v>39</v>
      </c>
      <c r="C44">
        <v>19</v>
      </c>
      <c r="D44">
        <v>1</v>
      </c>
      <c r="E44">
        <v>10</v>
      </c>
      <c r="F44">
        <v>5</v>
      </c>
      <c r="G44">
        <v>0.3</v>
      </c>
      <c r="H44">
        <v>19</v>
      </c>
      <c r="I44">
        <v>14</v>
      </c>
      <c r="J44">
        <v>0.3</v>
      </c>
      <c r="K44">
        <v>510011410.3467871</v>
      </c>
      <c r="L44">
        <v>54446000</v>
      </c>
      <c r="M44">
        <v>79696290.379267067</v>
      </c>
      <c r="N44">
        <v>72467800</v>
      </c>
      <c r="O44">
        <v>15895694.32</v>
      </c>
      <c r="P44">
        <v>209.77178499999999</v>
      </c>
      <c r="Q44">
        <v>1.2712362414272351</v>
      </c>
      <c r="R44">
        <v>43.469056700000003</v>
      </c>
      <c r="S44">
        <v>781.33313899999996</v>
      </c>
      <c r="T44">
        <v>5.8484401299999997E-9</v>
      </c>
      <c r="U44">
        <v>19.75746414343952</v>
      </c>
      <c r="V44">
        <v>80.72</v>
      </c>
      <c r="W44">
        <v>-151.80061146260473</v>
      </c>
      <c r="X44">
        <v>63.057986900000003</v>
      </c>
      <c r="Y44">
        <v>94.817380099999994</v>
      </c>
      <c r="Z44">
        <v>144.29</v>
      </c>
      <c r="AA44">
        <v>233.293836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1.2712362414272351</v>
      </c>
    </row>
    <row r="45" spans="1:41" x14ac:dyDescent="0.3">
      <c r="A45">
        <v>938.75720437844461</v>
      </c>
      <c r="B45">
        <v>39</v>
      </c>
      <c r="C45">
        <v>17</v>
      </c>
      <c r="D45">
        <v>14.536600430336355</v>
      </c>
      <c r="E45">
        <v>29</v>
      </c>
      <c r="F45">
        <v>5</v>
      </c>
      <c r="G45">
        <v>0.3</v>
      </c>
      <c r="H45">
        <v>19</v>
      </c>
      <c r="I45">
        <v>7</v>
      </c>
      <c r="J45">
        <v>0.3</v>
      </c>
      <c r="K45">
        <v>509466902.9571501</v>
      </c>
      <c r="L45">
        <v>54446000</v>
      </c>
      <c r="M45">
        <v>79696314.499316722</v>
      </c>
      <c r="N45">
        <v>72467800</v>
      </c>
      <c r="O45">
        <v>15897611.68</v>
      </c>
      <c r="P45">
        <v>210.59100799999999</v>
      </c>
      <c r="Q45">
        <v>1.264535729320357</v>
      </c>
      <c r="R45">
        <v>43.667829300000001</v>
      </c>
      <c r="S45">
        <v>780.51825900000006</v>
      </c>
      <c r="T45">
        <v>4.7195162099999997E-9</v>
      </c>
      <c r="U45">
        <v>19.89646461487358</v>
      </c>
      <c r="V45">
        <v>100.934</v>
      </c>
      <c r="W45">
        <v>-236.30222706165753</v>
      </c>
      <c r="X45">
        <v>62.756119099999999</v>
      </c>
      <c r="Y45">
        <v>92.034541599999997</v>
      </c>
      <c r="Z45">
        <v>180.98100000000002</v>
      </c>
      <c r="AA45">
        <v>235.770816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1.264535729320357</v>
      </c>
    </row>
    <row r="46" spans="1:41" x14ac:dyDescent="0.3">
      <c r="A46">
        <v>923.10115605288138</v>
      </c>
      <c r="B46">
        <v>27</v>
      </c>
      <c r="C46">
        <v>10</v>
      </c>
      <c r="D46">
        <v>5.560354713068028</v>
      </c>
      <c r="E46">
        <v>29</v>
      </c>
      <c r="F46">
        <v>5</v>
      </c>
      <c r="G46">
        <v>0.3</v>
      </c>
      <c r="H46">
        <v>10</v>
      </c>
      <c r="I46">
        <v>8</v>
      </c>
      <c r="J46">
        <v>1.4</v>
      </c>
      <c r="K46">
        <v>508949489.59683895</v>
      </c>
      <c r="L46">
        <v>54446000</v>
      </c>
      <c r="M46">
        <v>79696325.502140254</v>
      </c>
      <c r="N46">
        <v>72467800</v>
      </c>
      <c r="O46">
        <v>15894156.08</v>
      </c>
      <c r="P46">
        <v>210.51028299999999</v>
      </c>
      <c r="Q46">
        <v>1.263352086125517</v>
      </c>
      <c r="R46">
        <v>43.6686549</v>
      </c>
      <c r="S46">
        <v>780.25339800000006</v>
      </c>
      <c r="T46">
        <v>4.6950245500000004E-9</v>
      </c>
      <c r="U46">
        <v>19.809274831228262</v>
      </c>
      <c r="V46">
        <v>100.934</v>
      </c>
      <c r="W46">
        <v>-236.65468862672495</v>
      </c>
      <c r="X46">
        <v>62.868997399999998</v>
      </c>
      <c r="Y46">
        <v>92.616380100000001</v>
      </c>
      <c r="Z46">
        <v>180.98100000000002</v>
      </c>
      <c r="AA46">
        <v>234.359905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1.263352086125517</v>
      </c>
    </row>
    <row r="47" spans="1:41" x14ac:dyDescent="0.3">
      <c r="A47">
        <v>928.83996492646872</v>
      </c>
      <c r="B47">
        <v>27</v>
      </c>
      <c r="C47">
        <v>19</v>
      </c>
      <c r="D47">
        <v>15</v>
      </c>
      <c r="E47">
        <v>11</v>
      </c>
      <c r="F47">
        <v>9</v>
      </c>
      <c r="G47">
        <v>0.30000866693335815</v>
      </c>
      <c r="H47">
        <v>25</v>
      </c>
      <c r="I47">
        <v>14</v>
      </c>
      <c r="J47">
        <v>1.0832302012961139</v>
      </c>
      <c r="K47">
        <v>509352508.8492316</v>
      </c>
      <c r="L47">
        <v>54446000</v>
      </c>
      <c r="M47">
        <v>79696319.998160481</v>
      </c>
      <c r="N47">
        <v>72467800</v>
      </c>
      <c r="O47">
        <v>15890809.6</v>
      </c>
      <c r="P47">
        <v>212.824343</v>
      </c>
      <c r="Q47">
        <v>1.250901062870045</v>
      </c>
      <c r="R47">
        <v>43.336336099999997</v>
      </c>
      <c r="S47">
        <v>782.44370800000002</v>
      </c>
      <c r="T47">
        <v>1.7749075099999999E-11</v>
      </c>
      <c r="U47">
        <v>19.062001775907266</v>
      </c>
      <c r="V47">
        <v>91.850000000000009</v>
      </c>
      <c r="W47">
        <v>-242.11696093906357</v>
      </c>
      <c r="X47">
        <v>62.841036899999999</v>
      </c>
      <c r="Y47">
        <v>92.444318100000004</v>
      </c>
      <c r="Z47">
        <v>100.934</v>
      </c>
      <c r="AA47">
        <v>226.776892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1.250901062870045</v>
      </c>
    </row>
    <row r="48" spans="1:41" x14ac:dyDescent="0.3">
      <c r="A48">
        <v>910</v>
      </c>
      <c r="B48">
        <v>39</v>
      </c>
      <c r="C48">
        <v>10</v>
      </c>
      <c r="D48">
        <v>1</v>
      </c>
      <c r="E48">
        <v>29</v>
      </c>
      <c r="F48">
        <v>5</v>
      </c>
      <c r="G48">
        <v>0.3</v>
      </c>
      <c r="H48">
        <v>29</v>
      </c>
      <c r="I48">
        <v>14</v>
      </c>
      <c r="J48">
        <v>1.4</v>
      </c>
      <c r="K48">
        <v>508488324.71242732</v>
      </c>
      <c r="L48">
        <v>54446000</v>
      </c>
      <c r="M48">
        <v>79696345.841246918</v>
      </c>
      <c r="N48">
        <v>72467800</v>
      </c>
      <c r="O48">
        <v>15889464.799999999</v>
      </c>
      <c r="P48">
        <v>206.669578</v>
      </c>
      <c r="Q48">
        <v>1.2853151567102719</v>
      </c>
      <c r="R48">
        <v>43.623316000000003</v>
      </c>
      <c r="S48">
        <v>780.879009</v>
      </c>
      <c r="T48">
        <v>4.0601501500000003E-9</v>
      </c>
      <c r="U48">
        <v>19.774381122301325</v>
      </c>
      <c r="V48">
        <v>80.72</v>
      </c>
      <c r="W48">
        <v>-137.09826705168831</v>
      </c>
      <c r="X48">
        <v>63.1152327</v>
      </c>
      <c r="Y48">
        <v>94.874240599999993</v>
      </c>
      <c r="Z48">
        <v>180.98100000000002</v>
      </c>
      <c r="AA48">
        <v>230.89587900000001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1.2853151567102719</v>
      </c>
    </row>
    <row r="49" spans="1:41" x14ac:dyDescent="0.3">
      <c r="A49">
        <v>910</v>
      </c>
      <c r="B49">
        <v>27</v>
      </c>
      <c r="C49">
        <v>19</v>
      </c>
      <c r="D49">
        <v>15</v>
      </c>
      <c r="E49">
        <v>29</v>
      </c>
      <c r="F49">
        <v>14</v>
      </c>
      <c r="G49">
        <v>1.2</v>
      </c>
      <c r="H49">
        <v>10</v>
      </c>
      <c r="I49">
        <v>7</v>
      </c>
      <c r="J49">
        <v>1.4</v>
      </c>
      <c r="K49">
        <v>508509440.46650589</v>
      </c>
      <c r="L49">
        <v>54446000</v>
      </c>
      <c r="M49">
        <v>79696345.841246918</v>
      </c>
      <c r="N49">
        <v>72467800</v>
      </c>
      <c r="O49">
        <v>15896886</v>
      </c>
      <c r="P49">
        <v>209.399145</v>
      </c>
      <c r="Q49">
        <v>1.2686292275556361</v>
      </c>
      <c r="R49">
        <v>43.6441351</v>
      </c>
      <c r="S49">
        <v>781.09043399999996</v>
      </c>
      <c r="T49">
        <v>1.7784753799999999E-12</v>
      </c>
      <c r="U49">
        <v>19.135287911929332</v>
      </c>
      <c r="V49">
        <v>91.850000000000009</v>
      </c>
      <c r="W49">
        <v>-239.90934297393139</v>
      </c>
      <c r="X49">
        <v>62.876759399999997</v>
      </c>
      <c r="Y49">
        <v>92.460164800000001</v>
      </c>
      <c r="Z49">
        <v>203.285</v>
      </c>
      <c r="AA49">
        <v>232.94403399999999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1.2686292275556361</v>
      </c>
    </row>
    <row r="50" spans="1:41" x14ac:dyDescent="0.3">
      <c r="A50">
        <v>910</v>
      </c>
      <c r="B50">
        <v>39</v>
      </c>
      <c r="C50">
        <v>19</v>
      </c>
      <c r="D50">
        <v>15</v>
      </c>
      <c r="E50">
        <v>10</v>
      </c>
      <c r="F50">
        <v>5</v>
      </c>
      <c r="G50">
        <v>0.3</v>
      </c>
      <c r="H50">
        <v>14</v>
      </c>
      <c r="I50">
        <v>12</v>
      </c>
      <c r="J50">
        <v>1.3118829651463619</v>
      </c>
      <c r="K50">
        <v>508597172.84478652</v>
      </c>
      <c r="L50">
        <v>54446000</v>
      </c>
      <c r="M50">
        <v>79696345.534522951</v>
      </c>
      <c r="N50">
        <v>72467800</v>
      </c>
      <c r="O50">
        <v>15896734.800000001</v>
      </c>
      <c r="P50">
        <v>210.34664100000001</v>
      </c>
      <c r="Q50">
        <v>1.2631978903179255</v>
      </c>
      <c r="R50">
        <v>43.525098900000003</v>
      </c>
      <c r="S50">
        <v>780.6324810000001</v>
      </c>
      <c r="T50">
        <v>6.8538654999999998E-9</v>
      </c>
      <c r="U50">
        <v>19.573622459201857</v>
      </c>
      <c r="V50">
        <v>100.934</v>
      </c>
      <c r="W50">
        <v>-242.58936991962409</v>
      </c>
      <c r="X50">
        <v>62.8666324</v>
      </c>
      <c r="Y50">
        <v>92.089827999999997</v>
      </c>
      <c r="Z50">
        <v>144.29</v>
      </c>
      <c r="AA50">
        <v>229.87386799999999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1.2631978903179255</v>
      </c>
    </row>
    <row r="51" spans="1:41" x14ac:dyDescent="0.3">
      <c r="A51">
        <v>910</v>
      </c>
      <c r="B51">
        <v>39</v>
      </c>
      <c r="C51">
        <v>10</v>
      </c>
      <c r="D51">
        <v>1</v>
      </c>
      <c r="E51">
        <v>29</v>
      </c>
      <c r="F51">
        <v>14</v>
      </c>
      <c r="G51">
        <v>0.3</v>
      </c>
      <c r="H51">
        <v>10</v>
      </c>
      <c r="I51">
        <v>7</v>
      </c>
      <c r="J51">
        <v>1.4</v>
      </c>
      <c r="K51">
        <v>508478880.59123909</v>
      </c>
      <c r="L51">
        <v>54446000</v>
      </c>
      <c r="M51">
        <v>79696345.937188029</v>
      </c>
      <c r="N51">
        <v>72467800</v>
      </c>
      <c r="O51">
        <v>15889587.52</v>
      </c>
      <c r="P51">
        <v>206.76880299999999</v>
      </c>
      <c r="Q51">
        <v>1.2846673482181896</v>
      </c>
      <c r="R51">
        <v>43.623571300000002</v>
      </c>
      <c r="S51">
        <v>780.85421899999994</v>
      </c>
      <c r="T51">
        <v>4.0585119900000003E-9</v>
      </c>
      <c r="U51">
        <v>19.764636679097631</v>
      </c>
      <c r="V51">
        <v>80.72</v>
      </c>
      <c r="W51">
        <v>-137.12967976643452</v>
      </c>
      <c r="X51">
        <v>63.125624799999997</v>
      </c>
      <c r="Y51">
        <v>94.880297400000003</v>
      </c>
      <c r="Z51">
        <v>180.98100000000002</v>
      </c>
      <c r="AA51">
        <v>233.394294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1.2846673482181896</v>
      </c>
    </row>
    <row r="52" spans="1:41" x14ac:dyDescent="0.3">
      <c r="A52">
        <v>951.92795330010642</v>
      </c>
      <c r="B52">
        <v>39</v>
      </c>
      <c r="C52">
        <v>19</v>
      </c>
      <c r="D52">
        <v>1</v>
      </c>
      <c r="E52">
        <v>15</v>
      </c>
      <c r="F52">
        <v>10</v>
      </c>
      <c r="G52">
        <v>0.3</v>
      </c>
      <c r="H52">
        <v>14</v>
      </c>
      <c r="I52">
        <v>7</v>
      </c>
      <c r="J52">
        <v>0.3</v>
      </c>
      <c r="K52">
        <v>510109044.32155323</v>
      </c>
      <c r="L52">
        <v>54446000</v>
      </c>
      <c r="M52">
        <v>79696288.05284898</v>
      </c>
      <c r="N52">
        <v>72467800</v>
      </c>
      <c r="O52">
        <v>15897361.039999999</v>
      </c>
      <c r="P52">
        <v>209.74987100000001</v>
      </c>
      <c r="Q52">
        <v>1.2716850483540445</v>
      </c>
      <c r="R52">
        <v>43.464017300000002</v>
      </c>
      <c r="S52">
        <v>780.95888500000001</v>
      </c>
      <c r="T52">
        <v>7.6464587999999996E-13</v>
      </c>
      <c r="U52">
        <v>19.599950874954274</v>
      </c>
      <c r="V52">
        <v>80.72</v>
      </c>
      <c r="W52">
        <v>-151.60490545522538</v>
      </c>
      <c r="X52">
        <v>63.018998199999999</v>
      </c>
      <c r="Y52">
        <v>94.795089700000005</v>
      </c>
      <c r="Z52">
        <v>144.29</v>
      </c>
      <c r="AA52">
        <v>232.848026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1.2716850483540445</v>
      </c>
    </row>
    <row r="53" spans="1:41" x14ac:dyDescent="0.3">
      <c r="A53">
        <v>941.60199726512042</v>
      </c>
      <c r="B53">
        <v>33</v>
      </c>
      <c r="C53">
        <v>15</v>
      </c>
      <c r="D53">
        <v>6.021994839174738</v>
      </c>
      <c r="E53">
        <v>12</v>
      </c>
      <c r="F53">
        <v>10</v>
      </c>
      <c r="G53">
        <v>1.2</v>
      </c>
      <c r="H53">
        <v>24</v>
      </c>
      <c r="I53">
        <v>14</v>
      </c>
      <c r="J53">
        <v>1.4</v>
      </c>
      <c r="K53">
        <v>509684932.81762987</v>
      </c>
      <c r="L53">
        <v>54446000</v>
      </c>
      <c r="M53">
        <v>79696299.285972297</v>
      </c>
      <c r="N53">
        <v>72467800</v>
      </c>
      <c r="O53">
        <v>15892137.68</v>
      </c>
      <c r="P53">
        <v>212.744069</v>
      </c>
      <c r="Q53">
        <v>1.2524338085188811</v>
      </c>
      <c r="R53">
        <v>43.496999000000002</v>
      </c>
      <c r="S53">
        <v>780.30449700000008</v>
      </c>
      <c r="T53">
        <v>3.4708602999999997E-14</v>
      </c>
      <c r="U53">
        <v>18.841695459629349</v>
      </c>
      <c r="V53">
        <v>100.934</v>
      </c>
      <c r="W53">
        <v>-240.29995711417362</v>
      </c>
      <c r="X53">
        <v>62.821266600000001</v>
      </c>
      <c r="Y53">
        <v>92.4222745</v>
      </c>
      <c r="Z53">
        <v>121.52199999999999</v>
      </c>
      <c r="AA53">
        <v>229.42248799999999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1.2524338085188811</v>
      </c>
    </row>
    <row r="54" spans="1:41" x14ac:dyDescent="0.3">
      <c r="A54">
        <v>910</v>
      </c>
      <c r="B54">
        <v>39</v>
      </c>
      <c r="C54">
        <v>19</v>
      </c>
      <c r="D54">
        <v>1</v>
      </c>
      <c r="E54">
        <v>29</v>
      </c>
      <c r="F54">
        <v>5</v>
      </c>
      <c r="G54">
        <v>0.3</v>
      </c>
      <c r="H54">
        <v>29</v>
      </c>
      <c r="I54">
        <v>7</v>
      </c>
      <c r="J54">
        <v>1.4</v>
      </c>
      <c r="K54">
        <v>508489425.02341914</v>
      </c>
      <c r="L54">
        <v>54446000</v>
      </c>
      <c r="M54">
        <v>79696345.848848239</v>
      </c>
      <c r="N54">
        <v>72467800</v>
      </c>
      <c r="O54">
        <v>15889465.280000001</v>
      </c>
      <c r="P54">
        <v>206.11666700000001</v>
      </c>
      <c r="Q54">
        <v>1.288766657506984</v>
      </c>
      <c r="R54">
        <v>43.629667499999996</v>
      </c>
      <c r="S54">
        <v>780.82615699999997</v>
      </c>
      <c r="T54">
        <v>3.8905756899999996E-9</v>
      </c>
      <c r="U54">
        <v>20.033346461563749</v>
      </c>
      <c r="V54">
        <v>80.72</v>
      </c>
      <c r="W54">
        <v>-145.75365780391238</v>
      </c>
      <c r="X54">
        <v>63.112693999999998</v>
      </c>
      <c r="Y54">
        <v>94.846907799999997</v>
      </c>
      <c r="Z54">
        <v>180.98100000000002</v>
      </c>
      <c r="AA54">
        <v>230.91993099999999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1.288766657506984</v>
      </c>
    </row>
    <row r="55" spans="1:41" x14ac:dyDescent="0.3">
      <c r="A55">
        <v>939.549426380466</v>
      </c>
      <c r="B55">
        <v>32</v>
      </c>
      <c r="C55">
        <v>19</v>
      </c>
      <c r="D55">
        <v>3.356798553544039</v>
      </c>
      <c r="E55">
        <v>29</v>
      </c>
      <c r="F55">
        <v>5</v>
      </c>
      <c r="G55">
        <v>0.3</v>
      </c>
      <c r="H55">
        <v>10</v>
      </c>
      <c r="I55">
        <v>7</v>
      </c>
      <c r="J55">
        <v>1.4</v>
      </c>
      <c r="K55">
        <v>509470766.96012664</v>
      </c>
      <c r="L55">
        <v>54446000</v>
      </c>
      <c r="M55">
        <v>79696303.231884718</v>
      </c>
      <c r="N55">
        <v>72467800</v>
      </c>
      <c r="O55">
        <v>15889801.439999999</v>
      </c>
      <c r="P55">
        <v>211.349885</v>
      </c>
      <c r="Q55">
        <v>1.2600076739469595</v>
      </c>
      <c r="R55">
        <v>43.669646</v>
      </c>
      <c r="S55">
        <v>780.28377499999999</v>
      </c>
      <c r="T55">
        <v>4.6616164300000003E-9</v>
      </c>
      <c r="U55">
        <v>19.826723344428384</v>
      </c>
      <c r="V55">
        <v>91.850000000000009</v>
      </c>
      <c r="W55">
        <v>-238.53634745453587</v>
      </c>
      <c r="X55">
        <v>62.833101800000001</v>
      </c>
      <c r="Y55">
        <v>92.6964617</v>
      </c>
      <c r="Z55">
        <v>180.98100000000002</v>
      </c>
      <c r="AA55">
        <v>233.62801300000001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1.2600076739469595</v>
      </c>
    </row>
    <row r="56" spans="1:41" x14ac:dyDescent="0.3">
      <c r="A56">
        <v>946.51873165908989</v>
      </c>
      <c r="B56">
        <v>37</v>
      </c>
      <c r="C56">
        <v>16</v>
      </c>
      <c r="D56">
        <v>5.3259513694012508</v>
      </c>
      <c r="E56">
        <v>21</v>
      </c>
      <c r="F56">
        <v>5</v>
      </c>
      <c r="G56">
        <v>0.3</v>
      </c>
      <c r="H56">
        <v>19</v>
      </c>
      <c r="I56">
        <v>9</v>
      </c>
      <c r="J56">
        <v>1.4</v>
      </c>
      <c r="K56">
        <v>509761726.86034495</v>
      </c>
      <c r="L56">
        <v>54446000</v>
      </c>
      <c r="M56">
        <v>79696291.185419008</v>
      </c>
      <c r="N56">
        <v>72467800</v>
      </c>
      <c r="O56">
        <v>15893970.32</v>
      </c>
      <c r="P56">
        <v>211.88634300000001</v>
      </c>
      <c r="Q56">
        <v>1.2577497578823786</v>
      </c>
      <c r="R56">
        <v>43.659612600000003</v>
      </c>
      <c r="S56">
        <v>780.37425299999995</v>
      </c>
      <c r="T56">
        <v>4.7852326E-9</v>
      </c>
      <c r="U56">
        <v>19.837113855594072</v>
      </c>
      <c r="V56">
        <v>100.934</v>
      </c>
      <c r="W56">
        <v>-238.15878518750995</v>
      </c>
      <c r="X56">
        <v>62.812289999999997</v>
      </c>
      <c r="Y56">
        <v>92.382580200000007</v>
      </c>
      <c r="Z56">
        <v>177.97</v>
      </c>
      <c r="AA56">
        <v>231.55539099999999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1.2577497578823786</v>
      </c>
    </row>
    <row r="57" spans="1:41" x14ac:dyDescent="0.3">
      <c r="A57">
        <v>921.40151617496281</v>
      </c>
      <c r="B57">
        <v>39</v>
      </c>
      <c r="C57">
        <v>10</v>
      </c>
      <c r="D57">
        <v>1</v>
      </c>
      <c r="E57">
        <v>29</v>
      </c>
      <c r="F57">
        <v>14</v>
      </c>
      <c r="G57">
        <v>1.2</v>
      </c>
      <c r="H57">
        <v>29</v>
      </c>
      <c r="I57">
        <v>7</v>
      </c>
      <c r="J57">
        <v>0.3</v>
      </c>
      <c r="K57">
        <v>508947355.69929647</v>
      </c>
      <c r="L57">
        <v>54446000</v>
      </c>
      <c r="M57">
        <v>79696337.164841473</v>
      </c>
      <c r="N57">
        <v>72467800</v>
      </c>
      <c r="O57">
        <v>15894597.040000001</v>
      </c>
      <c r="P57">
        <v>206.65654599999999</v>
      </c>
      <c r="Q57">
        <v>1.2869041011245923</v>
      </c>
      <c r="R57">
        <v>43.5976967</v>
      </c>
      <c r="S57">
        <v>782.09833200000003</v>
      </c>
      <c r="T57">
        <v>8.5415337499999999E-19</v>
      </c>
      <c r="U57">
        <v>19.214765258327585</v>
      </c>
      <c r="V57">
        <v>80.72</v>
      </c>
      <c r="W57">
        <v>-139.51491208315755</v>
      </c>
      <c r="X57">
        <v>63.030920100000003</v>
      </c>
      <c r="Y57">
        <v>94.8259489</v>
      </c>
      <c r="Z57">
        <v>203.285</v>
      </c>
      <c r="AA57">
        <v>234.87175400000001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1.2869041011245923</v>
      </c>
    </row>
    <row r="58" spans="1:41" x14ac:dyDescent="0.3">
      <c r="A58">
        <v>940.97723692444197</v>
      </c>
      <c r="B58">
        <v>39</v>
      </c>
      <c r="C58">
        <v>10</v>
      </c>
      <c r="D58">
        <v>1</v>
      </c>
      <c r="E58">
        <v>29</v>
      </c>
      <c r="F58">
        <v>5</v>
      </c>
      <c r="G58">
        <v>1.2</v>
      </c>
      <c r="H58">
        <v>10</v>
      </c>
      <c r="I58">
        <v>8</v>
      </c>
      <c r="J58">
        <v>0.3</v>
      </c>
      <c r="K58">
        <v>509695019.55867398</v>
      </c>
      <c r="L58">
        <v>54446000</v>
      </c>
      <c r="M58">
        <v>79696323.708842531</v>
      </c>
      <c r="N58">
        <v>72467800</v>
      </c>
      <c r="O58">
        <v>15897702.560000001</v>
      </c>
      <c r="P58">
        <v>207.97255999999999</v>
      </c>
      <c r="Q58">
        <v>1.2812012893110121</v>
      </c>
      <c r="R58">
        <v>43.598038600000002</v>
      </c>
      <c r="S58">
        <v>781.37525500000004</v>
      </c>
      <c r="T58">
        <v>4.0796621599999998E-10</v>
      </c>
      <c r="U58">
        <v>19.39251073110286</v>
      </c>
      <c r="V58">
        <v>80.72</v>
      </c>
      <c r="W58">
        <v>-138.30661410308053</v>
      </c>
      <c r="X58">
        <v>62.976734800000003</v>
      </c>
      <c r="Y58">
        <v>94.795911200000006</v>
      </c>
      <c r="Z58">
        <v>203.285</v>
      </c>
      <c r="AA58">
        <v>240.290108</v>
      </c>
      <c r="AB58">
        <v>100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101.28120128931101</v>
      </c>
    </row>
    <row r="59" spans="1:41" x14ac:dyDescent="0.3">
      <c r="A59">
        <v>939.83193042054324</v>
      </c>
      <c r="B59">
        <v>27</v>
      </c>
      <c r="C59">
        <v>19</v>
      </c>
      <c r="D59">
        <v>13.112685305793997</v>
      </c>
      <c r="E59">
        <v>29</v>
      </c>
      <c r="F59">
        <v>5</v>
      </c>
      <c r="G59">
        <v>0.3</v>
      </c>
      <c r="H59">
        <v>12</v>
      </c>
      <c r="I59">
        <v>10</v>
      </c>
      <c r="J59">
        <v>1.4</v>
      </c>
      <c r="K59">
        <v>509481389.20344436</v>
      </c>
      <c r="L59">
        <v>54446000</v>
      </c>
      <c r="M59">
        <v>79696302.701229647</v>
      </c>
      <c r="N59">
        <v>72467800</v>
      </c>
      <c r="O59">
        <v>15895210.16</v>
      </c>
      <c r="P59">
        <v>211.491277</v>
      </c>
      <c r="Q59">
        <v>1.2591993945552076</v>
      </c>
      <c r="R59">
        <v>43.671299400000002</v>
      </c>
      <c r="S59">
        <v>780.241128</v>
      </c>
      <c r="T59">
        <v>4.6632463400000002E-9</v>
      </c>
      <c r="U59">
        <v>19.815758209910456</v>
      </c>
      <c r="V59">
        <v>91.850000000000009</v>
      </c>
      <c r="W59">
        <v>-238.71662019706676</v>
      </c>
      <c r="X59">
        <v>62.843040100000003</v>
      </c>
      <c r="Y59">
        <v>92.466391099999996</v>
      </c>
      <c r="Z59">
        <v>180.98100000000002</v>
      </c>
      <c r="AA59">
        <v>234.02220700000001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1.2591993945552076</v>
      </c>
    </row>
    <row r="60" spans="1:41" x14ac:dyDescent="0.3">
      <c r="A60">
        <v>938.16686677680241</v>
      </c>
      <c r="B60">
        <v>27</v>
      </c>
      <c r="C60">
        <v>19</v>
      </c>
      <c r="D60">
        <v>1.2741740684536964</v>
      </c>
      <c r="E60">
        <v>23</v>
      </c>
      <c r="F60">
        <v>5</v>
      </c>
      <c r="G60">
        <v>0.3</v>
      </c>
      <c r="H60">
        <v>19</v>
      </c>
      <c r="I60">
        <v>7</v>
      </c>
      <c r="J60">
        <v>1.4</v>
      </c>
      <c r="K60">
        <v>509437793.18546712</v>
      </c>
      <c r="L60">
        <v>54446000</v>
      </c>
      <c r="M60">
        <v>79696305.431340039</v>
      </c>
      <c r="N60">
        <v>72467800</v>
      </c>
      <c r="O60">
        <v>15887858.720000001</v>
      </c>
      <c r="P60">
        <v>208.19411199999999</v>
      </c>
      <c r="Q60">
        <v>1.2789991513877939</v>
      </c>
      <c r="R60">
        <v>43.668992299999999</v>
      </c>
      <c r="S60">
        <v>779.88354299999992</v>
      </c>
      <c r="T60">
        <v>4.6184966499999999E-9</v>
      </c>
      <c r="U60">
        <v>20.02039712689907</v>
      </c>
      <c r="V60">
        <v>68.709999999999994</v>
      </c>
      <c r="W60">
        <v>-201.89905939308881</v>
      </c>
      <c r="X60">
        <v>62.942597599999999</v>
      </c>
      <c r="Y60">
        <v>93.974418400000005</v>
      </c>
      <c r="Z60">
        <v>177.97</v>
      </c>
      <c r="AA60">
        <v>231.147649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1.2789991513877939</v>
      </c>
    </row>
    <row r="61" spans="1:41" x14ac:dyDescent="0.3">
      <c r="A61">
        <v>947.96280552281212</v>
      </c>
      <c r="B61">
        <v>35</v>
      </c>
      <c r="C61">
        <v>19</v>
      </c>
      <c r="D61">
        <v>9.255282614141958</v>
      </c>
      <c r="E61">
        <v>28</v>
      </c>
      <c r="F61">
        <v>5</v>
      </c>
      <c r="G61">
        <v>0.3</v>
      </c>
      <c r="H61">
        <v>13</v>
      </c>
      <c r="I61">
        <v>7</v>
      </c>
      <c r="J61">
        <v>1.4</v>
      </c>
      <c r="K61">
        <v>509809851.45498335</v>
      </c>
      <c r="L61">
        <v>54446000</v>
      </c>
      <c r="M61">
        <v>79696288.71293211</v>
      </c>
      <c r="N61">
        <v>72467800</v>
      </c>
      <c r="O61">
        <v>15897558.16</v>
      </c>
      <c r="P61">
        <v>211.96775700000001</v>
      </c>
      <c r="Q61">
        <v>1.2574207983645083</v>
      </c>
      <c r="R61">
        <v>43.6693712</v>
      </c>
      <c r="S61">
        <v>780.33815500000003</v>
      </c>
      <c r="T61">
        <v>4.6795604599999999E-9</v>
      </c>
      <c r="U61">
        <v>19.835117707540579</v>
      </c>
      <c r="V61">
        <v>100.934</v>
      </c>
      <c r="W61">
        <v>-237.73706732267709</v>
      </c>
      <c r="X61">
        <v>62.810452699999999</v>
      </c>
      <c r="Y61">
        <v>92.274518700000002</v>
      </c>
      <c r="Z61">
        <v>180.98100000000002</v>
      </c>
      <c r="AA61">
        <v>232.576063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1.2574207983645083</v>
      </c>
    </row>
    <row r="62" spans="1:41" x14ac:dyDescent="0.3">
      <c r="A62">
        <v>938.64665182710644</v>
      </c>
      <c r="B62">
        <v>31</v>
      </c>
      <c r="C62">
        <v>10</v>
      </c>
      <c r="D62">
        <v>15</v>
      </c>
      <c r="E62">
        <v>29</v>
      </c>
      <c r="F62">
        <v>7</v>
      </c>
      <c r="G62">
        <v>0.3</v>
      </c>
      <c r="H62">
        <v>18</v>
      </c>
      <c r="I62">
        <v>11</v>
      </c>
      <c r="J62">
        <v>1.4</v>
      </c>
      <c r="K62">
        <v>509442008.63381732</v>
      </c>
      <c r="L62">
        <v>54446000</v>
      </c>
      <c r="M62">
        <v>79696304.649019286</v>
      </c>
      <c r="N62">
        <v>72467800</v>
      </c>
      <c r="O62">
        <v>15895370.960000001</v>
      </c>
      <c r="P62">
        <v>211.352034</v>
      </c>
      <c r="Q62">
        <v>1.2599024916440882</v>
      </c>
      <c r="R62">
        <v>43.6629273</v>
      </c>
      <c r="S62">
        <v>780.07915200000002</v>
      </c>
      <c r="T62">
        <v>1.17430369E-10</v>
      </c>
      <c r="U62">
        <v>19.708493048038946</v>
      </c>
      <c r="V62">
        <v>100.934</v>
      </c>
      <c r="W62">
        <v>-237.27554122163474</v>
      </c>
      <c r="X62">
        <v>62.825630799999999</v>
      </c>
      <c r="Y62">
        <v>92.298677999999995</v>
      </c>
      <c r="Z62">
        <v>180.98100000000002</v>
      </c>
      <c r="AA62">
        <v>232.08786599999999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1.2599024916440882</v>
      </c>
    </row>
    <row r="63" spans="1:41" x14ac:dyDescent="0.3">
      <c r="A63">
        <v>931.97151575083501</v>
      </c>
      <c r="B63">
        <v>27</v>
      </c>
      <c r="C63">
        <v>19</v>
      </c>
      <c r="D63">
        <v>6.3768592850257795</v>
      </c>
      <c r="E63">
        <v>24</v>
      </c>
      <c r="F63">
        <v>13</v>
      </c>
      <c r="G63">
        <v>0.3</v>
      </c>
      <c r="H63">
        <v>10</v>
      </c>
      <c r="I63">
        <v>8</v>
      </c>
      <c r="J63">
        <v>1.4</v>
      </c>
      <c r="K63">
        <v>509203223.02050495</v>
      </c>
      <c r="L63">
        <v>54446000</v>
      </c>
      <c r="M63">
        <v>79696315.724158183</v>
      </c>
      <c r="N63">
        <v>72467800</v>
      </c>
      <c r="O63">
        <v>15887940.800000001</v>
      </c>
      <c r="P63">
        <v>211.24097599999999</v>
      </c>
      <c r="Q63">
        <v>1.2597974997692074</v>
      </c>
      <c r="R63">
        <v>43.627831999999998</v>
      </c>
      <c r="S63">
        <v>779.77427</v>
      </c>
      <c r="T63">
        <v>7.3305362999999999E-12</v>
      </c>
      <c r="U63">
        <v>19.571213898368033</v>
      </c>
      <c r="V63">
        <v>91.850000000000009</v>
      </c>
      <c r="W63">
        <v>-241.52218659590983</v>
      </c>
      <c r="X63">
        <v>62.8592187</v>
      </c>
      <c r="Y63">
        <v>92.619988899999996</v>
      </c>
      <c r="Z63">
        <v>177.97</v>
      </c>
      <c r="AA63">
        <v>233.70463699999999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1.2597974997692074</v>
      </c>
    </row>
    <row r="64" spans="1:41" x14ac:dyDescent="0.3">
      <c r="A64">
        <v>938.86923045705055</v>
      </c>
      <c r="B64">
        <v>36</v>
      </c>
      <c r="C64">
        <v>10</v>
      </c>
      <c r="D64">
        <v>5.5805909903104318</v>
      </c>
      <c r="E64">
        <v>18</v>
      </c>
      <c r="F64">
        <v>5</v>
      </c>
      <c r="G64">
        <v>0.3</v>
      </c>
      <c r="H64">
        <v>29</v>
      </c>
      <c r="I64">
        <v>7</v>
      </c>
      <c r="J64">
        <v>1.4</v>
      </c>
      <c r="K64">
        <v>509469941.05497611</v>
      </c>
      <c r="L64">
        <v>54446000</v>
      </c>
      <c r="M64">
        <v>79696304.23546581</v>
      </c>
      <c r="N64">
        <v>72467800</v>
      </c>
      <c r="O64">
        <v>15890507.600000001</v>
      </c>
      <c r="P64">
        <v>211.353757</v>
      </c>
      <c r="Q64">
        <v>1.259981937855329</v>
      </c>
      <c r="R64">
        <v>43.645654299999997</v>
      </c>
      <c r="S64">
        <v>780.40683899999999</v>
      </c>
      <c r="T64">
        <v>4.94675582E-9</v>
      </c>
      <c r="U64">
        <v>19.829655957520096</v>
      </c>
      <c r="V64">
        <v>100.934</v>
      </c>
      <c r="W64">
        <v>-237.63012704363805</v>
      </c>
      <c r="X64">
        <v>62.827235899999998</v>
      </c>
      <c r="Y64">
        <v>92.421828000000005</v>
      </c>
      <c r="Z64">
        <v>177.97</v>
      </c>
      <c r="AA64">
        <v>230.88315800000001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1.259981937855329</v>
      </c>
    </row>
    <row r="65" spans="1:41" x14ac:dyDescent="0.3">
      <c r="A65">
        <v>925.71150824138715</v>
      </c>
      <c r="B65">
        <v>27</v>
      </c>
      <c r="C65">
        <v>10</v>
      </c>
      <c r="D65">
        <v>1</v>
      </c>
      <c r="E65">
        <v>21</v>
      </c>
      <c r="F65">
        <v>14</v>
      </c>
      <c r="G65">
        <v>1.2</v>
      </c>
      <c r="H65">
        <v>29</v>
      </c>
      <c r="I65">
        <v>14</v>
      </c>
      <c r="J65">
        <v>1.4</v>
      </c>
      <c r="K65">
        <v>508994488.49932516</v>
      </c>
      <c r="L65">
        <v>54446000</v>
      </c>
      <c r="M65">
        <v>79696325.679025277</v>
      </c>
      <c r="N65">
        <v>72467800</v>
      </c>
      <c r="O65">
        <v>15881648.48</v>
      </c>
      <c r="P65">
        <v>206.65657200000001</v>
      </c>
      <c r="Q65">
        <v>1.2870587677919678</v>
      </c>
      <c r="R65">
        <v>43.610574800000002</v>
      </c>
      <c r="S65">
        <v>781.05303400000003</v>
      </c>
      <c r="T65">
        <v>1.03839896E-13</v>
      </c>
      <c r="U65">
        <v>19.211462333224109</v>
      </c>
      <c r="V65">
        <v>80.72</v>
      </c>
      <c r="W65">
        <v>-149.04138541252505</v>
      </c>
      <c r="X65">
        <v>63.086479699999998</v>
      </c>
      <c r="Y65">
        <v>94.930190100000004</v>
      </c>
      <c r="Z65">
        <v>177.97</v>
      </c>
      <c r="AA65">
        <v>230.06210100000001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1.2870587677919678</v>
      </c>
    </row>
    <row r="66" spans="1:41" x14ac:dyDescent="0.3">
      <c r="A66">
        <v>910</v>
      </c>
      <c r="B66">
        <v>27</v>
      </c>
      <c r="C66">
        <v>10</v>
      </c>
      <c r="D66">
        <v>15</v>
      </c>
      <c r="E66">
        <v>10</v>
      </c>
      <c r="F66">
        <v>5</v>
      </c>
      <c r="G66">
        <v>0.3</v>
      </c>
      <c r="H66">
        <v>29</v>
      </c>
      <c r="I66">
        <v>14</v>
      </c>
      <c r="J66">
        <v>1.4</v>
      </c>
      <c r="K66">
        <v>508599480.64173359</v>
      </c>
      <c r="L66">
        <v>54446000</v>
      </c>
      <c r="M66">
        <v>79696345.519114837</v>
      </c>
      <c r="N66">
        <v>72467800</v>
      </c>
      <c r="O66">
        <v>15896709.92</v>
      </c>
      <c r="P66">
        <v>210.30914200000001</v>
      </c>
      <c r="Q66">
        <v>1.2634305731057751</v>
      </c>
      <c r="R66">
        <v>43.5229499</v>
      </c>
      <c r="S66">
        <v>780.65942499999994</v>
      </c>
      <c r="T66">
        <v>6.8490187300000003E-9</v>
      </c>
      <c r="U66">
        <v>19.576623662994173</v>
      </c>
      <c r="V66">
        <v>100.934</v>
      </c>
      <c r="W66">
        <v>-242.30292159787888</v>
      </c>
      <c r="X66">
        <v>62.865826599999998</v>
      </c>
      <c r="Y66">
        <v>92.429588899999999</v>
      </c>
      <c r="Z66">
        <v>144.29</v>
      </c>
      <c r="AA66">
        <v>229.08785800000001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1.2634305731057751</v>
      </c>
    </row>
    <row r="67" spans="1:41" x14ac:dyDescent="0.3">
      <c r="A67">
        <v>940.07030771876987</v>
      </c>
      <c r="B67">
        <v>33</v>
      </c>
      <c r="C67">
        <v>19</v>
      </c>
      <c r="D67">
        <v>10.253769816843244</v>
      </c>
      <c r="E67">
        <v>24</v>
      </c>
      <c r="F67">
        <v>6</v>
      </c>
      <c r="G67">
        <v>0.3</v>
      </c>
      <c r="H67">
        <v>15</v>
      </c>
      <c r="I67">
        <v>13</v>
      </c>
      <c r="J67">
        <v>1.4</v>
      </c>
      <c r="K67">
        <v>509494960.38093305</v>
      </c>
      <c r="L67">
        <v>54446000</v>
      </c>
      <c r="M67">
        <v>79696302.283772781</v>
      </c>
      <c r="N67">
        <v>72467800</v>
      </c>
      <c r="O67">
        <v>15893823.359999999</v>
      </c>
      <c r="P67">
        <v>211.63297399999999</v>
      </c>
      <c r="Q67">
        <v>1.2583998409221391</v>
      </c>
      <c r="R67">
        <v>43.662890599999997</v>
      </c>
      <c r="S67">
        <v>780.12457000000006</v>
      </c>
      <c r="T67">
        <v>7.4765836300000005E-10</v>
      </c>
      <c r="U67">
        <v>19.740118248046262</v>
      </c>
      <c r="V67">
        <v>100.934</v>
      </c>
      <c r="W67">
        <v>-238.32303086231104</v>
      </c>
      <c r="X67">
        <v>62.842676099999998</v>
      </c>
      <c r="Y67">
        <v>92.321959800000002</v>
      </c>
      <c r="Z67">
        <v>180.98100000000002</v>
      </c>
      <c r="AA67">
        <v>233.79842500000001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1.2583998409221391</v>
      </c>
    </row>
    <row r="68" spans="1:41" x14ac:dyDescent="0.3">
      <c r="A68">
        <v>922.22511806959142</v>
      </c>
      <c r="B68">
        <v>27</v>
      </c>
      <c r="C68">
        <v>19</v>
      </c>
      <c r="D68">
        <v>15</v>
      </c>
      <c r="E68">
        <v>10</v>
      </c>
      <c r="F68">
        <v>5</v>
      </c>
      <c r="G68">
        <v>1.2</v>
      </c>
      <c r="H68">
        <v>10</v>
      </c>
      <c r="I68">
        <v>7</v>
      </c>
      <c r="J68">
        <v>1.4</v>
      </c>
      <c r="K68">
        <v>508967328.96345812</v>
      </c>
      <c r="L68">
        <v>54446000</v>
      </c>
      <c r="M68">
        <v>79696326.72348921</v>
      </c>
      <c r="N68">
        <v>72467800</v>
      </c>
      <c r="O68">
        <v>15900066.479999999</v>
      </c>
      <c r="P68">
        <v>210.88529299999999</v>
      </c>
      <c r="Q68">
        <v>1.2611629371629729</v>
      </c>
      <c r="R68">
        <v>43.600546600000001</v>
      </c>
      <c r="S68">
        <v>779.77852000000007</v>
      </c>
      <c r="T68">
        <v>7.0549393999999999E-10</v>
      </c>
      <c r="U68">
        <v>19.325426606439304</v>
      </c>
      <c r="V68">
        <v>91.850000000000009</v>
      </c>
      <c r="W68">
        <v>-240.42276489200009</v>
      </c>
      <c r="X68">
        <v>62.859642200000003</v>
      </c>
      <c r="Y68">
        <v>92.453626999999997</v>
      </c>
      <c r="Z68">
        <v>144.29</v>
      </c>
      <c r="AA68">
        <v>232.57308499999999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1.2611629371629729</v>
      </c>
    </row>
    <row r="69" spans="1:41" x14ac:dyDescent="0.3">
      <c r="A69">
        <v>910</v>
      </c>
      <c r="B69">
        <v>39</v>
      </c>
      <c r="C69">
        <v>10</v>
      </c>
      <c r="D69">
        <v>15</v>
      </c>
      <c r="E69">
        <v>18</v>
      </c>
      <c r="F69">
        <v>5</v>
      </c>
      <c r="G69">
        <v>1.2</v>
      </c>
      <c r="H69">
        <v>29</v>
      </c>
      <c r="I69">
        <v>14</v>
      </c>
      <c r="J69">
        <v>0.3</v>
      </c>
      <c r="K69">
        <v>508521597.17924166</v>
      </c>
      <c r="L69">
        <v>54446000</v>
      </c>
      <c r="M69">
        <v>79696355.480761498</v>
      </c>
      <c r="N69">
        <v>72467800</v>
      </c>
      <c r="O69">
        <v>15899089.120000001</v>
      </c>
      <c r="P69">
        <v>208.95791600000001</v>
      </c>
      <c r="Q69">
        <v>1.2713475196550461</v>
      </c>
      <c r="R69">
        <v>43.640497000000003</v>
      </c>
      <c r="S69">
        <v>780.27345400000002</v>
      </c>
      <c r="T69">
        <v>5.38343685E-10</v>
      </c>
      <c r="U69">
        <v>19.389704572925236</v>
      </c>
      <c r="V69">
        <v>100.934</v>
      </c>
      <c r="W69">
        <v>-236.3130955059093</v>
      </c>
      <c r="X69">
        <v>62.798121000000002</v>
      </c>
      <c r="Y69">
        <v>92.060807999999994</v>
      </c>
      <c r="Z69">
        <v>180.98100000000002</v>
      </c>
      <c r="AA69">
        <v>235.508805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1.2713475196550461</v>
      </c>
    </row>
    <row r="70" spans="1:41" x14ac:dyDescent="0.3">
      <c r="A70">
        <v>921.22619148980459</v>
      </c>
      <c r="B70">
        <v>27</v>
      </c>
      <c r="C70">
        <v>19</v>
      </c>
      <c r="D70">
        <v>1</v>
      </c>
      <c r="E70">
        <v>29</v>
      </c>
      <c r="F70">
        <v>5</v>
      </c>
      <c r="G70">
        <v>0.3</v>
      </c>
      <c r="H70">
        <v>16</v>
      </c>
      <c r="I70">
        <v>14</v>
      </c>
      <c r="J70">
        <v>1.4</v>
      </c>
      <c r="K70">
        <v>508911202.32576454</v>
      </c>
      <c r="L70">
        <v>54446000</v>
      </c>
      <c r="M70">
        <v>79696328.351612076</v>
      </c>
      <c r="N70">
        <v>72467800</v>
      </c>
      <c r="O70">
        <v>15892532.08</v>
      </c>
      <c r="P70">
        <v>204.446686</v>
      </c>
      <c r="Q70">
        <v>1.3006941754428114</v>
      </c>
      <c r="R70">
        <v>43.678994299999999</v>
      </c>
      <c r="S70">
        <v>779.81320600000004</v>
      </c>
      <c r="T70">
        <v>5.4320792800000002E-9</v>
      </c>
      <c r="U70">
        <v>20.176251844306819</v>
      </c>
      <c r="V70">
        <v>68.709999999999994</v>
      </c>
      <c r="W70">
        <v>-168.13300090692175</v>
      </c>
      <c r="X70">
        <v>63.124646400000003</v>
      </c>
      <c r="Y70">
        <v>95.108530599999995</v>
      </c>
      <c r="Z70">
        <v>177.97</v>
      </c>
      <c r="AA70">
        <v>232.275262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1.3006941754428114</v>
      </c>
    </row>
    <row r="71" spans="1:41" x14ac:dyDescent="0.3">
      <c r="A71">
        <v>910</v>
      </c>
      <c r="B71">
        <v>27</v>
      </c>
      <c r="C71">
        <v>10</v>
      </c>
      <c r="D71">
        <v>11.349187289189365</v>
      </c>
      <c r="E71">
        <v>29</v>
      </c>
      <c r="F71">
        <v>5</v>
      </c>
      <c r="G71">
        <v>0.3</v>
      </c>
      <c r="H71">
        <v>16</v>
      </c>
      <c r="I71">
        <v>14</v>
      </c>
      <c r="J71">
        <v>0.3</v>
      </c>
      <c r="K71">
        <v>508550906.51119107</v>
      </c>
      <c r="L71">
        <v>54446000</v>
      </c>
      <c r="M71">
        <v>79696372.574510813</v>
      </c>
      <c r="N71">
        <v>72467800</v>
      </c>
      <c r="O71">
        <v>15902144.399999999</v>
      </c>
      <c r="P71">
        <v>208.396998</v>
      </c>
      <c r="Q71">
        <v>1.274864933558451</v>
      </c>
      <c r="R71">
        <v>43.664588999999999</v>
      </c>
      <c r="S71">
        <v>780.59397999999999</v>
      </c>
      <c r="T71">
        <v>4.76623622E-9</v>
      </c>
      <c r="U71">
        <v>19.921594213791256</v>
      </c>
      <c r="V71">
        <v>100.934</v>
      </c>
      <c r="W71">
        <v>-235.12409645437373</v>
      </c>
      <c r="X71">
        <v>62.762366399999998</v>
      </c>
      <c r="Y71">
        <v>92.407903500000003</v>
      </c>
      <c r="Z71">
        <v>180.98100000000002</v>
      </c>
      <c r="AA71">
        <v>241.557804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1.274864933558451</v>
      </c>
    </row>
    <row r="72" spans="1:41" x14ac:dyDescent="0.3">
      <c r="A72">
        <v>922.96373895856539</v>
      </c>
      <c r="B72">
        <v>39</v>
      </c>
      <c r="C72">
        <v>19</v>
      </c>
      <c r="D72">
        <v>15</v>
      </c>
      <c r="E72">
        <v>16</v>
      </c>
      <c r="F72">
        <v>14</v>
      </c>
      <c r="G72">
        <v>1.2</v>
      </c>
      <c r="H72">
        <v>29</v>
      </c>
      <c r="I72">
        <v>14</v>
      </c>
      <c r="J72">
        <v>0.3</v>
      </c>
      <c r="K72">
        <v>509074115.75155175</v>
      </c>
      <c r="L72">
        <v>54446000</v>
      </c>
      <c r="M72">
        <v>79696329.028130516</v>
      </c>
      <c r="N72">
        <v>72467800</v>
      </c>
      <c r="O72">
        <v>15900968.48</v>
      </c>
      <c r="P72">
        <v>211.36292700000001</v>
      </c>
      <c r="Q72">
        <v>1.2586559623229676</v>
      </c>
      <c r="R72">
        <v>43.495057799999998</v>
      </c>
      <c r="S72">
        <v>780.32314300000007</v>
      </c>
      <c r="T72">
        <v>1.26887263E-17</v>
      </c>
      <c r="U72">
        <v>18.760721212401499</v>
      </c>
      <c r="V72">
        <v>100.934</v>
      </c>
      <c r="W72">
        <v>-239.8669776066165</v>
      </c>
      <c r="X72">
        <v>62.819710100000002</v>
      </c>
      <c r="Y72">
        <v>92.066251199999996</v>
      </c>
      <c r="Z72">
        <v>121.52199999999999</v>
      </c>
      <c r="AA72">
        <v>232.88039000000001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1.2586559623229676</v>
      </c>
    </row>
    <row r="73" spans="1:41" x14ac:dyDescent="0.3">
      <c r="A73">
        <v>932.69327080667881</v>
      </c>
      <c r="B73">
        <v>29</v>
      </c>
      <c r="C73">
        <v>18</v>
      </c>
      <c r="D73">
        <v>1</v>
      </c>
      <c r="E73">
        <v>15</v>
      </c>
      <c r="F73">
        <v>13</v>
      </c>
      <c r="G73">
        <v>1.2</v>
      </c>
      <c r="H73">
        <v>21</v>
      </c>
      <c r="I73">
        <v>14</v>
      </c>
      <c r="J73">
        <v>1.0385234341225513</v>
      </c>
      <c r="K73">
        <v>509359431.99838352</v>
      </c>
      <c r="L73">
        <v>54446000</v>
      </c>
      <c r="M73">
        <v>79696314.1167849</v>
      </c>
      <c r="N73">
        <v>72467800</v>
      </c>
      <c r="O73">
        <v>15885124.879999999</v>
      </c>
      <c r="P73">
        <v>207.18356199999999</v>
      </c>
      <c r="Q73">
        <v>1.2849807876099371</v>
      </c>
      <c r="R73">
        <v>43.486189600000003</v>
      </c>
      <c r="S73">
        <v>780.63287699999989</v>
      </c>
      <c r="T73">
        <v>8.0000878700000002E-11</v>
      </c>
      <c r="U73">
        <v>19.078208802635697</v>
      </c>
      <c r="V73">
        <v>80.72</v>
      </c>
      <c r="W73">
        <v>-163.0937908846322</v>
      </c>
      <c r="X73">
        <v>63.075094800000002</v>
      </c>
      <c r="Y73">
        <v>94.964146600000007</v>
      </c>
      <c r="Z73">
        <v>100.934</v>
      </c>
      <c r="AA73">
        <v>228.94674800000001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1.2849807876099371</v>
      </c>
    </row>
    <row r="74" spans="1:41" x14ac:dyDescent="0.3">
      <c r="A74">
        <v>922.42805693752325</v>
      </c>
      <c r="B74">
        <v>28</v>
      </c>
      <c r="C74">
        <v>10</v>
      </c>
      <c r="D74">
        <v>15</v>
      </c>
      <c r="E74">
        <v>10</v>
      </c>
      <c r="F74">
        <v>5</v>
      </c>
      <c r="G74">
        <v>0.3</v>
      </c>
      <c r="H74">
        <v>16</v>
      </c>
      <c r="I74">
        <v>14</v>
      </c>
      <c r="J74">
        <v>0.3</v>
      </c>
      <c r="K74">
        <v>509086326.20852798</v>
      </c>
      <c r="L74">
        <v>54446000</v>
      </c>
      <c r="M74">
        <v>79696343.179548502</v>
      </c>
      <c r="N74">
        <v>72467800</v>
      </c>
      <c r="O74">
        <v>15905196.24</v>
      </c>
      <c r="P74">
        <v>211.15889100000001</v>
      </c>
      <c r="Q74">
        <v>1.2599114162513008</v>
      </c>
      <c r="R74">
        <v>43.522670099999999</v>
      </c>
      <c r="S74">
        <v>780.68841700000007</v>
      </c>
      <c r="T74">
        <v>6.8246230700000002E-9</v>
      </c>
      <c r="U74">
        <v>19.582438828994864</v>
      </c>
      <c r="V74">
        <v>100.934</v>
      </c>
      <c r="W74">
        <v>-242.33664498486056</v>
      </c>
      <c r="X74">
        <v>62.845318300000002</v>
      </c>
      <c r="Y74">
        <v>92.391424700000002</v>
      </c>
      <c r="Z74">
        <v>144.29</v>
      </c>
      <c r="AA74">
        <v>236.96325899999999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1.2599114162513008</v>
      </c>
    </row>
    <row r="75" spans="1:41" x14ac:dyDescent="0.3">
      <c r="A75">
        <v>927.5272349226824</v>
      </c>
      <c r="B75">
        <v>28</v>
      </c>
      <c r="C75">
        <v>19</v>
      </c>
      <c r="D75">
        <v>1</v>
      </c>
      <c r="E75">
        <v>10</v>
      </c>
      <c r="F75">
        <v>5</v>
      </c>
      <c r="G75">
        <v>0.8587808732019937</v>
      </c>
      <c r="H75">
        <v>10</v>
      </c>
      <c r="I75">
        <v>8</v>
      </c>
      <c r="J75">
        <v>0.3</v>
      </c>
      <c r="K75">
        <v>509141902.86136603</v>
      </c>
      <c r="L75">
        <v>54446000</v>
      </c>
      <c r="M75">
        <v>79696342.21808289</v>
      </c>
      <c r="N75">
        <v>72467800</v>
      </c>
      <c r="O75">
        <v>15888774.560000001</v>
      </c>
      <c r="P75">
        <v>205.15003999999999</v>
      </c>
      <c r="Q75">
        <v>1.2969981673383819</v>
      </c>
      <c r="R75">
        <v>43.5901979</v>
      </c>
      <c r="S75">
        <v>779.83290999999997</v>
      </c>
      <c r="T75">
        <v>1.5129563E-9</v>
      </c>
      <c r="U75">
        <v>19.744174992582415</v>
      </c>
      <c r="V75">
        <v>68.709999999999994</v>
      </c>
      <c r="W75">
        <v>-167.23528126855018</v>
      </c>
      <c r="X75">
        <v>63.051914199999999</v>
      </c>
      <c r="Y75">
        <v>95.018567899999994</v>
      </c>
      <c r="Z75">
        <v>144.29</v>
      </c>
      <c r="AA75">
        <v>237.305228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1.2969981673383819</v>
      </c>
    </row>
    <row r="76" spans="1:41" x14ac:dyDescent="0.3">
      <c r="A76">
        <v>937.23209861662178</v>
      </c>
      <c r="B76">
        <v>39</v>
      </c>
      <c r="C76">
        <v>10</v>
      </c>
      <c r="D76">
        <v>1</v>
      </c>
      <c r="E76">
        <v>15</v>
      </c>
      <c r="F76">
        <v>13</v>
      </c>
      <c r="G76">
        <v>1.2</v>
      </c>
      <c r="H76">
        <v>29</v>
      </c>
      <c r="I76">
        <v>14</v>
      </c>
      <c r="J76">
        <v>1.2209578507103187</v>
      </c>
      <c r="K76">
        <v>509413473.35661191</v>
      </c>
      <c r="L76">
        <v>54446000</v>
      </c>
      <c r="M76">
        <v>79696306.949757203</v>
      </c>
      <c r="N76">
        <v>72467800</v>
      </c>
      <c r="O76">
        <v>15887244.720000001</v>
      </c>
      <c r="P76">
        <v>208.59803500000001</v>
      </c>
      <c r="Q76">
        <v>1.2764433899461798</v>
      </c>
      <c r="R76">
        <v>43.591888300000001</v>
      </c>
      <c r="S76">
        <v>780.68729599999995</v>
      </c>
      <c r="T76">
        <v>5.0061374300000004E-10</v>
      </c>
      <c r="U76">
        <v>19.333782959237894</v>
      </c>
      <c r="V76">
        <v>80.72</v>
      </c>
      <c r="W76">
        <v>-138.41256002861985</v>
      </c>
      <c r="X76">
        <v>63.075954299999999</v>
      </c>
      <c r="Y76">
        <v>94.852915699999997</v>
      </c>
      <c r="Z76">
        <v>177.97</v>
      </c>
      <c r="AA76">
        <v>230.868256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1.2764433899461798</v>
      </c>
    </row>
    <row r="77" spans="1:41" x14ac:dyDescent="0.3">
      <c r="A77">
        <v>923.410063409244</v>
      </c>
      <c r="B77">
        <v>27</v>
      </c>
      <c r="C77">
        <v>19</v>
      </c>
      <c r="D77">
        <v>14.233021986665507</v>
      </c>
      <c r="E77">
        <v>29</v>
      </c>
      <c r="F77">
        <v>5</v>
      </c>
      <c r="G77">
        <v>0.3</v>
      </c>
      <c r="H77">
        <v>10</v>
      </c>
      <c r="I77">
        <v>7</v>
      </c>
      <c r="J77">
        <v>1.4</v>
      </c>
      <c r="K77">
        <v>508963277.83332253</v>
      </c>
      <c r="L77">
        <v>54446000</v>
      </c>
      <c r="M77">
        <v>79696324.979497403</v>
      </c>
      <c r="N77">
        <v>72467800</v>
      </c>
      <c r="O77">
        <v>15899927.52</v>
      </c>
      <c r="P77">
        <v>210.40065000000001</v>
      </c>
      <c r="Q77">
        <v>1.2640548657711141</v>
      </c>
      <c r="R77">
        <v>43.671049600000003</v>
      </c>
      <c r="S77">
        <v>780.24746400000004</v>
      </c>
      <c r="T77">
        <v>4.6896339699999998E-9</v>
      </c>
      <c r="U77">
        <v>19.820837726319169</v>
      </c>
      <c r="V77">
        <v>91.850000000000009</v>
      </c>
      <c r="W77">
        <v>-238.3532968076652</v>
      </c>
      <c r="X77">
        <v>62.853287799999997</v>
      </c>
      <c r="Y77">
        <v>92.457295400000007</v>
      </c>
      <c r="Z77">
        <v>180.98100000000002</v>
      </c>
      <c r="AA77">
        <v>233.63138900000001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1.2640548657711141</v>
      </c>
    </row>
    <row r="78" spans="1:41" x14ac:dyDescent="0.3">
      <c r="A78">
        <v>923.68186276881636</v>
      </c>
      <c r="B78">
        <v>39</v>
      </c>
      <c r="C78">
        <v>10</v>
      </c>
      <c r="D78">
        <v>15</v>
      </c>
      <c r="E78">
        <v>29</v>
      </c>
      <c r="F78">
        <v>14</v>
      </c>
      <c r="G78">
        <v>0.3</v>
      </c>
      <c r="H78">
        <v>29</v>
      </c>
      <c r="I78">
        <v>14</v>
      </c>
      <c r="J78">
        <v>1.4</v>
      </c>
      <c r="K78">
        <v>508989121.67007983</v>
      </c>
      <c r="L78">
        <v>54446000</v>
      </c>
      <c r="M78">
        <v>79696324.435899541</v>
      </c>
      <c r="N78">
        <v>72467800</v>
      </c>
      <c r="O78">
        <v>15898989.359999999</v>
      </c>
      <c r="P78">
        <v>210.61476400000001</v>
      </c>
      <c r="Q78">
        <v>1.2628531094567588</v>
      </c>
      <c r="R78">
        <v>43.649157299999999</v>
      </c>
      <c r="S78">
        <v>779.81026799999995</v>
      </c>
      <c r="T78">
        <v>3.2046895199999999E-16</v>
      </c>
      <c r="U78">
        <v>19.597116763077004</v>
      </c>
      <c r="V78">
        <v>100.934</v>
      </c>
      <c r="W78">
        <v>-237.72717727522092</v>
      </c>
      <c r="X78">
        <v>62.843411000000003</v>
      </c>
      <c r="Y78">
        <v>92.090650800000006</v>
      </c>
      <c r="Z78">
        <v>177.97</v>
      </c>
      <c r="AA78">
        <v>231.22234700000001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1.2628531094567588</v>
      </c>
    </row>
    <row r="79" spans="1:41" x14ac:dyDescent="0.3">
      <c r="A79">
        <v>917.94059003711038</v>
      </c>
      <c r="B79">
        <v>27</v>
      </c>
      <c r="C79">
        <v>10</v>
      </c>
      <c r="D79">
        <v>15</v>
      </c>
      <c r="E79">
        <v>16</v>
      </c>
      <c r="F79">
        <v>14</v>
      </c>
      <c r="G79">
        <v>1.2</v>
      </c>
      <c r="H79">
        <v>29</v>
      </c>
      <c r="I79">
        <v>7</v>
      </c>
      <c r="J79">
        <v>1.4</v>
      </c>
      <c r="K79">
        <v>508892243.35414827</v>
      </c>
      <c r="L79">
        <v>54446000</v>
      </c>
      <c r="M79">
        <v>79696333.232693627</v>
      </c>
      <c r="N79">
        <v>72467800</v>
      </c>
      <c r="O79">
        <v>15898633.52</v>
      </c>
      <c r="P79">
        <v>211.23761300000001</v>
      </c>
      <c r="Q79">
        <v>1.2588181597837196</v>
      </c>
      <c r="R79">
        <v>43.494585800000003</v>
      </c>
      <c r="S79">
        <v>780.26026100000001</v>
      </c>
      <c r="T79">
        <v>1.2660593000000001E-17</v>
      </c>
      <c r="U79">
        <v>18.73866067443922</v>
      </c>
      <c r="V79">
        <v>100.934</v>
      </c>
      <c r="W79">
        <v>-240.03232994159731</v>
      </c>
      <c r="X79">
        <v>62.853728199999999</v>
      </c>
      <c r="Y79">
        <v>92.424749800000001</v>
      </c>
      <c r="Z79">
        <v>121.52199999999999</v>
      </c>
      <c r="AA79">
        <v>229.76430300000001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1.2588181597837196</v>
      </c>
    </row>
    <row r="80" spans="1:41" x14ac:dyDescent="0.3">
      <c r="A80">
        <v>910</v>
      </c>
      <c r="B80">
        <v>27</v>
      </c>
      <c r="C80">
        <v>19</v>
      </c>
      <c r="D80">
        <v>1</v>
      </c>
      <c r="E80">
        <v>29</v>
      </c>
      <c r="F80">
        <v>5</v>
      </c>
      <c r="G80">
        <v>0.3</v>
      </c>
      <c r="H80">
        <v>10</v>
      </c>
      <c r="I80">
        <v>7</v>
      </c>
      <c r="J80">
        <v>1.4</v>
      </c>
      <c r="K80">
        <v>508504161.53437316</v>
      </c>
      <c r="L80">
        <v>54446000</v>
      </c>
      <c r="M80">
        <v>79696345.848437354</v>
      </c>
      <c r="N80">
        <v>72467800</v>
      </c>
      <c r="O80">
        <v>15889583.52</v>
      </c>
      <c r="P80">
        <v>203.576888</v>
      </c>
      <c r="Q80">
        <v>1.3048941584274303</v>
      </c>
      <c r="R80">
        <v>43.678775899999998</v>
      </c>
      <c r="S80">
        <v>779.82067399999994</v>
      </c>
      <c r="T80">
        <v>5.4648127100000002E-9</v>
      </c>
      <c r="U80">
        <v>20.183618999053028</v>
      </c>
      <c r="V80">
        <v>68.709999999999994</v>
      </c>
      <c r="W80">
        <v>-168.00485710527653</v>
      </c>
      <c r="X80">
        <v>63.130888800000001</v>
      </c>
      <c r="Y80">
        <v>95.111804199999995</v>
      </c>
      <c r="Z80">
        <v>177.97</v>
      </c>
      <c r="AA80">
        <v>232.23943399999999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1.3048941584274303</v>
      </c>
    </row>
    <row r="81" spans="1:41" x14ac:dyDescent="0.3">
      <c r="A81">
        <v>941.50739912460017</v>
      </c>
      <c r="B81">
        <v>39</v>
      </c>
      <c r="C81">
        <v>19</v>
      </c>
      <c r="D81">
        <v>1</v>
      </c>
      <c r="E81">
        <v>19</v>
      </c>
      <c r="F81">
        <v>5</v>
      </c>
      <c r="G81">
        <v>1.2</v>
      </c>
      <c r="H81">
        <v>28</v>
      </c>
      <c r="I81">
        <v>7</v>
      </c>
      <c r="J81">
        <v>1.4</v>
      </c>
      <c r="K81">
        <v>509654235.72626483</v>
      </c>
      <c r="L81">
        <v>54446000</v>
      </c>
      <c r="M81">
        <v>79696297.863085359</v>
      </c>
      <c r="N81">
        <v>72467800</v>
      </c>
      <c r="O81">
        <v>15891051.92</v>
      </c>
      <c r="P81">
        <v>208.40414899999999</v>
      </c>
      <c r="Q81">
        <v>1.2784151706102591</v>
      </c>
      <c r="R81">
        <v>43.604711100000003</v>
      </c>
      <c r="S81">
        <v>780.82610999999997</v>
      </c>
      <c r="T81">
        <v>4.34544205E-10</v>
      </c>
      <c r="U81">
        <v>19.593514945996358</v>
      </c>
      <c r="V81">
        <v>80.72</v>
      </c>
      <c r="W81">
        <v>-146.95182506955928</v>
      </c>
      <c r="X81">
        <v>63.0629925</v>
      </c>
      <c r="Y81">
        <v>94.819883000000004</v>
      </c>
      <c r="Z81">
        <v>180.98100000000002</v>
      </c>
      <c r="AA81">
        <v>230.800814</v>
      </c>
      <c r="AB81">
        <v>100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101.27841517061026</v>
      </c>
    </row>
    <row r="82" spans="1:41" x14ac:dyDescent="0.3">
      <c r="A82">
        <v>944.01502707468717</v>
      </c>
      <c r="B82">
        <v>33</v>
      </c>
      <c r="C82">
        <v>10</v>
      </c>
      <c r="D82">
        <v>5.1647855413590786</v>
      </c>
      <c r="E82">
        <v>19</v>
      </c>
      <c r="F82">
        <v>8</v>
      </c>
      <c r="G82">
        <v>0.3</v>
      </c>
      <c r="H82">
        <v>23</v>
      </c>
      <c r="I82">
        <v>9</v>
      </c>
      <c r="J82">
        <v>1.2382348729879005</v>
      </c>
      <c r="K82">
        <v>509681565.11755168</v>
      </c>
      <c r="L82">
        <v>54446000</v>
      </c>
      <c r="M82">
        <v>79696295.443191439</v>
      </c>
      <c r="N82">
        <v>72467800</v>
      </c>
      <c r="O82">
        <v>15893020.640000001</v>
      </c>
      <c r="P82">
        <v>211.92859100000001</v>
      </c>
      <c r="Q82">
        <v>1.2572422490980499</v>
      </c>
      <c r="R82">
        <v>43.625478800000003</v>
      </c>
      <c r="S82">
        <v>780.11800799999992</v>
      </c>
      <c r="T82">
        <v>2.1497353500000001E-11</v>
      </c>
      <c r="U82">
        <v>19.662873768511915</v>
      </c>
      <c r="V82">
        <v>100.934</v>
      </c>
      <c r="W82">
        <v>-238.0383026070503</v>
      </c>
      <c r="X82">
        <v>62.8197337</v>
      </c>
      <c r="Y82">
        <v>92.500656699999993</v>
      </c>
      <c r="Z82">
        <v>177.97</v>
      </c>
      <c r="AA82">
        <v>230.97837899999999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1.2572422490980499</v>
      </c>
    </row>
    <row r="83" spans="1:41" x14ac:dyDescent="0.3">
      <c r="A83">
        <v>935.32749090801804</v>
      </c>
      <c r="B83">
        <v>39</v>
      </c>
      <c r="C83">
        <v>10</v>
      </c>
      <c r="D83">
        <v>9.9568855769405431</v>
      </c>
      <c r="E83">
        <v>29</v>
      </c>
      <c r="F83">
        <v>12</v>
      </c>
      <c r="G83">
        <v>0.3</v>
      </c>
      <c r="H83">
        <v>29</v>
      </c>
      <c r="I83">
        <v>7</v>
      </c>
      <c r="J83">
        <v>0.70919582007991733</v>
      </c>
      <c r="K83">
        <v>509315966.00034297</v>
      </c>
      <c r="L83">
        <v>54446000</v>
      </c>
      <c r="M83">
        <v>79696310.277291104</v>
      </c>
      <c r="N83">
        <v>72467800</v>
      </c>
      <c r="O83">
        <v>15891107.92</v>
      </c>
      <c r="P83">
        <v>211.20146700000001</v>
      </c>
      <c r="Q83">
        <v>1.2603955519074121</v>
      </c>
      <c r="R83">
        <v>43.653958699999997</v>
      </c>
      <c r="S83">
        <v>779.85781299999996</v>
      </c>
      <c r="T83">
        <v>1.2202087500000001E-14</v>
      </c>
      <c r="U83">
        <v>19.613956631450385</v>
      </c>
      <c r="V83">
        <v>100.934</v>
      </c>
      <c r="W83">
        <v>-237.25632132615524</v>
      </c>
      <c r="X83">
        <v>62.829998799999998</v>
      </c>
      <c r="Y83">
        <v>92.176630900000006</v>
      </c>
      <c r="Z83">
        <v>180.98100000000002</v>
      </c>
      <c r="AA83">
        <v>232.11131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1.2603955519074121</v>
      </c>
    </row>
    <row r="84" spans="1:41" x14ac:dyDescent="0.3">
      <c r="A84">
        <v>936.32503549357057</v>
      </c>
      <c r="B84">
        <v>39</v>
      </c>
      <c r="C84">
        <v>19</v>
      </c>
      <c r="D84">
        <v>15</v>
      </c>
      <c r="E84">
        <v>11</v>
      </c>
      <c r="F84">
        <v>9</v>
      </c>
      <c r="G84">
        <v>0.3</v>
      </c>
      <c r="H84">
        <v>13</v>
      </c>
      <c r="I84">
        <v>7</v>
      </c>
      <c r="J84">
        <v>0.3</v>
      </c>
      <c r="K84">
        <v>509637631.6338315</v>
      </c>
      <c r="L84">
        <v>54446000</v>
      </c>
      <c r="M84">
        <v>79696310.221205607</v>
      </c>
      <c r="N84">
        <v>72467800</v>
      </c>
      <c r="O84">
        <v>15895463.279999999</v>
      </c>
      <c r="P84">
        <v>214.01447300000001</v>
      </c>
      <c r="Q84">
        <v>1.2448492393619552</v>
      </c>
      <c r="R84">
        <v>43.340880400000003</v>
      </c>
      <c r="S84">
        <v>782.2806129999999</v>
      </c>
      <c r="T84">
        <v>1.5909105E-11</v>
      </c>
      <c r="U84">
        <v>19.01297252287339</v>
      </c>
      <c r="V84">
        <v>100.934</v>
      </c>
      <c r="W84">
        <v>-242.53545685589214</v>
      </c>
      <c r="X84">
        <v>62.8881078</v>
      </c>
      <c r="Y84">
        <v>92.1091677</v>
      </c>
      <c r="Z84">
        <v>100.934</v>
      </c>
      <c r="AA84">
        <v>228.769059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1.2448492393619552</v>
      </c>
    </row>
    <row r="85" spans="1:41" x14ac:dyDescent="0.3">
      <c r="A85">
        <v>947.42301482075197</v>
      </c>
      <c r="B85">
        <v>33</v>
      </c>
      <c r="C85">
        <v>10</v>
      </c>
      <c r="D85">
        <v>2.1497247884351789</v>
      </c>
      <c r="E85">
        <v>15</v>
      </c>
      <c r="F85">
        <v>5</v>
      </c>
      <c r="G85">
        <v>0.9188809144079807</v>
      </c>
      <c r="H85">
        <v>26</v>
      </c>
      <c r="I85">
        <v>14</v>
      </c>
      <c r="J85">
        <v>0.3</v>
      </c>
      <c r="K85">
        <v>509823047.19357687</v>
      </c>
      <c r="L85">
        <v>54446000</v>
      </c>
      <c r="M85">
        <v>79696297.654767796</v>
      </c>
      <c r="N85">
        <v>72467800</v>
      </c>
      <c r="O85">
        <v>15895394.32</v>
      </c>
      <c r="P85">
        <v>211.44203200000001</v>
      </c>
      <c r="Q85">
        <v>1.2605895890615919</v>
      </c>
      <c r="R85">
        <v>43.622622700000001</v>
      </c>
      <c r="S85">
        <v>780.24402999999995</v>
      </c>
      <c r="T85">
        <v>7.7626283899999996E-10</v>
      </c>
      <c r="U85">
        <v>19.459722355946941</v>
      </c>
      <c r="V85">
        <v>100.934</v>
      </c>
      <c r="W85">
        <v>-225.34036111450854</v>
      </c>
      <c r="X85">
        <v>62.784371700000001</v>
      </c>
      <c r="Y85">
        <v>93.292308199999994</v>
      </c>
      <c r="Z85">
        <v>177.97</v>
      </c>
      <c r="AA85">
        <v>235.60376400000001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1.2605895890615919</v>
      </c>
    </row>
    <row r="86" spans="1:41" x14ac:dyDescent="0.3">
      <c r="A86">
        <v>932.45888637864982</v>
      </c>
      <c r="B86">
        <v>27</v>
      </c>
      <c r="C86">
        <v>10</v>
      </c>
      <c r="D86">
        <v>1.1431470162258932</v>
      </c>
      <c r="E86">
        <v>29</v>
      </c>
      <c r="F86">
        <v>5</v>
      </c>
      <c r="G86">
        <v>0.3</v>
      </c>
      <c r="H86">
        <v>29</v>
      </c>
      <c r="I86">
        <v>7</v>
      </c>
      <c r="J86">
        <v>1.4</v>
      </c>
      <c r="K86">
        <v>509209043.97047925</v>
      </c>
      <c r="L86">
        <v>54446000</v>
      </c>
      <c r="M86">
        <v>79696314.914308295</v>
      </c>
      <c r="N86">
        <v>72467800</v>
      </c>
      <c r="O86">
        <v>15885122.48</v>
      </c>
      <c r="P86">
        <v>208.50839199999999</v>
      </c>
      <c r="Q86">
        <v>1.2763265902281835</v>
      </c>
      <c r="R86">
        <v>43.632044200000003</v>
      </c>
      <c r="S86">
        <v>780.77562599999999</v>
      </c>
      <c r="T86">
        <v>4.1370756799999997E-9</v>
      </c>
      <c r="U86">
        <v>19.871867697397523</v>
      </c>
      <c r="V86">
        <v>80.72</v>
      </c>
      <c r="W86">
        <v>-160.76525446960397</v>
      </c>
      <c r="X86">
        <v>63.025539700000003</v>
      </c>
      <c r="Y86">
        <v>94.550415099999995</v>
      </c>
      <c r="Z86">
        <v>180.98100000000002</v>
      </c>
      <c r="AA86">
        <v>231.04417000000001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1.2763265902281835</v>
      </c>
    </row>
    <row r="87" spans="1:41" x14ac:dyDescent="0.3">
      <c r="A87">
        <v>932.03594441996393</v>
      </c>
      <c r="B87">
        <v>39</v>
      </c>
      <c r="C87">
        <v>10</v>
      </c>
      <c r="D87">
        <v>15</v>
      </c>
      <c r="E87">
        <v>10</v>
      </c>
      <c r="F87">
        <v>5</v>
      </c>
      <c r="G87">
        <v>0.3</v>
      </c>
      <c r="H87">
        <v>24</v>
      </c>
      <c r="I87">
        <v>14</v>
      </c>
      <c r="J87">
        <v>0.3</v>
      </c>
      <c r="K87">
        <v>509304455.18080938</v>
      </c>
      <c r="L87">
        <v>54446000</v>
      </c>
      <c r="M87">
        <v>79696320.111974999</v>
      </c>
      <c r="N87">
        <v>72467800</v>
      </c>
      <c r="O87">
        <v>15893409.199999999</v>
      </c>
      <c r="P87">
        <v>211.39092099999999</v>
      </c>
      <c r="Q87">
        <v>1.2592289873428524</v>
      </c>
      <c r="R87">
        <v>43.522632799999997</v>
      </c>
      <c r="S87">
        <v>780.76803400000006</v>
      </c>
      <c r="T87">
        <v>6.8308175599999997E-9</v>
      </c>
      <c r="U87">
        <v>19.608691476694069</v>
      </c>
      <c r="V87">
        <v>100.934</v>
      </c>
      <c r="W87">
        <v>-241.86744631718503</v>
      </c>
      <c r="X87">
        <v>62.807722200000001</v>
      </c>
      <c r="Y87">
        <v>92.071637300000006</v>
      </c>
      <c r="Z87">
        <v>144.29</v>
      </c>
      <c r="AA87">
        <v>232.866882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1.2592289873428524</v>
      </c>
    </row>
    <row r="88" spans="1:41" x14ac:dyDescent="0.3">
      <c r="A88">
        <v>926.93874333854592</v>
      </c>
      <c r="B88">
        <v>39</v>
      </c>
      <c r="C88">
        <v>19</v>
      </c>
      <c r="D88">
        <v>15</v>
      </c>
      <c r="E88">
        <v>29</v>
      </c>
      <c r="F88">
        <v>14</v>
      </c>
      <c r="G88">
        <v>0.3</v>
      </c>
      <c r="H88">
        <v>21</v>
      </c>
      <c r="I88">
        <v>7</v>
      </c>
      <c r="J88">
        <v>0.3</v>
      </c>
      <c r="K88">
        <v>509016530.98475325</v>
      </c>
      <c r="L88">
        <v>54446000</v>
      </c>
      <c r="M88">
        <v>79696333.819434181</v>
      </c>
      <c r="N88">
        <v>72467800</v>
      </c>
      <c r="O88">
        <v>15892592.800000001</v>
      </c>
      <c r="P88">
        <v>209.73486299999999</v>
      </c>
      <c r="Q88">
        <v>1.2682398756405215</v>
      </c>
      <c r="R88">
        <v>43.668127900000002</v>
      </c>
      <c r="S88">
        <v>780.49261799999999</v>
      </c>
      <c r="T88">
        <v>4.7378777700000004E-9</v>
      </c>
      <c r="U88">
        <v>19.89206227516021</v>
      </c>
      <c r="V88">
        <v>100.934</v>
      </c>
      <c r="W88">
        <v>-236.22455696082014</v>
      </c>
      <c r="X88">
        <v>62.774474300000001</v>
      </c>
      <c r="Y88">
        <v>92.040224300000006</v>
      </c>
      <c r="Z88">
        <v>180.98100000000002</v>
      </c>
      <c r="AA88">
        <v>235.71944300000001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1.2682398756405215</v>
      </c>
    </row>
    <row r="89" spans="1:41" x14ac:dyDescent="0.3">
      <c r="A89">
        <v>945.22995073478864</v>
      </c>
      <c r="B89">
        <v>39</v>
      </c>
      <c r="C89">
        <v>10</v>
      </c>
      <c r="D89">
        <v>15</v>
      </c>
      <c r="E89">
        <v>26</v>
      </c>
      <c r="F89">
        <v>5</v>
      </c>
      <c r="G89">
        <v>0.3</v>
      </c>
      <c r="H89">
        <v>23</v>
      </c>
      <c r="I89">
        <v>11</v>
      </c>
      <c r="J89">
        <v>1.4</v>
      </c>
      <c r="K89">
        <v>509705059.42549944</v>
      </c>
      <c r="L89">
        <v>54446000</v>
      </c>
      <c r="M89">
        <v>79696293.428633347</v>
      </c>
      <c r="N89">
        <v>72467800</v>
      </c>
      <c r="O89">
        <v>15898939.359999999</v>
      </c>
      <c r="P89">
        <v>211.75539599999999</v>
      </c>
      <c r="Q89">
        <v>1.2583458682127115</v>
      </c>
      <c r="R89">
        <v>43.669129599999998</v>
      </c>
      <c r="S89">
        <v>780.33199999999999</v>
      </c>
      <c r="T89">
        <v>4.6996011500000001E-9</v>
      </c>
      <c r="U89">
        <v>19.835477114731265</v>
      </c>
      <c r="V89">
        <v>100.934</v>
      </c>
      <c r="W89">
        <v>-237.38651804750887</v>
      </c>
      <c r="X89">
        <v>62.813924999999998</v>
      </c>
      <c r="Y89">
        <v>92.079041399999994</v>
      </c>
      <c r="Z89">
        <v>180.98100000000002</v>
      </c>
      <c r="AA89">
        <v>231.46734900000001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1.2583458682127115</v>
      </c>
    </row>
    <row r="90" spans="1:41" x14ac:dyDescent="0.3">
      <c r="A90">
        <v>941.01307117582246</v>
      </c>
      <c r="B90">
        <v>27</v>
      </c>
      <c r="C90">
        <v>19</v>
      </c>
      <c r="D90">
        <v>3.9392061713152979</v>
      </c>
      <c r="E90">
        <v>25</v>
      </c>
      <c r="F90">
        <v>5</v>
      </c>
      <c r="G90">
        <v>0.3</v>
      </c>
      <c r="H90">
        <v>11</v>
      </c>
      <c r="I90">
        <v>7</v>
      </c>
      <c r="J90">
        <v>1.4</v>
      </c>
      <c r="K90">
        <v>509532155.43079984</v>
      </c>
      <c r="L90">
        <v>54446000</v>
      </c>
      <c r="M90">
        <v>79696300.699408934</v>
      </c>
      <c r="N90">
        <v>72467800</v>
      </c>
      <c r="O90">
        <v>15890817.279999999</v>
      </c>
      <c r="P90">
        <v>211.24878100000001</v>
      </c>
      <c r="Q90">
        <v>1.2608079895412687</v>
      </c>
      <c r="R90">
        <v>43.671948100000002</v>
      </c>
      <c r="S90">
        <v>780.21931099999995</v>
      </c>
      <c r="T90">
        <v>4.6429092800000001E-9</v>
      </c>
      <c r="U90">
        <v>19.841533397236301</v>
      </c>
      <c r="V90">
        <v>80.72</v>
      </c>
      <c r="W90">
        <v>-240.91040556587492</v>
      </c>
      <c r="X90">
        <v>62.824175799999999</v>
      </c>
      <c r="Y90">
        <v>92.752740799999998</v>
      </c>
      <c r="Z90">
        <v>180.98100000000002</v>
      </c>
      <c r="AA90">
        <v>233.078487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1.2608079895412687</v>
      </c>
    </row>
    <row r="91" spans="1:41" x14ac:dyDescent="0.3">
      <c r="A91">
        <v>910</v>
      </c>
      <c r="B91">
        <v>39</v>
      </c>
      <c r="C91">
        <v>19</v>
      </c>
      <c r="D91">
        <v>15</v>
      </c>
      <c r="E91">
        <v>29</v>
      </c>
      <c r="F91">
        <v>13</v>
      </c>
      <c r="G91">
        <v>1.2</v>
      </c>
      <c r="H91">
        <v>16</v>
      </c>
      <c r="I91">
        <v>14</v>
      </c>
      <c r="J91">
        <v>0.3</v>
      </c>
      <c r="K91">
        <v>508533087.73022318</v>
      </c>
      <c r="L91">
        <v>54446000</v>
      </c>
      <c r="M91">
        <v>79696355.411116868</v>
      </c>
      <c r="N91">
        <v>72467800</v>
      </c>
      <c r="O91">
        <v>15899105.52</v>
      </c>
      <c r="P91">
        <v>208.71725499999999</v>
      </c>
      <c r="Q91">
        <v>1.2728508174290345</v>
      </c>
      <c r="R91">
        <v>43.6410944</v>
      </c>
      <c r="S91">
        <v>781.29367300000001</v>
      </c>
      <c r="T91">
        <v>1.1182496300000001E-17</v>
      </c>
      <c r="U91">
        <v>19.201817900495318</v>
      </c>
      <c r="V91">
        <v>100.934</v>
      </c>
      <c r="W91">
        <v>-237.83015338834397</v>
      </c>
      <c r="X91">
        <v>62.800836799999999</v>
      </c>
      <c r="Y91">
        <v>92.051501299999998</v>
      </c>
      <c r="Z91">
        <v>203.285</v>
      </c>
      <c r="AA91">
        <v>235.45474300000001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1.2728508174290345</v>
      </c>
    </row>
    <row r="92" spans="1:41" x14ac:dyDescent="0.3">
      <c r="A92">
        <v>910</v>
      </c>
      <c r="B92">
        <v>27</v>
      </c>
      <c r="C92">
        <v>19</v>
      </c>
      <c r="D92">
        <v>1</v>
      </c>
      <c r="E92">
        <v>16</v>
      </c>
      <c r="F92">
        <v>14</v>
      </c>
      <c r="G92">
        <v>1.2</v>
      </c>
      <c r="H92">
        <v>29</v>
      </c>
      <c r="I92">
        <v>14</v>
      </c>
      <c r="J92">
        <v>0.3</v>
      </c>
      <c r="K92">
        <v>508626446.35220808</v>
      </c>
      <c r="L92">
        <v>54446000</v>
      </c>
      <c r="M92">
        <v>79696347.382878959</v>
      </c>
      <c r="N92">
        <v>72467800</v>
      </c>
      <c r="O92">
        <v>15889890.32</v>
      </c>
      <c r="P92">
        <v>204.45311000000001</v>
      </c>
      <c r="Q92">
        <v>1.2997078186639517</v>
      </c>
      <c r="R92">
        <v>43.5110083</v>
      </c>
      <c r="S92">
        <v>780.37017900000001</v>
      </c>
      <c r="T92">
        <v>2.2596437699999999E-9</v>
      </c>
      <c r="U92">
        <v>19.156372804093262</v>
      </c>
      <c r="V92">
        <v>68.709999999999994</v>
      </c>
      <c r="W92">
        <v>-170.71330242820142</v>
      </c>
      <c r="X92">
        <v>63.105532599999997</v>
      </c>
      <c r="Y92">
        <v>95.096975599999993</v>
      </c>
      <c r="Z92">
        <v>100.934</v>
      </c>
      <c r="AA92">
        <v>230.96417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1.2997078186639517</v>
      </c>
    </row>
    <row r="93" spans="1:41" x14ac:dyDescent="0.3">
      <c r="A93">
        <v>932.86382533442315</v>
      </c>
      <c r="B93">
        <v>37</v>
      </c>
      <c r="C93">
        <v>10</v>
      </c>
      <c r="D93">
        <v>4.8120644409587703</v>
      </c>
      <c r="E93">
        <v>23</v>
      </c>
      <c r="F93">
        <v>9</v>
      </c>
      <c r="G93">
        <v>0.3</v>
      </c>
      <c r="H93">
        <v>28</v>
      </c>
      <c r="I93">
        <v>9</v>
      </c>
      <c r="J93">
        <v>1.4</v>
      </c>
      <c r="K93">
        <v>509232648.16934097</v>
      </c>
      <c r="L93">
        <v>54446000</v>
      </c>
      <c r="M93">
        <v>79696314.214780435</v>
      </c>
      <c r="N93">
        <v>72467800</v>
      </c>
      <c r="O93">
        <v>15887240.08</v>
      </c>
      <c r="P93">
        <v>211.013848</v>
      </c>
      <c r="Q93">
        <v>1.2612481661708623</v>
      </c>
      <c r="R93">
        <v>43.644231099999999</v>
      </c>
      <c r="S93">
        <v>779.99775899999997</v>
      </c>
      <c r="T93">
        <v>3.1759506799999998E-12</v>
      </c>
      <c r="U93">
        <v>19.651400452396654</v>
      </c>
      <c r="V93">
        <v>100.934</v>
      </c>
      <c r="W93">
        <v>-236.6584821251169</v>
      </c>
      <c r="X93">
        <v>62.837803600000001</v>
      </c>
      <c r="Y93">
        <v>92.476267399999998</v>
      </c>
      <c r="Z93">
        <v>177.97</v>
      </c>
      <c r="AA93">
        <v>230.93867499999999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1.2612481661708623</v>
      </c>
    </row>
    <row r="94" spans="1:41" x14ac:dyDescent="0.3">
      <c r="A94">
        <v>933.01976011782256</v>
      </c>
      <c r="B94">
        <v>27</v>
      </c>
      <c r="C94">
        <v>19</v>
      </c>
      <c r="D94">
        <v>5.4074734411105547</v>
      </c>
      <c r="E94">
        <v>29</v>
      </c>
      <c r="F94">
        <v>5</v>
      </c>
      <c r="G94">
        <v>0.3</v>
      </c>
      <c r="H94">
        <v>16</v>
      </c>
      <c r="I94">
        <v>7</v>
      </c>
      <c r="J94">
        <v>1.4</v>
      </c>
      <c r="K94">
        <v>509224579.48567021</v>
      </c>
      <c r="L94">
        <v>54446000</v>
      </c>
      <c r="M94">
        <v>79696314.017556712</v>
      </c>
      <c r="N94">
        <v>72467800</v>
      </c>
      <c r="O94">
        <v>15887637.68</v>
      </c>
      <c r="P94">
        <v>210.685036</v>
      </c>
      <c r="Q94">
        <v>1.2631905730571511</v>
      </c>
      <c r="R94">
        <v>43.672446899999997</v>
      </c>
      <c r="S94">
        <v>780.24569200000008</v>
      </c>
      <c r="T94">
        <v>4.6508563500000003E-9</v>
      </c>
      <c r="U94">
        <v>19.837638419916697</v>
      </c>
      <c r="V94">
        <v>91.850000000000009</v>
      </c>
      <c r="W94">
        <v>-239.59569990204892</v>
      </c>
      <c r="X94">
        <v>62.8328208</v>
      </c>
      <c r="Y94">
        <v>92.651161900000005</v>
      </c>
      <c r="Z94">
        <v>180.98100000000002</v>
      </c>
      <c r="AA94">
        <v>232.04298299999999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1.2631905730571511</v>
      </c>
    </row>
    <row r="95" spans="1:41" x14ac:dyDescent="0.3">
      <c r="A95">
        <v>910</v>
      </c>
      <c r="B95">
        <v>39</v>
      </c>
      <c r="C95">
        <v>10</v>
      </c>
      <c r="D95">
        <v>1</v>
      </c>
      <c r="E95">
        <v>10</v>
      </c>
      <c r="F95">
        <v>5</v>
      </c>
      <c r="G95">
        <v>1.2</v>
      </c>
      <c r="H95">
        <v>10</v>
      </c>
      <c r="I95">
        <v>7</v>
      </c>
      <c r="J95">
        <v>0.3</v>
      </c>
      <c r="K95">
        <v>508562986.79703176</v>
      </c>
      <c r="L95">
        <v>54446000</v>
      </c>
      <c r="M95">
        <v>79696359.998828143</v>
      </c>
      <c r="N95">
        <v>72467800</v>
      </c>
      <c r="O95">
        <v>15893486</v>
      </c>
      <c r="P95">
        <v>206.756349</v>
      </c>
      <c r="Q95">
        <v>1.2850208811386399</v>
      </c>
      <c r="R95">
        <v>43.5501456</v>
      </c>
      <c r="S95">
        <v>780.60875999999996</v>
      </c>
      <c r="T95">
        <v>6.3682471600000004E-10</v>
      </c>
      <c r="U95">
        <v>19.346046709562717</v>
      </c>
      <c r="V95">
        <v>80.72</v>
      </c>
      <c r="W95">
        <v>-139.80465997928326</v>
      </c>
      <c r="X95">
        <v>63.071822699999998</v>
      </c>
      <c r="Y95">
        <v>94.849008400000002</v>
      </c>
      <c r="Z95">
        <v>144.29</v>
      </c>
      <c r="AA95">
        <v>235.70395600000001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1.2850208811386399</v>
      </c>
    </row>
    <row r="96" spans="1:41" x14ac:dyDescent="0.3">
      <c r="A96">
        <v>942.71007691967475</v>
      </c>
      <c r="B96">
        <v>33</v>
      </c>
      <c r="C96">
        <v>10</v>
      </c>
      <c r="D96">
        <v>4.610440844372131</v>
      </c>
      <c r="E96">
        <v>24</v>
      </c>
      <c r="F96">
        <v>5</v>
      </c>
      <c r="G96">
        <v>1.2</v>
      </c>
      <c r="H96">
        <v>28</v>
      </c>
      <c r="I96">
        <v>11</v>
      </c>
      <c r="J96">
        <v>1.4</v>
      </c>
      <c r="K96">
        <v>509626301.50625694</v>
      </c>
      <c r="L96">
        <v>54446000</v>
      </c>
      <c r="M96">
        <v>79696297.689281955</v>
      </c>
      <c r="N96">
        <v>72467800</v>
      </c>
      <c r="O96">
        <v>15891990.32</v>
      </c>
      <c r="P96">
        <v>211.63451499999999</v>
      </c>
      <c r="Q96">
        <v>1.2588119778635571</v>
      </c>
      <c r="R96">
        <v>43.641984299999997</v>
      </c>
      <c r="S96">
        <v>780.404763</v>
      </c>
      <c r="T96">
        <v>4.8430235399999997E-10</v>
      </c>
      <c r="U96">
        <v>19.328173421337404</v>
      </c>
      <c r="V96">
        <v>100.934</v>
      </c>
      <c r="W96">
        <v>-236.34351104549225</v>
      </c>
      <c r="X96">
        <v>62.822666300000002</v>
      </c>
      <c r="Y96">
        <v>92.550005499999997</v>
      </c>
      <c r="Z96">
        <v>203.285</v>
      </c>
      <c r="AA96">
        <v>230.678248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1.2588119778635571</v>
      </c>
    </row>
    <row r="97" spans="1:41" x14ac:dyDescent="0.3">
      <c r="A97">
        <v>923.7042542029094</v>
      </c>
      <c r="B97">
        <v>27</v>
      </c>
      <c r="C97">
        <v>19</v>
      </c>
      <c r="D97">
        <v>15</v>
      </c>
      <c r="E97">
        <v>29</v>
      </c>
      <c r="F97">
        <v>14</v>
      </c>
      <c r="G97">
        <v>0.3</v>
      </c>
      <c r="H97">
        <v>29</v>
      </c>
      <c r="I97">
        <v>14</v>
      </c>
      <c r="J97">
        <v>0.3</v>
      </c>
      <c r="K97">
        <v>509000683.66917324</v>
      </c>
      <c r="L97">
        <v>54446000</v>
      </c>
      <c r="M97">
        <v>79696332.675536618</v>
      </c>
      <c r="N97">
        <v>72467800</v>
      </c>
      <c r="O97">
        <v>15902280.479999999</v>
      </c>
      <c r="P97">
        <v>210.01383799999999</v>
      </c>
      <c r="Q97">
        <v>1.2665039650255094</v>
      </c>
      <c r="R97">
        <v>43.646050899999999</v>
      </c>
      <c r="S97">
        <v>779.971991</v>
      </c>
      <c r="T97">
        <v>1.78160665E-12</v>
      </c>
      <c r="U97">
        <v>19.652287352668001</v>
      </c>
      <c r="V97">
        <v>91.850000000000009</v>
      </c>
      <c r="W97">
        <v>-237.7088021347258</v>
      </c>
      <c r="X97">
        <v>62.7873333</v>
      </c>
      <c r="Y97">
        <v>92.414378900000003</v>
      </c>
      <c r="Z97">
        <v>177.97</v>
      </c>
      <c r="AA97">
        <v>235.80779100000001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1.2665039650255094</v>
      </c>
    </row>
    <row r="98" spans="1:41" x14ac:dyDescent="0.3">
      <c r="A98">
        <v>910</v>
      </c>
      <c r="B98">
        <v>39</v>
      </c>
      <c r="C98">
        <v>19</v>
      </c>
      <c r="D98">
        <v>14.853051237513986</v>
      </c>
      <c r="E98">
        <v>16</v>
      </c>
      <c r="F98">
        <v>14</v>
      </c>
      <c r="G98">
        <v>1.2</v>
      </c>
      <c r="H98">
        <v>10</v>
      </c>
      <c r="I98">
        <v>7</v>
      </c>
      <c r="J98">
        <v>0.3</v>
      </c>
      <c r="K98">
        <v>508623534.16466987</v>
      </c>
      <c r="L98">
        <v>54446000</v>
      </c>
      <c r="M98">
        <v>79696355.732221738</v>
      </c>
      <c r="N98">
        <v>72467800</v>
      </c>
      <c r="O98">
        <v>15899857.52</v>
      </c>
      <c r="P98">
        <v>210.76561799999999</v>
      </c>
      <c r="Q98">
        <v>1.2607717102308866</v>
      </c>
      <c r="R98">
        <v>43.497127900000002</v>
      </c>
      <c r="S98">
        <v>780.20614</v>
      </c>
      <c r="T98">
        <v>1.2702082399999999E-17</v>
      </c>
      <c r="U98">
        <v>18.72958912411487</v>
      </c>
      <c r="V98">
        <v>100.934</v>
      </c>
      <c r="W98">
        <v>-240.3383319844219</v>
      </c>
      <c r="X98">
        <v>62.8704088</v>
      </c>
      <c r="Y98">
        <v>92.093685600000001</v>
      </c>
      <c r="Z98">
        <v>121.52199999999999</v>
      </c>
      <c r="AA98">
        <v>236.43350100000001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1.2607717102308866</v>
      </c>
    </row>
    <row r="99" spans="1:41" x14ac:dyDescent="0.3">
      <c r="A99">
        <v>918.83528419633421</v>
      </c>
      <c r="B99">
        <v>27</v>
      </c>
      <c r="C99">
        <v>10</v>
      </c>
      <c r="D99">
        <v>15</v>
      </c>
      <c r="E99">
        <v>29</v>
      </c>
      <c r="F99">
        <v>5</v>
      </c>
      <c r="G99">
        <v>0.3</v>
      </c>
      <c r="H99">
        <v>29</v>
      </c>
      <c r="I99">
        <v>7</v>
      </c>
      <c r="J99">
        <v>0.3</v>
      </c>
      <c r="K99">
        <v>508820931.27095443</v>
      </c>
      <c r="L99">
        <v>54446000</v>
      </c>
      <c r="M99">
        <v>79696342.109609842</v>
      </c>
      <c r="N99">
        <v>72467800</v>
      </c>
      <c r="O99">
        <v>15901340.720000001</v>
      </c>
      <c r="P99">
        <v>209.35268500000001</v>
      </c>
      <c r="Q99">
        <v>1.2699208166387488</v>
      </c>
      <c r="R99">
        <v>43.666233900000002</v>
      </c>
      <c r="S99">
        <v>780.50131199999998</v>
      </c>
      <c r="T99">
        <v>4.7407202500000002E-9</v>
      </c>
      <c r="U99">
        <v>19.890853550258917</v>
      </c>
      <c r="V99">
        <v>100.934</v>
      </c>
      <c r="W99">
        <v>-235.94312342704072</v>
      </c>
      <c r="X99">
        <v>62.783956199999999</v>
      </c>
      <c r="Y99">
        <v>92.386888900000002</v>
      </c>
      <c r="Z99">
        <v>180.98100000000002</v>
      </c>
      <c r="AA99">
        <v>235.66447199999999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1.2699208166387488</v>
      </c>
    </row>
    <row r="100" spans="1:41" x14ac:dyDescent="0.3">
      <c r="A100">
        <v>910</v>
      </c>
      <c r="B100">
        <v>39</v>
      </c>
      <c r="C100">
        <v>19</v>
      </c>
      <c r="D100">
        <v>15</v>
      </c>
      <c r="E100">
        <v>10</v>
      </c>
      <c r="F100">
        <v>5</v>
      </c>
      <c r="G100">
        <v>0.3</v>
      </c>
      <c r="H100">
        <v>29</v>
      </c>
      <c r="I100">
        <v>7</v>
      </c>
      <c r="J100">
        <v>0.3</v>
      </c>
      <c r="K100">
        <v>508607384.94567668</v>
      </c>
      <c r="L100">
        <v>54446000</v>
      </c>
      <c r="M100">
        <v>79696352.326825559</v>
      </c>
      <c r="N100">
        <v>72467800</v>
      </c>
      <c r="O100">
        <v>15898352.800000001</v>
      </c>
      <c r="P100">
        <v>209.86475300000001</v>
      </c>
      <c r="Q100">
        <v>1.2661314579284026</v>
      </c>
      <c r="R100">
        <v>43.5223692</v>
      </c>
      <c r="S100">
        <v>780.78270000000009</v>
      </c>
      <c r="T100">
        <v>6.88387411E-9</v>
      </c>
      <c r="U100">
        <v>19.618570538176858</v>
      </c>
      <c r="V100">
        <v>100.934</v>
      </c>
      <c r="W100">
        <v>-241.71359790365577</v>
      </c>
      <c r="X100">
        <v>62.817732200000002</v>
      </c>
      <c r="Y100">
        <v>92.0613362</v>
      </c>
      <c r="Z100">
        <v>144.29</v>
      </c>
      <c r="AA100">
        <v>232.701911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1.2661314579284026</v>
      </c>
    </row>
    <row r="101" spans="1:41" x14ac:dyDescent="0.3">
      <c r="A101">
        <v>948.88509922547769</v>
      </c>
      <c r="B101">
        <v>39</v>
      </c>
      <c r="C101">
        <v>19</v>
      </c>
      <c r="D101">
        <v>7.8291251500560755</v>
      </c>
      <c r="E101">
        <v>18</v>
      </c>
      <c r="F101">
        <v>5</v>
      </c>
      <c r="G101">
        <v>0.3</v>
      </c>
      <c r="H101">
        <v>14</v>
      </c>
      <c r="I101">
        <v>10</v>
      </c>
      <c r="J101">
        <v>0.3</v>
      </c>
      <c r="K101">
        <v>509887116.38156426</v>
      </c>
      <c r="L101">
        <v>54446000</v>
      </c>
      <c r="M101">
        <v>79696298.618493274</v>
      </c>
      <c r="N101">
        <v>72467800</v>
      </c>
      <c r="O101">
        <v>15900450.48</v>
      </c>
      <c r="P101">
        <v>211.648447</v>
      </c>
      <c r="Q101">
        <v>1.2595656698853928</v>
      </c>
      <c r="R101">
        <v>43.644924400000001</v>
      </c>
      <c r="S101">
        <v>780.55833299999995</v>
      </c>
      <c r="T101">
        <v>4.95528639E-9</v>
      </c>
      <c r="U101">
        <v>19.878540184566528</v>
      </c>
      <c r="V101">
        <v>100.934</v>
      </c>
      <c r="W101">
        <v>-238.14247949899197</v>
      </c>
      <c r="X101">
        <v>62.758970300000001</v>
      </c>
      <c r="Y101">
        <v>92.192537099999996</v>
      </c>
      <c r="Z101">
        <v>177.97</v>
      </c>
      <c r="AA101">
        <v>235.11283299999999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1.2595656698853928</v>
      </c>
    </row>
    <row r="102" spans="1:41" x14ac:dyDescent="0.3">
      <c r="A102">
        <v>910</v>
      </c>
      <c r="B102">
        <v>27</v>
      </c>
      <c r="C102">
        <v>10</v>
      </c>
      <c r="D102">
        <v>1.5660648188910791</v>
      </c>
      <c r="E102">
        <v>18</v>
      </c>
      <c r="F102">
        <v>14</v>
      </c>
      <c r="G102">
        <v>0.3</v>
      </c>
      <c r="H102">
        <v>16</v>
      </c>
      <c r="I102">
        <v>14</v>
      </c>
      <c r="J102">
        <v>0.3</v>
      </c>
      <c r="K102">
        <v>508657248.21527928</v>
      </c>
      <c r="L102">
        <v>54446000</v>
      </c>
      <c r="M102">
        <v>79696360.264669269</v>
      </c>
      <c r="N102">
        <v>72467800</v>
      </c>
      <c r="O102">
        <v>15894532.560000001</v>
      </c>
      <c r="P102">
        <v>210.23517699999999</v>
      </c>
      <c r="Q102">
        <v>1.264061606682136</v>
      </c>
      <c r="R102">
        <v>43.455679799999999</v>
      </c>
      <c r="S102">
        <v>780.59575299999995</v>
      </c>
      <c r="T102">
        <v>1.15422584E-15</v>
      </c>
      <c r="U102">
        <v>19.28086201958001</v>
      </c>
      <c r="V102">
        <v>91.850000000000009</v>
      </c>
      <c r="W102">
        <v>-209.2972571452415</v>
      </c>
      <c r="X102">
        <v>62.968859000000002</v>
      </c>
      <c r="Y102">
        <v>93.559752399999994</v>
      </c>
      <c r="Z102">
        <v>121.52199999999999</v>
      </c>
      <c r="AA102">
        <v>236.26306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1.264061606682136</v>
      </c>
    </row>
    <row r="103" spans="1:41" x14ac:dyDescent="0.3">
      <c r="A103">
        <v>925.47929226408644</v>
      </c>
      <c r="B103">
        <v>27</v>
      </c>
      <c r="C103">
        <v>10</v>
      </c>
      <c r="D103">
        <v>1</v>
      </c>
      <c r="E103">
        <v>10</v>
      </c>
      <c r="F103">
        <v>5</v>
      </c>
      <c r="G103">
        <v>0.3</v>
      </c>
      <c r="H103">
        <v>18</v>
      </c>
      <c r="I103">
        <v>14</v>
      </c>
      <c r="J103">
        <v>0.3</v>
      </c>
      <c r="K103">
        <v>509077589.21863997</v>
      </c>
      <c r="L103">
        <v>54446000</v>
      </c>
      <c r="M103">
        <v>79696331.615048259</v>
      </c>
      <c r="N103">
        <v>72467800</v>
      </c>
      <c r="O103">
        <v>15884216.800000001</v>
      </c>
      <c r="P103">
        <v>207.742368</v>
      </c>
      <c r="Q103">
        <v>1.2806033204719882</v>
      </c>
      <c r="R103">
        <v>43.485738300000001</v>
      </c>
      <c r="S103">
        <v>780.89045999999996</v>
      </c>
      <c r="T103">
        <v>5.7459401100000004E-9</v>
      </c>
      <c r="U103">
        <v>19.514862587237918</v>
      </c>
      <c r="V103">
        <v>80.72</v>
      </c>
      <c r="W103">
        <v>-152.39076000690713</v>
      </c>
      <c r="X103">
        <v>63.104971999999997</v>
      </c>
      <c r="Y103">
        <v>94.940840499999993</v>
      </c>
      <c r="Z103">
        <v>144.29</v>
      </c>
      <c r="AA103">
        <v>233.91020800000001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1.2806033204719882</v>
      </c>
    </row>
    <row r="104" spans="1:41" x14ac:dyDescent="0.3">
      <c r="A104">
        <v>919.91504738586343</v>
      </c>
      <c r="B104">
        <v>27</v>
      </c>
      <c r="C104">
        <v>19</v>
      </c>
      <c r="D104">
        <v>1</v>
      </c>
      <c r="E104">
        <v>29</v>
      </c>
      <c r="F104">
        <v>14</v>
      </c>
      <c r="G104">
        <v>0.3</v>
      </c>
      <c r="H104">
        <v>29</v>
      </c>
      <c r="I104">
        <v>7</v>
      </c>
      <c r="J104">
        <v>0.3</v>
      </c>
      <c r="K104">
        <v>508883117.53258038</v>
      </c>
      <c r="L104">
        <v>54446000</v>
      </c>
      <c r="M104">
        <v>79696338.606629014</v>
      </c>
      <c r="N104">
        <v>72467800</v>
      </c>
      <c r="O104">
        <v>15893913.200000001</v>
      </c>
      <c r="P104">
        <v>203.56000399999999</v>
      </c>
      <c r="Q104">
        <v>1.3062661767438219</v>
      </c>
      <c r="R104">
        <v>43.675183099999998</v>
      </c>
      <c r="S104">
        <v>780.022155</v>
      </c>
      <c r="T104">
        <v>5.5054892300000003E-9</v>
      </c>
      <c r="U104">
        <v>20.255786837531542</v>
      </c>
      <c r="V104">
        <v>68.709999999999994</v>
      </c>
      <c r="W104">
        <v>-167.94504603473578</v>
      </c>
      <c r="X104">
        <v>63.041759900000002</v>
      </c>
      <c r="Y104">
        <v>95.060174399999994</v>
      </c>
      <c r="Z104">
        <v>177.97</v>
      </c>
      <c r="AA104">
        <v>234.03090800000001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1.3062661767438219</v>
      </c>
    </row>
    <row r="105" spans="1:41" x14ac:dyDescent="0.3">
      <c r="A105">
        <v>939.16090241440884</v>
      </c>
      <c r="B105">
        <v>32</v>
      </c>
      <c r="C105">
        <v>19</v>
      </c>
      <c r="D105">
        <v>8.5377976883212376</v>
      </c>
      <c r="E105">
        <v>16</v>
      </c>
      <c r="F105">
        <v>14</v>
      </c>
      <c r="G105">
        <v>0.3</v>
      </c>
      <c r="H105">
        <v>16</v>
      </c>
      <c r="I105">
        <v>7</v>
      </c>
      <c r="J105">
        <v>0.3</v>
      </c>
      <c r="K105">
        <v>509746017.60719663</v>
      </c>
      <c r="L105">
        <v>54446000</v>
      </c>
      <c r="M105">
        <v>79696305.245004714</v>
      </c>
      <c r="N105">
        <v>72467800</v>
      </c>
      <c r="O105">
        <v>15893125.52</v>
      </c>
      <c r="P105">
        <v>213.94596300000001</v>
      </c>
      <c r="Q105">
        <v>1.2455917773024066</v>
      </c>
      <c r="R105">
        <v>43.337508100000001</v>
      </c>
      <c r="S105">
        <v>782.29676800000004</v>
      </c>
      <c r="T105">
        <v>4.1552144999999999E-15</v>
      </c>
      <c r="U105">
        <v>19.010242565990048</v>
      </c>
      <c r="V105">
        <v>100.934</v>
      </c>
      <c r="W105">
        <v>-242.25794584049768</v>
      </c>
      <c r="X105">
        <v>62.855755600000002</v>
      </c>
      <c r="Y105">
        <v>92.395480399999997</v>
      </c>
      <c r="Z105">
        <v>100.934</v>
      </c>
      <c r="AA105">
        <v>227.74295900000001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1.2455917773024066</v>
      </c>
    </row>
    <row r="106" spans="1:41" x14ac:dyDescent="0.3">
      <c r="A106">
        <v>910</v>
      </c>
      <c r="B106">
        <v>27</v>
      </c>
      <c r="C106">
        <v>19</v>
      </c>
      <c r="D106">
        <v>15</v>
      </c>
      <c r="E106">
        <v>29</v>
      </c>
      <c r="F106">
        <v>14</v>
      </c>
      <c r="G106">
        <v>0.3</v>
      </c>
      <c r="H106">
        <v>29</v>
      </c>
      <c r="I106">
        <v>14</v>
      </c>
      <c r="J106">
        <v>1.4</v>
      </c>
      <c r="K106">
        <v>508492233.97085387</v>
      </c>
      <c r="L106">
        <v>54446000</v>
      </c>
      <c r="M106">
        <v>79696345.823784396</v>
      </c>
      <c r="N106">
        <v>72467800</v>
      </c>
      <c r="O106">
        <v>15896748.719999999</v>
      </c>
      <c r="P106">
        <v>209.61889600000001</v>
      </c>
      <c r="Q106">
        <v>1.2672435544857945</v>
      </c>
      <c r="R106">
        <v>43.649012999999997</v>
      </c>
      <c r="S106">
        <v>779.77308700000003</v>
      </c>
      <c r="T106">
        <v>1.7809261899999999E-12</v>
      </c>
      <c r="U106">
        <v>19.594151232874001</v>
      </c>
      <c r="V106">
        <v>91.850000000000009</v>
      </c>
      <c r="W106">
        <v>-238.63276546139844</v>
      </c>
      <c r="X106">
        <v>62.864301500000003</v>
      </c>
      <c r="Y106">
        <v>92.453330500000007</v>
      </c>
      <c r="Z106">
        <v>177.97</v>
      </c>
      <c r="AA106">
        <v>230.971138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1.2672435544857945</v>
      </c>
    </row>
    <row r="107" spans="1:41" x14ac:dyDescent="0.3">
      <c r="A107">
        <v>920.97846522695977</v>
      </c>
      <c r="B107">
        <v>39</v>
      </c>
      <c r="C107">
        <v>10</v>
      </c>
      <c r="D107">
        <v>15</v>
      </c>
      <c r="E107">
        <v>16</v>
      </c>
      <c r="F107">
        <v>14</v>
      </c>
      <c r="G107">
        <v>0.3</v>
      </c>
      <c r="H107">
        <v>16</v>
      </c>
      <c r="I107">
        <v>14</v>
      </c>
      <c r="J107">
        <v>1.4</v>
      </c>
      <c r="K107">
        <v>509164400.9882549</v>
      </c>
      <c r="L107">
        <v>54446000</v>
      </c>
      <c r="M107">
        <v>79696328.036670461</v>
      </c>
      <c r="N107">
        <v>72467800</v>
      </c>
      <c r="O107">
        <v>15900133.92</v>
      </c>
      <c r="P107">
        <v>213.17572799999999</v>
      </c>
      <c r="Q107">
        <v>1.2482401320947083</v>
      </c>
      <c r="R107">
        <v>43.341177999999999</v>
      </c>
      <c r="S107">
        <v>782.15439499999991</v>
      </c>
      <c r="T107">
        <v>4.1572371900000002E-15</v>
      </c>
      <c r="U107">
        <v>18.975058419360046</v>
      </c>
      <c r="V107">
        <v>100.934</v>
      </c>
      <c r="W107">
        <v>-242.21481474172458</v>
      </c>
      <c r="X107">
        <v>62.913694200000002</v>
      </c>
      <c r="Y107">
        <v>92.130429500000005</v>
      </c>
      <c r="Z107">
        <v>100.934</v>
      </c>
      <c r="AA107">
        <v>227.60525000000001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1.2482401320947083</v>
      </c>
    </row>
    <row r="108" spans="1:41" x14ac:dyDescent="0.3">
      <c r="A108">
        <v>910</v>
      </c>
      <c r="B108">
        <v>27</v>
      </c>
      <c r="C108">
        <v>10</v>
      </c>
      <c r="D108">
        <v>15</v>
      </c>
      <c r="E108">
        <v>10</v>
      </c>
      <c r="F108">
        <v>5</v>
      </c>
      <c r="G108">
        <v>0.3</v>
      </c>
      <c r="H108">
        <v>10</v>
      </c>
      <c r="I108">
        <v>7</v>
      </c>
      <c r="J108">
        <v>1.4</v>
      </c>
      <c r="K108">
        <v>508595070.26819599</v>
      </c>
      <c r="L108">
        <v>54446000</v>
      </c>
      <c r="M108">
        <v>79696345.570269749</v>
      </c>
      <c r="N108">
        <v>72467800</v>
      </c>
      <c r="O108">
        <v>15896933.119999999</v>
      </c>
      <c r="P108">
        <v>210.51659100000001</v>
      </c>
      <c r="Q108">
        <v>1.2621713307231488</v>
      </c>
      <c r="R108">
        <v>43.524122300000002</v>
      </c>
      <c r="S108">
        <v>780.59495400000003</v>
      </c>
      <c r="T108">
        <v>6.8361739400000002E-9</v>
      </c>
      <c r="U108">
        <v>19.557331002569246</v>
      </c>
      <c r="V108">
        <v>100.934</v>
      </c>
      <c r="W108">
        <v>-242.67811713792366</v>
      </c>
      <c r="X108">
        <v>62.886870100000003</v>
      </c>
      <c r="Y108">
        <v>92.441082600000001</v>
      </c>
      <c r="Z108">
        <v>144.29</v>
      </c>
      <c r="AA108">
        <v>230.65930800000001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1.2621713307231488</v>
      </c>
    </row>
    <row r="109" spans="1:41" x14ac:dyDescent="0.3">
      <c r="A109">
        <v>928.4569761104982</v>
      </c>
      <c r="B109">
        <v>39</v>
      </c>
      <c r="C109">
        <v>10</v>
      </c>
      <c r="D109">
        <v>3.5043592621368189</v>
      </c>
      <c r="E109">
        <v>10</v>
      </c>
      <c r="F109">
        <v>8</v>
      </c>
      <c r="G109">
        <v>0.59617946828461421</v>
      </c>
      <c r="H109">
        <v>22</v>
      </c>
      <c r="I109">
        <v>14</v>
      </c>
      <c r="J109">
        <v>1.4</v>
      </c>
      <c r="K109">
        <v>509335652.96396029</v>
      </c>
      <c r="L109">
        <v>54446000</v>
      </c>
      <c r="M109">
        <v>79696318.762019739</v>
      </c>
      <c r="N109">
        <v>72467800</v>
      </c>
      <c r="O109">
        <v>15886450.4</v>
      </c>
      <c r="P109">
        <v>212.575232</v>
      </c>
      <c r="Q109">
        <v>1.2523131300604191</v>
      </c>
      <c r="R109">
        <v>43.4051361</v>
      </c>
      <c r="S109">
        <v>780.81189500000005</v>
      </c>
      <c r="T109">
        <v>8.1787443800000007E-12</v>
      </c>
      <c r="U109">
        <v>18.825648568044219</v>
      </c>
      <c r="V109">
        <v>100.934</v>
      </c>
      <c r="W109">
        <v>-237.57305099102371</v>
      </c>
      <c r="X109">
        <v>62.8462253</v>
      </c>
      <c r="Y109">
        <v>92.637936600000003</v>
      </c>
      <c r="Z109">
        <v>100.934</v>
      </c>
      <c r="AA109">
        <v>228.42012500000001</v>
      </c>
      <c r="AB109">
        <v>100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101.25231313006041</v>
      </c>
    </row>
    <row r="110" spans="1:41" x14ac:dyDescent="0.3">
      <c r="A110">
        <v>922.25808284921925</v>
      </c>
      <c r="B110">
        <v>34</v>
      </c>
      <c r="C110">
        <v>19</v>
      </c>
      <c r="D110">
        <v>2.5385529646303673</v>
      </c>
      <c r="E110">
        <v>13</v>
      </c>
      <c r="F110">
        <v>10</v>
      </c>
      <c r="G110">
        <v>0.60627594523078732</v>
      </c>
      <c r="H110">
        <v>29</v>
      </c>
      <c r="I110">
        <v>8</v>
      </c>
      <c r="J110">
        <v>1.0225536946048603</v>
      </c>
      <c r="K110">
        <v>509140215.30173808</v>
      </c>
      <c r="L110">
        <v>54446000</v>
      </c>
      <c r="M110">
        <v>79696324.204367116</v>
      </c>
      <c r="N110">
        <v>72467800</v>
      </c>
      <c r="O110">
        <v>15896577.6</v>
      </c>
      <c r="P110">
        <v>211.76503500000001</v>
      </c>
      <c r="Q110">
        <v>1.2564778708670949</v>
      </c>
      <c r="R110">
        <v>43.4853235</v>
      </c>
      <c r="S110">
        <v>779.86164000000008</v>
      </c>
      <c r="T110">
        <v>1.05859993E-13</v>
      </c>
      <c r="U110">
        <v>18.926388693630447</v>
      </c>
      <c r="V110">
        <v>91.850000000000009</v>
      </c>
      <c r="W110">
        <v>-241.52497661595214</v>
      </c>
      <c r="X110">
        <v>62.844124700000002</v>
      </c>
      <c r="Y110">
        <v>92.804623300000003</v>
      </c>
      <c r="Z110">
        <v>121.52199999999999</v>
      </c>
      <c r="AA110">
        <v>229.78208699999999</v>
      </c>
      <c r="AB110">
        <v>100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101.2564778708671</v>
      </c>
    </row>
    <row r="111" spans="1:41" x14ac:dyDescent="0.3">
      <c r="A111">
        <v>910.60912344918643</v>
      </c>
      <c r="B111">
        <v>32</v>
      </c>
      <c r="C111">
        <v>10</v>
      </c>
      <c r="D111">
        <v>2.8345759537427595</v>
      </c>
      <c r="E111">
        <v>10</v>
      </c>
      <c r="F111">
        <v>6</v>
      </c>
      <c r="G111">
        <v>0.3</v>
      </c>
      <c r="H111">
        <v>25</v>
      </c>
      <c r="I111">
        <v>13</v>
      </c>
      <c r="J111">
        <v>0.31013060567977307</v>
      </c>
      <c r="K111">
        <v>508643087.33987182</v>
      </c>
      <c r="L111">
        <v>54446000</v>
      </c>
      <c r="M111">
        <v>79696346.717043474</v>
      </c>
      <c r="N111">
        <v>72467800</v>
      </c>
      <c r="O111">
        <v>15891064.800000001</v>
      </c>
      <c r="P111">
        <v>210.46191200000001</v>
      </c>
      <c r="Q111">
        <v>1.2626541302014695</v>
      </c>
      <c r="R111">
        <v>43.4764774</v>
      </c>
      <c r="S111">
        <v>780.85787399999992</v>
      </c>
      <c r="T111">
        <v>1.3406315E-9</v>
      </c>
      <c r="U111">
        <v>19.427206389048916</v>
      </c>
      <c r="V111">
        <v>100.934</v>
      </c>
      <c r="W111">
        <v>-236.92210949681188</v>
      </c>
      <c r="X111">
        <v>62.865162400000003</v>
      </c>
      <c r="Y111">
        <v>92.8495937</v>
      </c>
      <c r="Z111">
        <v>121.52199999999999</v>
      </c>
      <c r="AA111">
        <v>231.72543400000001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1.2626541302014695</v>
      </c>
    </row>
    <row r="112" spans="1:41" x14ac:dyDescent="0.3">
      <c r="A112">
        <v>946.8091697747102</v>
      </c>
      <c r="B112">
        <v>27</v>
      </c>
      <c r="C112">
        <v>10</v>
      </c>
      <c r="D112">
        <v>15</v>
      </c>
      <c r="E112">
        <v>16</v>
      </c>
      <c r="F112">
        <v>14</v>
      </c>
      <c r="G112">
        <v>1.2</v>
      </c>
      <c r="H112">
        <v>29</v>
      </c>
      <c r="I112">
        <v>12</v>
      </c>
      <c r="J112">
        <v>1.4</v>
      </c>
      <c r="K112">
        <v>509792336.60787106</v>
      </c>
      <c r="L112">
        <v>54446000</v>
      </c>
      <c r="M112">
        <v>79696290.616962746</v>
      </c>
      <c r="N112">
        <v>72467800</v>
      </c>
      <c r="O112">
        <v>15899868</v>
      </c>
      <c r="P112">
        <v>212.09292099999999</v>
      </c>
      <c r="Q112">
        <v>1.2566226865760075</v>
      </c>
      <c r="R112">
        <v>43.635202900000003</v>
      </c>
      <c r="S112">
        <v>780.10288700000001</v>
      </c>
      <c r="T112">
        <v>6.0210402000000004E-11</v>
      </c>
      <c r="U112">
        <v>19.287425429656054</v>
      </c>
      <c r="V112">
        <v>100.934</v>
      </c>
      <c r="W112">
        <v>-238.0083028126721</v>
      </c>
      <c r="X112">
        <v>62.812326599999999</v>
      </c>
      <c r="Y112">
        <v>92.408367999999996</v>
      </c>
      <c r="Z112">
        <v>180.98100000000002</v>
      </c>
      <c r="AA112">
        <v>230.60016899999999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1.2566226865760075</v>
      </c>
    </row>
    <row r="113" spans="1:41" x14ac:dyDescent="0.3">
      <c r="A113">
        <v>960</v>
      </c>
      <c r="B113">
        <v>39</v>
      </c>
      <c r="C113">
        <v>19</v>
      </c>
      <c r="D113">
        <v>15</v>
      </c>
      <c r="E113">
        <v>10</v>
      </c>
      <c r="F113">
        <v>5</v>
      </c>
      <c r="G113">
        <v>1.2</v>
      </c>
      <c r="H113">
        <v>29</v>
      </c>
      <c r="I113">
        <v>14</v>
      </c>
      <c r="J113">
        <v>0.3</v>
      </c>
      <c r="K113">
        <v>504761654.42219949</v>
      </c>
      <c r="L113">
        <v>54446000</v>
      </c>
      <c r="M113">
        <v>79696409.336806133</v>
      </c>
      <c r="N113">
        <v>72467800</v>
      </c>
      <c r="O113">
        <v>16385344.639999999</v>
      </c>
      <c r="P113">
        <v>204.60652099999999</v>
      </c>
      <c r="Q113">
        <v>1.2859104906721297</v>
      </c>
      <c r="R113">
        <v>43.597288200000001</v>
      </c>
      <c r="S113">
        <v>780.02909299999999</v>
      </c>
      <c r="T113">
        <v>7.0017693799999998E-10</v>
      </c>
      <c r="U113">
        <v>19.374785785650488</v>
      </c>
      <c r="V113">
        <v>100.934</v>
      </c>
      <c r="W113">
        <v>-237.21930439625734</v>
      </c>
      <c r="X113">
        <v>62.856615599999998</v>
      </c>
      <c r="Y113">
        <v>92.066302899999997</v>
      </c>
      <c r="Z113">
        <v>144.29</v>
      </c>
      <c r="AA113">
        <v>234.96875800000001</v>
      </c>
      <c r="AB113">
        <v>100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101.28591049067212</v>
      </c>
    </row>
    <row r="114" spans="1:41" x14ac:dyDescent="0.3">
      <c r="A114">
        <v>910</v>
      </c>
      <c r="B114">
        <v>27</v>
      </c>
      <c r="C114">
        <v>19</v>
      </c>
      <c r="D114">
        <v>1</v>
      </c>
      <c r="E114">
        <v>10</v>
      </c>
      <c r="F114">
        <v>5</v>
      </c>
      <c r="G114">
        <v>1.2</v>
      </c>
      <c r="H114">
        <v>19</v>
      </c>
      <c r="I114">
        <v>14</v>
      </c>
      <c r="J114">
        <v>1.4</v>
      </c>
      <c r="K114">
        <v>508551812.40640616</v>
      </c>
      <c r="L114">
        <v>54446000</v>
      </c>
      <c r="M114">
        <v>79696345.655938789</v>
      </c>
      <c r="N114">
        <v>72467800</v>
      </c>
      <c r="O114">
        <v>15889469.68</v>
      </c>
      <c r="P114">
        <v>203.92657</v>
      </c>
      <c r="Q114">
        <v>1.3028152240321547</v>
      </c>
      <c r="R114">
        <v>43.618735200000003</v>
      </c>
      <c r="S114">
        <v>779.53993600000001</v>
      </c>
      <c r="T114">
        <v>2.7475470599999998E-9</v>
      </c>
      <c r="U114">
        <v>19.737271850471576</v>
      </c>
      <c r="V114">
        <v>68.709999999999994</v>
      </c>
      <c r="W114">
        <v>-169.60790072441947</v>
      </c>
      <c r="X114">
        <v>63.1224737</v>
      </c>
      <c r="Y114">
        <v>95.106875799999997</v>
      </c>
      <c r="Z114">
        <v>144.29</v>
      </c>
      <c r="AA114">
        <v>230.000281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1.3028152240321547</v>
      </c>
    </row>
    <row r="115" spans="1:41" x14ac:dyDescent="0.3">
      <c r="A115">
        <v>943.14958840754502</v>
      </c>
      <c r="B115">
        <v>27</v>
      </c>
      <c r="C115">
        <v>10</v>
      </c>
      <c r="D115">
        <v>1</v>
      </c>
      <c r="E115">
        <v>16</v>
      </c>
      <c r="F115">
        <v>14</v>
      </c>
      <c r="G115">
        <v>1.086218883778522</v>
      </c>
      <c r="H115">
        <v>29</v>
      </c>
      <c r="I115">
        <v>14</v>
      </c>
      <c r="J115">
        <v>0.64667047291198387</v>
      </c>
      <c r="K115">
        <v>509644049.11022866</v>
      </c>
      <c r="L115">
        <v>54446000</v>
      </c>
      <c r="M115">
        <v>79696296.942913443</v>
      </c>
      <c r="N115">
        <v>72467800</v>
      </c>
      <c r="O115">
        <v>15890307.199999999</v>
      </c>
      <c r="P115">
        <v>208.067961</v>
      </c>
      <c r="Q115">
        <v>1.2804475479203286</v>
      </c>
      <c r="R115">
        <v>43.620451099999997</v>
      </c>
      <c r="S115">
        <v>780.30598599999996</v>
      </c>
      <c r="T115">
        <v>4.9962092499999996E-10</v>
      </c>
      <c r="U115">
        <v>19.409826741842686</v>
      </c>
      <c r="V115">
        <v>80.72</v>
      </c>
      <c r="W115">
        <v>-147.56595753351937</v>
      </c>
      <c r="X115">
        <v>63.057350900000003</v>
      </c>
      <c r="Y115">
        <v>94.914300900000001</v>
      </c>
      <c r="Z115">
        <v>180.98100000000002</v>
      </c>
      <c r="AA115">
        <v>231.47436500000001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1.2804475479203286</v>
      </c>
    </row>
    <row r="116" spans="1:41" x14ac:dyDescent="0.3">
      <c r="A116">
        <v>939.04890898095005</v>
      </c>
      <c r="B116">
        <v>27</v>
      </c>
      <c r="C116">
        <v>19</v>
      </c>
      <c r="D116">
        <v>15</v>
      </c>
      <c r="E116">
        <v>29</v>
      </c>
      <c r="F116">
        <v>14</v>
      </c>
      <c r="G116">
        <v>1.2</v>
      </c>
      <c r="H116">
        <v>29</v>
      </c>
      <c r="I116">
        <v>14</v>
      </c>
      <c r="J116">
        <v>0.3</v>
      </c>
      <c r="K116">
        <v>509501358.78251469</v>
      </c>
      <c r="L116">
        <v>54446000</v>
      </c>
      <c r="M116">
        <v>79696311.709833786</v>
      </c>
      <c r="N116">
        <v>72467800</v>
      </c>
      <c r="O116">
        <v>15897460.48</v>
      </c>
      <c r="P116">
        <v>210.608622</v>
      </c>
      <c r="Q116">
        <v>1.264541032907835</v>
      </c>
      <c r="R116">
        <v>43.640450800000004</v>
      </c>
      <c r="S116">
        <v>781.33986000000004</v>
      </c>
      <c r="T116">
        <v>1.7727210499999999E-12</v>
      </c>
      <c r="U116">
        <v>19.203557958578038</v>
      </c>
      <c r="V116">
        <v>91.850000000000009</v>
      </c>
      <c r="W116">
        <v>-238.90990393428061</v>
      </c>
      <c r="X116">
        <v>62.771379400000001</v>
      </c>
      <c r="Y116">
        <v>92.408681799999997</v>
      </c>
      <c r="Z116">
        <v>203.285</v>
      </c>
      <c r="AA116">
        <v>235.26745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1.264541032907835</v>
      </c>
    </row>
    <row r="117" spans="1:41" x14ac:dyDescent="0.3">
      <c r="A117">
        <v>960</v>
      </c>
      <c r="B117">
        <v>39</v>
      </c>
      <c r="C117">
        <v>19</v>
      </c>
      <c r="D117">
        <v>15</v>
      </c>
      <c r="E117">
        <v>29</v>
      </c>
      <c r="F117">
        <v>14</v>
      </c>
      <c r="G117">
        <v>0.3</v>
      </c>
      <c r="H117">
        <v>10</v>
      </c>
      <c r="I117">
        <v>7</v>
      </c>
      <c r="J117">
        <v>1.4</v>
      </c>
      <c r="K117">
        <v>504708487.71754801</v>
      </c>
      <c r="L117">
        <v>54446000</v>
      </c>
      <c r="M117">
        <v>79696402.573265314</v>
      </c>
      <c r="N117">
        <v>72467800</v>
      </c>
      <c r="O117">
        <v>16383826.48</v>
      </c>
      <c r="P117">
        <v>204.89228499999999</v>
      </c>
      <c r="Q117">
        <v>1.2839408732445432</v>
      </c>
      <c r="R117">
        <v>43.649042700000003</v>
      </c>
      <c r="S117">
        <v>779.83228000000008</v>
      </c>
      <c r="T117">
        <v>3.1371138500000002E-16</v>
      </c>
      <c r="U117">
        <v>19.581707161801003</v>
      </c>
      <c r="V117">
        <v>100.934</v>
      </c>
      <c r="W117">
        <v>-236.80443810376767</v>
      </c>
      <c r="X117">
        <v>62.915159500000001</v>
      </c>
      <c r="Y117">
        <v>92.100502300000002</v>
      </c>
      <c r="Z117">
        <v>177.97</v>
      </c>
      <c r="AA117">
        <v>233.63210699999999</v>
      </c>
      <c r="AB117">
        <v>100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101.28394087324455</v>
      </c>
    </row>
    <row r="118" spans="1:41" x14ac:dyDescent="0.3">
      <c r="A118">
        <v>915.72210878372323</v>
      </c>
      <c r="B118">
        <v>34</v>
      </c>
      <c r="C118">
        <v>10</v>
      </c>
      <c r="D118">
        <v>8.4432114449583242</v>
      </c>
      <c r="E118">
        <v>11</v>
      </c>
      <c r="F118">
        <v>7</v>
      </c>
      <c r="G118">
        <v>0.3</v>
      </c>
      <c r="H118">
        <v>24</v>
      </c>
      <c r="I118">
        <v>7</v>
      </c>
      <c r="J118">
        <v>1.1108941531872176</v>
      </c>
      <c r="K118">
        <v>508833484.08088386</v>
      </c>
      <c r="L118">
        <v>54446000</v>
      </c>
      <c r="M118">
        <v>79696336.648567304</v>
      </c>
      <c r="N118">
        <v>72467800</v>
      </c>
      <c r="O118">
        <v>15894620.32</v>
      </c>
      <c r="P118">
        <v>211.05397400000001</v>
      </c>
      <c r="Q118">
        <v>1.2597244638475793</v>
      </c>
      <c r="R118">
        <v>43.481590099999998</v>
      </c>
      <c r="S118">
        <v>780.65629000000001</v>
      </c>
      <c r="T118">
        <v>2.37609204E-10</v>
      </c>
      <c r="U118">
        <v>19.366212346685938</v>
      </c>
      <c r="V118">
        <v>100.934</v>
      </c>
      <c r="W118">
        <v>-241.85902719500385</v>
      </c>
      <c r="X118">
        <v>62.857692700000001</v>
      </c>
      <c r="Y118">
        <v>92.340265900000006</v>
      </c>
      <c r="Z118">
        <v>121.52199999999999</v>
      </c>
      <c r="AA118">
        <v>229.25066200000001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1.2597244638475793</v>
      </c>
    </row>
    <row r="119" spans="1:41" x14ac:dyDescent="0.3">
      <c r="A119">
        <v>936.29813374918558</v>
      </c>
      <c r="B119">
        <v>27</v>
      </c>
      <c r="C119">
        <v>10</v>
      </c>
      <c r="D119">
        <v>15</v>
      </c>
      <c r="E119">
        <v>13</v>
      </c>
      <c r="F119">
        <v>5</v>
      </c>
      <c r="G119">
        <v>0.3</v>
      </c>
      <c r="H119">
        <v>29</v>
      </c>
      <c r="I119">
        <v>14</v>
      </c>
      <c r="J119">
        <v>0.3</v>
      </c>
      <c r="K119">
        <v>509416100.03829181</v>
      </c>
      <c r="L119">
        <v>54446000</v>
      </c>
      <c r="M119">
        <v>79696315.165563092</v>
      </c>
      <c r="N119">
        <v>72467800</v>
      </c>
      <c r="O119">
        <v>15895815.280000001</v>
      </c>
      <c r="P119">
        <v>211.040188</v>
      </c>
      <c r="Q119">
        <v>1.2616808608407244</v>
      </c>
      <c r="R119">
        <v>43.591032900000002</v>
      </c>
      <c r="S119">
        <v>780.62438300000008</v>
      </c>
      <c r="T119">
        <v>5.6688182699999998E-9</v>
      </c>
      <c r="U119">
        <v>19.791988025790015</v>
      </c>
      <c r="V119">
        <v>100.934</v>
      </c>
      <c r="W119">
        <v>-240.21368491567475</v>
      </c>
      <c r="X119">
        <v>62.784258399999999</v>
      </c>
      <c r="Y119">
        <v>92.390549100000001</v>
      </c>
      <c r="Z119">
        <v>165.7</v>
      </c>
      <c r="AA119">
        <v>234.38743400000001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1.2616808608407244</v>
      </c>
    </row>
    <row r="120" spans="1:41" x14ac:dyDescent="0.3">
      <c r="A120">
        <v>917.70190936502502</v>
      </c>
      <c r="B120">
        <v>27</v>
      </c>
      <c r="C120">
        <v>10</v>
      </c>
      <c r="D120">
        <v>4.4961426353603962</v>
      </c>
      <c r="E120">
        <v>18</v>
      </c>
      <c r="F120">
        <v>5</v>
      </c>
      <c r="G120">
        <v>0.3</v>
      </c>
      <c r="H120">
        <v>21</v>
      </c>
      <c r="I120">
        <v>14</v>
      </c>
      <c r="J120">
        <v>0.3</v>
      </c>
      <c r="K120">
        <v>508787787.24007428</v>
      </c>
      <c r="L120">
        <v>54446000</v>
      </c>
      <c r="M120">
        <v>79696342.372163907</v>
      </c>
      <c r="N120">
        <v>72467800</v>
      </c>
      <c r="O120">
        <v>15895258.959999999</v>
      </c>
      <c r="P120">
        <v>209.51295500000001</v>
      </c>
      <c r="Q120">
        <v>1.2688419802275954</v>
      </c>
      <c r="R120">
        <v>43.642252999999997</v>
      </c>
      <c r="S120">
        <v>780.53354000000002</v>
      </c>
      <c r="T120">
        <v>4.9887983799999998E-9</v>
      </c>
      <c r="U120">
        <v>19.872076915768282</v>
      </c>
      <c r="V120">
        <v>100.934</v>
      </c>
      <c r="W120">
        <v>-236.1113499864384</v>
      </c>
      <c r="X120">
        <v>62.807154400000002</v>
      </c>
      <c r="Y120">
        <v>92.648916099999994</v>
      </c>
      <c r="Z120">
        <v>177.97</v>
      </c>
      <c r="AA120">
        <v>235.91382999999999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1.2688419802275954</v>
      </c>
    </row>
    <row r="121" spans="1:41" x14ac:dyDescent="0.3">
      <c r="A121">
        <v>943.74284809823939</v>
      </c>
      <c r="B121">
        <v>28</v>
      </c>
      <c r="C121">
        <v>19</v>
      </c>
      <c r="D121">
        <v>3.9512437878912934</v>
      </c>
      <c r="E121">
        <v>14</v>
      </c>
      <c r="F121">
        <v>12</v>
      </c>
      <c r="G121">
        <v>0.95397918156831396</v>
      </c>
      <c r="H121">
        <v>18</v>
      </c>
      <c r="I121">
        <v>14</v>
      </c>
      <c r="J121">
        <v>1.2054419323725416</v>
      </c>
      <c r="K121">
        <v>509792645.6840837</v>
      </c>
      <c r="L121">
        <v>54446000</v>
      </c>
      <c r="M121">
        <v>79696295.576317444</v>
      </c>
      <c r="N121">
        <v>72467800</v>
      </c>
      <c r="O121">
        <v>15892323.6</v>
      </c>
      <c r="P121">
        <v>213.19644199999999</v>
      </c>
      <c r="Q121">
        <v>1.2501192961219467</v>
      </c>
      <c r="R121">
        <v>43.467182000000001</v>
      </c>
      <c r="S121">
        <v>780.09742599999993</v>
      </c>
      <c r="T121">
        <v>4.6623226100000002E-12</v>
      </c>
      <c r="U121">
        <v>18.705568336070442</v>
      </c>
      <c r="V121">
        <v>91.850000000000009</v>
      </c>
      <c r="W121">
        <v>-242.9871251940562</v>
      </c>
      <c r="X121">
        <v>62.831229399999998</v>
      </c>
      <c r="Y121">
        <v>92.724650499999996</v>
      </c>
      <c r="Z121">
        <v>100.934</v>
      </c>
      <c r="AA121">
        <v>229.57066699999999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1.2501192961219467</v>
      </c>
    </row>
    <row r="122" spans="1:41" x14ac:dyDescent="0.3">
      <c r="A122">
        <v>921.85784242262673</v>
      </c>
      <c r="B122">
        <v>27</v>
      </c>
      <c r="C122">
        <v>10</v>
      </c>
      <c r="D122">
        <v>6.2942513983428343</v>
      </c>
      <c r="E122">
        <v>29</v>
      </c>
      <c r="F122">
        <v>14</v>
      </c>
      <c r="G122">
        <v>1.2</v>
      </c>
      <c r="H122">
        <v>19</v>
      </c>
      <c r="I122">
        <v>14</v>
      </c>
      <c r="J122">
        <v>0.3</v>
      </c>
      <c r="K122">
        <v>508958324.48049903</v>
      </c>
      <c r="L122">
        <v>54446000</v>
      </c>
      <c r="M122">
        <v>79696336.738345191</v>
      </c>
      <c r="N122">
        <v>72467800</v>
      </c>
      <c r="O122">
        <v>15897787.76</v>
      </c>
      <c r="P122">
        <v>209.68730400000001</v>
      </c>
      <c r="Q122">
        <v>1.2683390825844274</v>
      </c>
      <c r="R122">
        <v>43.638572099999998</v>
      </c>
      <c r="S122">
        <v>781.31577799999991</v>
      </c>
      <c r="T122">
        <v>1.4177549000000001E-18</v>
      </c>
      <c r="U122">
        <v>19.187936559160402</v>
      </c>
      <c r="V122">
        <v>100.934</v>
      </c>
      <c r="W122">
        <v>-237.36143372586287</v>
      </c>
      <c r="X122">
        <v>62.805927199999999</v>
      </c>
      <c r="Y122">
        <v>92.549566600000006</v>
      </c>
      <c r="Z122">
        <v>203.285</v>
      </c>
      <c r="AA122">
        <v>236.57070899999999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1.2683390825844274</v>
      </c>
    </row>
    <row r="123" spans="1:41" x14ac:dyDescent="0.3">
      <c r="A123">
        <v>923.88906074529905</v>
      </c>
      <c r="B123">
        <v>27</v>
      </c>
      <c r="C123">
        <v>19</v>
      </c>
      <c r="D123">
        <v>15</v>
      </c>
      <c r="E123">
        <v>20</v>
      </c>
      <c r="F123">
        <v>5</v>
      </c>
      <c r="G123">
        <v>0.3</v>
      </c>
      <c r="H123">
        <v>16</v>
      </c>
      <c r="I123">
        <v>14</v>
      </c>
      <c r="J123">
        <v>0.3</v>
      </c>
      <c r="K123">
        <v>509063443.61218846</v>
      </c>
      <c r="L123">
        <v>54446000</v>
      </c>
      <c r="M123">
        <v>79696349.96609877</v>
      </c>
      <c r="N123">
        <v>72467800</v>
      </c>
      <c r="O123">
        <v>15907406</v>
      </c>
      <c r="P123">
        <v>209.46884700000001</v>
      </c>
      <c r="Q123">
        <v>1.2700025194968381</v>
      </c>
      <c r="R123">
        <v>43.653282900000001</v>
      </c>
      <c r="S123">
        <v>780.60681599999998</v>
      </c>
      <c r="T123">
        <v>4.8779697699999999E-9</v>
      </c>
      <c r="U123">
        <v>19.920474504022565</v>
      </c>
      <c r="V123">
        <v>91.850000000000009</v>
      </c>
      <c r="W123">
        <v>-237.26393319378093</v>
      </c>
      <c r="X123">
        <v>62.749040800000003</v>
      </c>
      <c r="Y123">
        <v>92.393453800000003</v>
      </c>
      <c r="Z123">
        <v>177.97</v>
      </c>
      <c r="AA123">
        <v>241.07445799999999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1.2700025194968381</v>
      </c>
    </row>
    <row r="124" spans="1:41" x14ac:dyDescent="0.3">
      <c r="A124">
        <v>930</v>
      </c>
      <c r="B124">
        <v>30</v>
      </c>
      <c r="C124">
        <v>18</v>
      </c>
      <c r="D124">
        <v>2.95</v>
      </c>
      <c r="E124">
        <v>20</v>
      </c>
      <c r="F124">
        <v>12</v>
      </c>
      <c r="G124">
        <v>0.56747999999999998</v>
      </c>
      <c r="H124">
        <v>20</v>
      </c>
      <c r="I124">
        <v>12</v>
      </c>
      <c r="J124">
        <v>1.4</v>
      </c>
      <c r="K124">
        <v>508751448.06003988</v>
      </c>
      <c r="L124">
        <v>54426600</v>
      </c>
      <c r="M124">
        <v>79694718.81851612</v>
      </c>
      <c r="N124">
        <v>71679900</v>
      </c>
      <c r="O124">
        <v>15885036.560000001</v>
      </c>
      <c r="P124">
        <v>211.03787399999999</v>
      </c>
      <c r="Q124">
        <v>1.2756316168193522</v>
      </c>
      <c r="R124">
        <v>43.610077099999998</v>
      </c>
      <c r="S124">
        <v>779.51589200000001</v>
      </c>
      <c r="T124">
        <v>1.44724855E-13</v>
      </c>
      <c r="U124">
        <v>19.210471062566434</v>
      </c>
      <c r="V124">
        <v>91.850000000000009</v>
      </c>
      <c r="W124">
        <v>-240.12790090390695</v>
      </c>
      <c r="X124">
        <v>62.839121200000001</v>
      </c>
      <c r="Y124">
        <v>92.781455100000002</v>
      </c>
      <c r="Z124">
        <v>165.7</v>
      </c>
      <c r="AA124">
        <v>231.159291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1.2756316168193522</v>
      </c>
    </row>
    <row r="125" spans="1:41" x14ac:dyDescent="0.3">
      <c r="A125">
        <v>937.11383451507288</v>
      </c>
      <c r="B125">
        <v>27</v>
      </c>
      <c r="C125">
        <v>19</v>
      </c>
      <c r="D125">
        <v>15</v>
      </c>
      <c r="E125">
        <v>16</v>
      </c>
      <c r="F125">
        <v>14</v>
      </c>
      <c r="G125">
        <v>1.2</v>
      </c>
      <c r="H125">
        <v>19</v>
      </c>
      <c r="I125">
        <v>14</v>
      </c>
      <c r="J125">
        <v>0.3</v>
      </c>
      <c r="K125">
        <v>510649996.02869338</v>
      </c>
      <c r="L125">
        <v>54475200</v>
      </c>
      <c r="M125">
        <v>79707511.660527855</v>
      </c>
      <c r="N125">
        <v>70926000</v>
      </c>
      <c r="O125">
        <v>15896084.880000001</v>
      </c>
      <c r="P125">
        <v>212.42722800000001</v>
      </c>
      <c r="Q125">
        <v>1.2900320469790918</v>
      </c>
      <c r="R125">
        <v>43.495639199999999</v>
      </c>
      <c r="S125">
        <v>780.25849599999992</v>
      </c>
      <c r="T125">
        <v>1.7553627500000001E-12</v>
      </c>
      <c r="U125">
        <v>18.741894886602996</v>
      </c>
      <c r="V125">
        <v>91.850000000000009</v>
      </c>
      <c r="W125">
        <v>-241.15736968290281</v>
      </c>
      <c r="X125">
        <v>62.8326444</v>
      </c>
      <c r="Y125">
        <v>92.441735399999999</v>
      </c>
      <c r="Z125">
        <v>121.52199999999999</v>
      </c>
      <c r="AA125">
        <v>234.12583599999999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1.2900320469790918</v>
      </c>
    </row>
    <row r="126" spans="1:41" x14ac:dyDescent="0.3">
      <c r="A126">
        <v>924.46010004231766</v>
      </c>
      <c r="B126">
        <v>39</v>
      </c>
      <c r="C126">
        <v>10</v>
      </c>
      <c r="D126">
        <v>15</v>
      </c>
      <c r="E126">
        <v>16</v>
      </c>
      <c r="F126">
        <v>5</v>
      </c>
      <c r="G126">
        <v>0.3</v>
      </c>
      <c r="H126">
        <v>29</v>
      </c>
      <c r="I126">
        <v>7</v>
      </c>
      <c r="J126">
        <v>0.3</v>
      </c>
      <c r="K126">
        <v>511223565.11205506</v>
      </c>
      <c r="L126">
        <v>54516700</v>
      </c>
      <c r="M126">
        <v>79696536.951387882</v>
      </c>
      <c r="N126">
        <v>71646300</v>
      </c>
      <c r="O126">
        <v>15891521.119999999</v>
      </c>
      <c r="P126">
        <v>209.79286200000001</v>
      </c>
      <c r="Q126">
        <v>1.2938040174135452</v>
      </c>
      <c r="R126">
        <v>43.6301554</v>
      </c>
      <c r="S126">
        <v>780.57608800000003</v>
      </c>
      <c r="T126">
        <v>5.1900300000000001E-9</v>
      </c>
      <c r="U126">
        <v>19.867550084111503</v>
      </c>
      <c r="V126">
        <v>100.934</v>
      </c>
      <c r="W126">
        <v>-238.18425615631338</v>
      </c>
      <c r="X126">
        <v>62.783808200000003</v>
      </c>
      <c r="Y126">
        <v>92.055755399999995</v>
      </c>
      <c r="Z126">
        <v>177.97</v>
      </c>
      <c r="AA126">
        <v>235.04512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1.2938040174135452</v>
      </c>
    </row>
    <row r="127" spans="1:41" x14ac:dyDescent="0.3">
      <c r="A127">
        <v>917.2072300678276</v>
      </c>
      <c r="B127">
        <v>27</v>
      </c>
      <c r="C127">
        <v>10</v>
      </c>
      <c r="D127">
        <v>1</v>
      </c>
      <c r="E127">
        <v>10</v>
      </c>
      <c r="F127">
        <v>5</v>
      </c>
      <c r="G127">
        <v>1.2</v>
      </c>
      <c r="H127">
        <v>29</v>
      </c>
      <c r="I127">
        <v>14</v>
      </c>
      <c r="J127">
        <v>1.4</v>
      </c>
      <c r="K127">
        <v>508540436.29092216</v>
      </c>
      <c r="L127">
        <v>54413400</v>
      </c>
      <c r="M127">
        <v>79682534.580389023</v>
      </c>
      <c r="N127">
        <v>72132500</v>
      </c>
      <c r="O127">
        <v>15889868.640000001</v>
      </c>
      <c r="P127">
        <v>206.723838</v>
      </c>
      <c r="Q127">
        <v>1.2916127173830942</v>
      </c>
      <c r="R127">
        <v>43.574438800000003</v>
      </c>
      <c r="S127">
        <v>780.14398700000004</v>
      </c>
      <c r="T127">
        <v>5.8910832799999996E-10</v>
      </c>
      <c r="U127">
        <v>19.360990766903225</v>
      </c>
      <c r="V127">
        <v>80.72</v>
      </c>
      <c r="W127">
        <v>-149.29210323883038</v>
      </c>
      <c r="X127">
        <v>63.095219700000001</v>
      </c>
      <c r="Y127">
        <v>94.935001600000007</v>
      </c>
      <c r="Z127">
        <v>144.29</v>
      </c>
      <c r="AA127">
        <v>229.86776699999999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1.2916127173830942</v>
      </c>
    </row>
    <row r="128" spans="1:41" x14ac:dyDescent="0.3">
      <c r="A128">
        <v>920.84517162719044</v>
      </c>
      <c r="B128">
        <v>27</v>
      </c>
      <c r="C128">
        <v>10</v>
      </c>
      <c r="D128">
        <v>2.2807685309170962</v>
      </c>
      <c r="E128">
        <v>16</v>
      </c>
      <c r="F128">
        <v>14</v>
      </c>
      <c r="G128">
        <v>0.3</v>
      </c>
      <c r="H128">
        <v>17</v>
      </c>
      <c r="I128">
        <v>7</v>
      </c>
      <c r="J128">
        <v>0.4084088471290685</v>
      </c>
      <c r="K128">
        <v>508195959.08015764</v>
      </c>
      <c r="L128">
        <v>54402800</v>
      </c>
      <c r="M128">
        <v>79688530.532166794</v>
      </c>
      <c r="N128">
        <v>71707800</v>
      </c>
      <c r="O128">
        <v>15891993.92</v>
      </c>
      <c r="P128">
        <v>210.04923400000001</v>
      </c>
      <c r="Q128">
        <v>1.2787538490687551</v>
      </c>
      <c r="R128">
        <v>43.6226865</v>
      </c>
      <c r="S128">
        <v>780.51461200000006</v>
      </c>
      <c r="T128">
        <v>5.1111319500000001E-9</v>
      </c>
      <c r="U128">
        <v>19.828995474571894</v>
      </c>
      <c r="V128">
        <v>91.850000000000009</v>
      </c>
      <c r="W128">
        <v>-229.89691853029507</v>
      </c>
      <c r="X128">
        <v>62.861675099999999</v>
      </c>
      <c r="Y128">
        <v>93.330309700000001</v>
      </c>
      <c r="Z128">
        <v>177.97</v>
      </c>
      <c r="AA128">
        <v>233.49432300000001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1.2787538490687551</v>
      </c>
    </row>
    <row r="129" spans="1:41" x14ac:dyDescent="0.3">
      <c r="A129">
        <v>910</v>
      </c>
      <c r="B129">
        <v>33</v>
      </c>
      <c r="C129">
        <v>13</v>
      </c>
      <c r="D129">
        <v>14.28509905408535</v>
      </c>
      <c r="E129">
        <v>16</v>
      </c>
      <c r="F129">
        <v>14</v>
      </c>
      <c r="G129">
        <v>0.3</v>
      </c>
      <c r="H129">
        <v>21</v>
      </c>
      <c r="I129">
        <v>14</v>
      </c>
      <c r="J129">
        <v>1.4</v>
      </c>
      <c r="K129">
        <v>510820006.63129854</v>
      </c>
      <c r="L129">
        <v>54455800</v>
      </c>
      <c r="M129">
        <v>79672845.062829554</v>
      </c>
      <c r="N129">
        <v>68030400</v>
      </c>
      <c r="O129">
        <v>15896337.84</v>
      </c>
      <c r="P129">
        <v>211.82262399999999</v>
      </c>
      <c r="Q129">
        <v>1.3541984579666291</v>
      </c>
      <c r="R129">
        <v>43.337250500000003</v>
      </c>
      <c r="S129">
        <v>782.32096200000001</v>
      </c>
      <c r="T129">
        <v>4.2138222699999999E-15</v>
      </c>
      <c r="U129">
        <v>19.02263792487005</v>
      </c>
      <c r="V129">
        <v>100.934</v>
      </c>
      <c r="W129">
        <v>-241.35082702156231</v>
      </c>
      <c r="X129">
        <v>62.871176400000003</v>
      </c>
      <c r="Y129">
        <v>92.2628567</v>
      </c>
      <c r="Z129">
        <v>100.934</v>
      </c>
      <c r="AA129">
        <v>226.85593399999999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1.3541984579666291</v>
      </c>
    </row>
    <row r="130" spans="1:41" x14ac:dyDescent="0.3">
      <c r="A130">
        <v>920.97513168577177</v>
      </c>
      <c r="B130">
        <v>39</v>
      </c>
      <c r="C130">
        <v>19</v>
      </c>
      <c r="D130">
        <v>15</v>
      </c>
      <c r="E130">
        <v>29</v>
      </c>
      <c r="F130">
        <v>5</v>
      </c>
      <c r="G130">
        <v>0.3</v>
      </c>
      <c r="H130">
        <v>16</v>
      </c>
      <c r="I130">
        <v>14</v>
      </c>
      <c r="J130">
        <v>1.3327205249814444</v>
      </c>
      <c r="K130">
        <v>511154536.34597862</v>
      </c>
      <c r="L130">
        <v>54507100</v>
      </c>
      <c r="M130">
        <v>79687428.834193856</v>
      </c>
      <c r="N130">
        <v>72013700</v>
      </c>
      <c r="O130">
        <v>15899799.6</v>
      </c>
      <c r="P130">
        <v>210.39837299999999</v>
      </c>
      <c r="Q130">
        <v>1.2819480345565937</v>
      </c>
      <c r="R130">
        <v>43.672190299999997</v>
      </c>
      <c r="S130">
        <v>780.21432199999992</v>
      </c>
      <c r="T130">
        <v>4.7093044100000003E-9</v>
      </c>
      <c r="U130">
        <v>19.806070308116119</v>
      </c>
      <c r="V130">
        <v>100.934</v>
      </c>
      <c r="W130">
        <v>-237.83253412980045</v>
      </c>
      <c r="X130">
        <v>62.8681482</v>
      </c>
      <c r="Y130">
        <v>92.093844899999993</v>
      </c>
      <c r="Z130">
        <v>180.98100000000002</v>
      </c>
      <c r="AA130">
        <v>233.93189100000001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1.2819480345565937</v>
      </c>
    </row>
    <row r="131" spans="1:41" x14ac:dyDescent="0.3">
      <c r="A131">
        <v>931.6498823430004</v>
      </c>
      <c r="B131">
        <v>27</v>
      </c>
      <c r="C131">
        <v>19</v>
      </c>
      <c r="D131">
        <v>1</v>
      </c>
      <c r="E131">
        <v>29</v>
      </c>
      <c r="F131">
        <v>14</v>
      </c>
      <c r="G131">
        <v>0.3</v>
      </c>
      <c r="H131">
        <v>20</v>
      </c>
      <c r="I131">
        <v>14</v>
      </c>
      <c r="J131">
        <v>0.3</v>
      </c>
      <c r="K131">
        <v>508014790.81801939</v>
      </c>
      <c r="L131">
        <v>54437000</v>
      </c>
      <c r="M131">
        <v>79703123.119020343</v>
      </c>
      <c r="N131">
        <v>73559200</v>
      </c>
      <c r="O131">
        <v>15885815.439999999</v>
      </c>
      <c r="P131">
        <v>204.64209700000001</v>
      </c>
      <c r="Q131">
        <v>1.272741745428134</v>
      </c>
      <c r="R131">
        <v>43.653013600000001</v>
      </c>
      <c r="S131">
        <v>779.50062600000001</v>
      </c>
      <c r="T131">
        <v>2.26402022E-9</v>
      </c>
      <c r="U131">
        <v>19.969215816296</v>
      </c>
      <c r="V131">
        <v>68.709999999999994</v>
      </c>
      <c r="W131">
        <v>-168.72462304955275</v>
      </c>
      <c r="X131">
        <v>63.050395399999999</v>
      </c>
      <c r="Y131">
        <v>95.065517200000002</v>
      </c>
      <c r="Z131">
        <v>177.97</v>
      </c>
      <c r="AA131">
        <v>234.89527899999999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1.272741745428134</v>
      </c>
    </row>
    <row r="132" spans="1:41" x14ac:dyDescent="0.3">
      <c r="A132">
        <v>910</v>
      </c>
      <c r="B132">
        <v>39</v>
      </c>
      <c r="C132">
        <v>14</v>
      </c>
      <c r="D132">
        <v>1</v>
      </c>
      <c r="E132">
        <v>10</v>
      </c>
      <c r="F132">
        <v>5</v>
      </c>
      <c r="G132">
        <v>1.2</v>
      </c>
      <c r="H132">
        <v>29</v>
      </c>
      <c r="I132">
        <v>14</v>
      </c>
      <c r="J132">
        <v>0.3</v>
      </c>
      <c r="K132">
        <v>508641090.71371621</v>
      </c>
      <c r="L132">
        <v>54446700</v>
      </c>
      <c r="M132">
        <v>79680252.373460755</v>
      </c>
      <c r="N132">
        <v>71890400</v>
      </c>
      <c r="O132">
        <v>15891082.560000001</v>
      </c>
      <c r="P132">
        <v>206.551815</v>
      </c>
      <c r="Q132">
        <v>1.2989049615461459</v>
      </c>
      <c r="R132">
        <v>43.548269500000004</v>
      </c>
      <c r="S132">
        <v>780.69439399999999</v>
      </c>
      <c r="T132">
        <v>6.2927220700000003E-10</v>
      </c>
      <c r="U132">
        <v>19.524641663438526</v>
      </c>
      <c r="V132">
        <v>80.72</v>
      </c>
      <c r="W132">
        <v>-144.1803957037973</v>
      </c>
      <c r="X132">
        <v>63.067058600000003</v>
      </c>
      <c r="Y132">
        <v>94.802964399999993</v>
      </c>
      <c r="Z132">
        <v>144.29</v>
      </c>
      <c r="AA132">
        <v>234.51519300000001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1.2989049615461459</v>
      </c>
    </row>
    <row r="133" spans="1:41" x14ac:dyDescent="0.3">
      <c r="A133">
        <v>910</v>
      </c>
      <c r="B133">
        <v>27</v>
      </c>
      <c r="C133">
        <v>10</v>
      </c>
      <c r="D133">
        <v>6.6510211473734095</v>
      </c>
      <c r="E133">
        <v>29</v>
      </c>
      <c r="F133">
        <v>14</v>
      </c>
      <c r="G133">
        <v>0.3</v>
      </c>
      <c r="H133">
        <v>24</v>
      </c>
      <c r="I133">
        <v>7</v>
      </c>
      <c r="J133">
        <v>1.4</v>
      </c>
      <c r="K133">
        <v>509338035.46443754</v>
      </c>
      <c r="L133">
        <v>54437900</v>
      </c>
      <c r="M133">
        <v>79674445.866721645</v>
      </c>
      <c r="N133">
        <v>71589600</v>
      </c>
      <c r="O133">
        <v>15892429.040000001</v>
      </c>
      <c r="P133">
        <v>209.402164</v>
      </c>
      <c r="Q133">
        <v>1.2896394389265464</v>
      </c>
      <c r="R133">
        <v>43.668422399999997</v>
      </c>
      <c r="S133">
        <v>780.28665100000001</v>
      </c>
      <c r="T133">
        <v>4.7242696700000002E-9</v>
      </c>
      <c r="U133">
        <v>19.824028899906871</v>
      </c>
      <c r="V133">
        <v>100.934</v>
      </c>
      <c r="W133">
        <v>-236.5128120504192</v>
      </c>
      <c r="X133">
        <v>62.867006699999997</v>
      </c>
      <c r="Y133">
        <v>92.565517299999996</v>
      </c>
      <c r="Z133">
        <v>180.98100000000002</v>
      </c>
      <c r="AA133">
        <v>231.444355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1.2896394389265464</v>
      </c>
    </row>
    <row r="134" spans="1:41" x14ac:dyDescent="0.3">
      <c r="A134">
        <v>946.53283463963885</v>
      </c>
      <c r="B134">
        <v>33</v>
      </c>
      <c r="C134">
        <v>18</v>
      </c>
      <c r="D134">
        <v>2.0002908951248455</v>
      </c>
      <c r="E134">
        <v>10</v>
      </c>
      <c r="F134">
        <v>8</v>
      </c>
      <c r="G134">
        <v>0.32184446601721811</v>
      </c>
      <c r="H134">
        <v>14</v>
      </c>
      <c r="I134">
        <v>9</v>
      </c>
      <c r="J134">
        <v>0.5009538588634207</v>
      </c>
      <c r="K134">
        <v>508906584.38526964</v>
      </c>
      <c r="L134">
        <v>54443000</v>
      </c>
      <c r="M134">
        <v>79714490.441104934</v>
      </c>
      <c r="N134">
        <v>69191400</v>
      </c>
      <c r="O134">
        <v>15893251.6</v>
      </c>
      <c r="P134">
        <v>214.58998800000001</v>
      </c>
      <c r="Q134">
        <v>1.3065352391351053</v>
      </c>
      <c r="R134">
        <v>43.343084400000002</v>
      </c>
      <c r="S134">
        <v>782.14739099999997</v>
      </c>
      <c r="T134">
        <v>6.1193416699999996E-11</v>
      </c>
      <c r="U134">
        <v>19.001832918092436</v>
      </c>
      <c r="V134">
        <v>91.850000000000009</v>
      </c>
      <c r="W134">
        <v>-242.63996112822613</v>
      </c>
      <c r="X134">
        <v>62.870894100000001</v>
      </c>
      <c r="Y134">
        <v>92.969818500000002</v>
      </c>
      <c r="Z134">
        <v>100.934</v>
      </c>
      <c r="AA134">
        <v>227.64812699999999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1.3065352391351053</v>
      </c>
    </row>
    <row r="135" spans="1:41" x14ac:dyDescent="0.3">
      <c r="A135">
        <v>932.07437063227292</v>
      </c>
      <c r="B135">
        <v>27</v>
      </c>
      <c r="C135">
        <v>10</v>
      </c>
      <c r="D135">
        <v>15</v>
      </c>
      <c r="E135">
        <v>10</v>
      </c>
      <c r="F135">
        <v>5</v>
      </c>
      <c r="G135">
        <v>1.2</v>
      </c>
      <c r="H135">
        <v>10</v>
      </c>
      <c r="I135">
        <v>7</v>
      </c>
      <c r="J135">
        <v>0.3</v>
      </c>
      <c r="K135">
        <v>510309157.36157429</v>
      </c>
      <c r="L135">
        <v>54460500</v>
      </c>
      <c r="M135">
        <v>79710930.295087457</v>
      </c>
      <c r="N135">
        <v>71788800</v>
      </c>
      <c r="O135">
        <v>15896396.880000001</v>
      </c>
      <c r="P135">
        <v>210.83718500000001</v>
      </c>
      <c r="Q135">
        <v>1.2802910825047544</v>
      </c>
      <c r="R135">
        <v>43.596123800000001</v>
      </c>
      <c r="S135">
        <v>779.99408800000003</v>
      </c>
      <c r="T135">
        <v>7.0770336299999995E-10</v>
      </c>
      <c r="U135">
        <v>19.379846380227022</v>
      </c>
      <c r="V135">
        <v>100.934</v>
      </c>
      <c r="W135">
        <v>-238.48387245815002</v>
      </c>
      <c r="X135">
        <v>62.790746400000003</v>
      </c>
      <c r="Y135">
        <v>92.393059199999996</v>
      </c>
      <c r="Z135">
        <v>144.29</v>
      </c>
      <c r="AA135">
        <v>236.169858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1.2802910825047544</v>
      </c>
    </row>
    <row r="136" spans="1:41" x14ac:dyDescent="0.3">
      <c r="A136">
        <v>912.07691457307419</v>
      </c>
      <c r="B136">
        <v>39</v>
      </c>
      <c r="C136">
        <v>16</v>
      </c>
      <c r="D136">
        <v>1.1470982127911431</v>
      </c>
      <c r="E136">
        <v>29</v>
      </c>
      <c r="F136">
        <v>5</v>
      </c>
      <c r="G136">
        <v>1.1366700503372542</v>
      </c>
      <c r="H136">
        <v>16</v>
      </c>
      <c r="I136">
        <v>14</v>
      </c>
      <c r="J136">
        <v>0.44031570532500991</v>
      </c>
      <c r="K136">
        <v>508641056.95930374</v>
      </c>
      <c r="L136">
        <v>54444400</v>
      </c>
      <c r="M136">
        <v>79677643.697877079</v>
      </c>
      <c r="N136">
        <v>71950800</v>
      </c>
      <c r="O136">
        <v>15890248</v>
      </c>
      <c r="P136">
        <v>207.90559400000001</v>
      </c>
      <c r="Q136">
        <v>1.2891157476487574</v>
      </c>
      <c r="R136">
        <v>43.594781300000001</v>
      </c>
      <c r="S136">
        <v>781.11241200000006</v>
      </c>
      <c r="T136">
        <v>4.7139219300000003E-10</v>
      </c>
      <c r="U136">
        <v>19.456367716024271</v>
      </c>
      <c r="V136">
        <v>91.850000000000009</v>
      </c>
      <c r="W136">
        <v>-163.09984743763204</v>
      </c>
      <c r="X136">
        <v>63.035910700000002</v>
      </c>
      <c r="Y136">
        <v>94.416143300000002</v>
      </c>
      <c r="Z136">
        <v>203.285</v>
      </c>
      <c r="AA136">
        <v>233.53893600000001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1.2891157476487574</v>
      </c>
    </row>
    <row r="137" spans="1:41" x14ac:dyDescent="0.3">
      <c r="A137">
        <v>910</v>
      </c>
      <c r="B137">
        <v>39</v>
      </c>
      <c r="C137">
        <v>10</v>
      </c>
      <c r="D137">
        <v>7.4625778722858991</v>
      </c>
      <c r="E137">
        <v>21</v>
      </c>
      <c r="F137">
        <v>14</v>
      </c>
      <c r="G137">
        <v>1.2</v>
      </c>
      <c r="H137">
        <v>18</v>
      </c>
      <c r="I137">
        <v>7</v>
      </c>
      <c r="J137">
        <v>1.4</v>
      </c>
      <c r="K137">
        <v>509812067.42059314</v>
      </c>
      <c r="L137">
        <v>54454500</v>
      </c>
      <c r="M137">
        <v>79674145.767698899</v>
      </c>
      <c r="N137">
        <v>71197500</v>
      </c>
      <c r="O137">
        <v>15892837.92</v>
      </c>
      <c r="P137">
        <v>209.560866</v>
      </c>
      <c r="Q137">
        <v>1.2988075231459681</v>
      </c>
      <c r="R137">
        <v>43.627001700000001</v>
      </c>
      <c r="S137">
        <v>780.55275000000006</v>
      </c>
      <c r="T137">
        <v>3.3986945100000001E-18</v>
      </c>
      <c r="U137">
        <v>19.12772256205648</v>
      </c>
      <c r="V137">
        <v>100.934</v>
      </c>
      <c r="W137">
        <v>-238.26017109404316</v>
      </c>
      <c r="X137">
        <v>62.866137799999997</v>
      </c>
      <c r="Y137">
        <v>92.2802097</v>
      </c>
      <c r="Z137">
        <v>177.97</v>
      </c>
      <c r="AA137">
        <v>231.30196799999999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1.2988075231459681</v>
      </c>
    </row>
    <row r="138" spans="1:41" x14ac:dyDescent="0.3">
      <c r="A138">
        <v>930.58946220777068</v>
      </c>
      <c r="B138">
        <v>27</v>
      </c>
      <c r="C138">
        <v>17</v>
      </c>
      <c r="D138">
        <v>7.6335463959948084</v>
      </c>
      <c r="E138">
        <v>20</v>
      </c>
      <c r="F138">
        <v>14</v>
      </c>
      <c r="G138">
        <v>0.3</v>
      </c>
      <c r="H138">
        <v>16</v>
      </c>
      <c r="I138">
        <v>14</v>
      </c>
      <c r="J138">
        <v>1.4</v>
      </c>
      <c r="K138">
        <v>509335591.3016941</v>
      </c>
      <c r="L138">
        <v>54440600</v>
      </c>
      <c r="M138">
        <v>79695117.739538044</v>
      </c>
      <c r="N138">
        <v>71125700</v>
      </c>
      <c r="O138">
        <v>15888041.92</v>
      </c>
      <c r="P138">
        <v>211.77641399999999</v>
      </c>
      <c r="Q138">
        <v>1.2848992777077473</v>
      </c>
      <c r="R138">
        <v>43.549384500000002</v>
      </c>
      <c r="S138">
        <v>779.92222500000003</v>
      </c>
      <c r="T138">
        <v>2.44871457E-13</v>
      </c>
      <c r="U138">
        <v>19.413281591286008</v>
      </c>
      <c r="V138">
        <v>91.850000000000009</v>
      </c>
      <c r="W138">
        <v>-243.19175521800923</v>
      </c>
      <c r="X138">
        <v>62.868710299999996</v>
      </c>
      <c r="Y138">
        <v>92.554337399999994</v>
      </c>
      <c r="Z138">
        <v>144.29</v>
      </c>
      <c r="AA138">
        <v>231.40215900000001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1.2848992777077473</v>
      </c>
    </row>
    <row r="139" spans="1:41" x14ac:dyDescent="0.3">
      <c r="A139">
        <v>910</v>
      </c>
      <c r="B139">
        <v>27</v>
      </c>
      <c r="C139">
        <v>19</v>
      </c>
      <c r="D139">
        <v>1</v>
      </c>
      <c r="E139">
        <v>29</v>
      </c>
      <c r="F139">
        <v>14</v>
      </c>
      <c r="G139">
        <v>1.2</v>
      </c>
      <c r="H139">
        <v>21</v>
      </c>
      <c r="I139">
        <v>14</v>
      </c>
      <c r="J139">
        <v>0.3</v>
      </c>
      <c r="K139">
        <v>508309605.35779452</v>
      </c>
      <c r="L139">
        <v>54411400</v>
      </c>
      <c r="M139">
        <v>79680352.412905499</v>
      </c>
      <c r="N139">
        <v>73022700</v>
      </c>
      <c r="O139">
        <v>15891159.84</v>
      </c>
      <c r="P139">
        <v>202.80289999999999</v>
      </c>
      <c r="Q139">
        <v>1.2963915343370254</v>
      </c>
      <c r="R139">
        <v>43.683170199999999</v>
      </c>
      <c r="S139">
        <v>780.91737599999999</v>
      </c>
      <c r="T139">
        <v>2.2891442499999999E-9</v>
      </c>
      <c r="U139">
        <v>19.718570358506792</v>
      </c>
      <c r="V139">
        <v>68.709999999999994</v>
      </c>
      <c r="W139">
        <v>-168.21428008628263</v>
      </c>
      <c r="X139">
        <v>63.078736999999997</v>
      </c>
      <c r="Y139">
        <v>95.081366700000004</v>
      </c>
      <c r="Z139">
        <v>180.98100000000002</v>
      </c>
      <c r="AA139">
        <v>234.50034500000001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1.2963915343370254</v>
      </c>
    </row>
    <row r="140" spans="1:41" x14ac:dyDescent="0.3">
      <c r="A140">
        <v>919.24173180037246</v>
      </c>
      <c r="B140">
        <v>27</v>
      </c>
      <c r="C140">
        <v>10</v>
      </c>
      <c r="D140">
        <v>1</v>
      </c>
      <c r="E140">
        <v>16</v>
      </c>
      <c r="F140">
        <v>5</v>
      </c>
      <c r="G140">
        <v>1.2</v>
      </c>
      <c r="H140">
        <v>10</v>
      </c>
      <c r="I140">
        <v>7</v>
      </c>
      <c r="J140">
        <v>0.3</v>
      </c>
      <c r="K140">
        <v>507990948.68384403</v>
      </c>
      <c r="L140">
        <v>54414100</v>
      </c>
      <c r="M140">
        <v>79699447.035888493</v>
      </c>
      <c r="N140">
        <v>72820300</v>
      </c>
      <c r="O140">
        <v>15896006.799999999</v>
      </c>
      <c r="P140">
        <v>205.97496899999999</v>
      </c>
      <c r="Q140">
        <v>1.2797721175575807</v>
      </c>
      <c r="R140">
        <v>43.619891600000003</v>
      </c>
      <c r="S140">
        <v>780.435788</v>
      </c>
      <c r="T140">
        <v>4.4834191800000001E-10</v>
      </c>
      <c r="U140">
        <v>19.443844463877149</v>
      </c>
      <c r="V140">
        <v>80.72</v>
      </c>
      <c r="W140">
        <v>-147.21956005624122</v>
      </c>
      <c r="X140">
        <v>63.032319200000003</v>
      </c>
      <c r="Y140">
        <v>94.898827400000002</v>
      </c>
      <c r="Z140">
        <v>180.98100000000002</v>
      </c>
      <c r="AA140">
        <v>236.228193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1.2797721175575807</v>
      </c>
    </row>
    <row r="141" spans="1:41" x14ac:dyDescent="0.3">
      <c r="A141">
        <v>910</v>
      </c>
      <c r="B141">
        <v>39</v>
      </c>
      <c r="C141">
        <v>19</v>
      </c>
      <c r="D141">
        <v>15</v>
      </c>
      <c r="E141">
        <v>29</v>
      </c>
      <c r="F141">
        <v>5</v>
      </c>
      <c r="G141">
        <v>1.2</v>
      </c>
      <c r="H141">
        <v>29</v>
      </c>
      <c r="I141">
        <v>14</v>
      </c>
      <c r="J141">
        <v>0.3</v>
      </c>
      <c r="K141">
        <v>511533527.38137752</v>
      </c>
      <c r="L141">
        <v>54519100</v>
      </c>
      <c r="M141">
        <v>79683155.43474263</v>
      </c>
      <c r="N141">
        <v>71417400</v>
      </c>
      <c r="O141">
        <v>15899077.040000001</v>
      </c>
      <c r="P141">
        <v>208.851968</v>
      </c>
      <c r="Q141">
        <v>1.3055290153479304</v>
      </c>
      <c r="R141">
        <v>43.644212099999997</v>
      </c>
      <c r="S141">
        <v>780.62498900000003</v>
      </c>
      <c r="T141">
        <v>4.6993672500000002E-10</v>
      </c>
      <c r="U141">
        <v>19.368588942926664</v>
      </c>
      <c r="V141">
        <v>100.934</v>
      </c>
      <c r="W141">
        <v>-236.88405062078942</v>
      </c>
      <c r="X141">
        <v>62.797694800000002</v>
      </c>
      <c r="Y141">
        <v>92.049672799999996</v>
      </c>
      <c r="Z141">
        <v>203.285</v>
      </c>
      <c r="AA141">
        <v>235.44379499999999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1.3055290153479304</v>
      </c>
    </row>
    <row r="142" spans="1:41" x14ac:dyDescent="0.3">
      <c r="A142">
        <v>933.34732342283939</v>
      </c>
      <c r="B142">
        <v>39</v>
      </c>
      <c r="C142">
        <v>19</v>
      </c>
      <c r="D142">
        <v>15</v>
      </c>
      <c r="E142">
        <v>29</v>
      </c>
      <c r="F142">
        <v>14</v>
      </c>
      <c r="G142">
        <v>0.3</v>
      </c>
      <c r="H142">
        <v>29</v>
      </c>
      <c r="I142">
        <v>14</v>
      </c>
      <c r="J142">
        <v>0.3</v>
      </c>
      <c r="K142">
        <v>511330149.96740186</v>
      </c>
      <c r="L142">
        <v>54545500</v>
      </c>
      <c r="M142">
        <v>79706721.759203911</v>
      </c>
      <c r="N142">
        <v>72166300</v>
      </c>
      <c r="O142">
        <v>15894831.280000001</v>
      </c>
      <c r="P142">
        <v>210.55076700000001</v>
      </c>
      <c r="Q142">
        <v>1.2791921069136605</v>
      </c>
      <c r="R142">
        <v>43.646622299999997</v>
      </c>
      <c r="S142">
        <v>779.99199599999997</v>
      </c>
      <c r="T142">
        <v>3.22921106E-16</v>
      </c>
      <c r="U142">
        <v>19.652477438111006</v>
      </c>
      <c r="V142">
        <v>100.934</v>
      </c>
      <c r="W142">
        <v>-237.07134746680376</v>
      </c>
      <c r="X142">
        <v>62.776434600000002</v>
      </c>
      <c r="Y142">
        <v>92.043309899999997</v>
      </c>
      <c r="Z142">
        <v>177.97</v>
      </c>
      <c r="AA142">
        <v>235.82341700000001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1.2791921069136605</v>
      </c>
    </row>
    <row r="143" spans="1:41" x14ac:dyDescent="0.3">
      <c r="A143">
        <v>910</v>
      </c>
      <c r="B143">
        <v>27</v>
      </c>
      <c r="C143">
        <v>19</v>
      </c>
      <c r="D143">
        <v>15</v>
      </c>
      <c r="E143">
        <v>17</v>
      </c>
      <c r="F143">
        <v>5</v>
      </c>
      <c r="G143">
        <v>1.2</v>
      </c>
      <c r="H143">
        <v>16</v>
      </c>
      <c r="I143">
        <v>14</v>
      </c>
      <c r="J143">
        <v>0.3</v>
      </c>
      <c r="K143">
        <v>510455928.39439374</v>
      </c>
      <c r="L143">
        <v>54463300</v>
      </c>
      <c r="M143">
        <v>79697470.998364612</v>
      </c>
      <c r="N143">
        <v>71640500</v>
      </c>
      <c r="O143">
        <v>15903688</v>
      </c>
      <c r="P143">
        <v>208.70890199999999</v>
      </c>
      <c r="Q143">
        <v>1.2970199562868345</v>
      </c>
      <c r="R143">
        <v>43.638146900000002</v>
      </c>
      <c r="S143">
        <v>780.28644800000006</v>
      </c>
      <c r="T143">
        <v>5.4933693200000005E-10</v>
      </c>
      <c r="U143">
        <v>19.416753722860218</v>
      </c>
      <c r="V143">
        <v>91.850000000000009</v>
      </c>
      <c r="W143">
        <v>-236.89813986824839</v>
      </c>
      <c r="X143">
        <v>62.775822599999998</v>
      </c>
      <c r="Y143">
        <v>92.404872400000002</v>
      </c>
      <c r="Z143">
        <v>180.98100000000002</v>
      </c>
      <c r="AA143">
        <v>240.973073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1.2970199562868345</v>
      </c>
    </row>
    <row r="144" spans="1:41" x14ac:dyDescent="0.3">
      <c r="A144">
        <v>936.24878290429785</v>
      </c>
      <c r="B144">
        <v>32</v>
      </c>
      <c r="C144">
        <v>10</v>
      </c>
      <c r="D144">
        <v>15</v>
      </c>
      <c r="E144">
        <v>18</v>
      </c>
      <c r="F144">
        <v>14</v>
      </c>
      <c r="G144">
        <v>1.2</v>
      </c>
      <c r="H144">
        <v>29</v>
      </c>
      <c r="I144">
        <v>14</v>
      </c>
      <c r="J144">
        <v>0.3</v>
      </c>
      <c r="K144">
        <v>511143019.66127443</v>
      </c>
      <c r="L144">
        <v>54529200</v>
      </c>
      <c r="M144">
        <v>79708815.422364816</v>
      </c>
      <c r="N144">
        <v>71670400</v>
      </c>
      <c r="O144">
        <v>15895831.52</v>
      </c>
      <c r="P144">
        <v>211.09228300000001</v>
      </c>
      <c r="Q144">
        <v>1.2853381411263638</v>
      </c>
      <c r="R144">
        <v>43.586470800000001</v>
      </c>
      <c r="S144">
        <v>780.43483100000003</v>
      </c>
      <c r="T144">
        <v>5.9517471299999999E-18</v>
      </c>
      <c r="U144">
        <v>19.08990004577538</v>
      </c>
      <c r="V144">
        <v>100.934</v>
      </c>
      <c r="W144">
        <v>-238.8734556928008</v>
      </c>
      <c r="X144">
        <v>62.782826499999999</v>
      </c>
      <c r="Y144">
        <v>92.247036800000004</v>
      </c>
      <c r="Z144">
        <v>144.29</v>
      </c>
      <c r="AA144">
        <v>234.783141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1.2853381411263638</v>
      </c>
    </row>
    <row r="145" spans="1:41" x14ac:dyDescent="0.3">
      <c r="A145">
        <v>914.43268679227231</v>
      </c>
      <c r="B145">
        <v>36</v>
      </c>
      <c r="C145">
        <v>10</v>
      </c>
      <c r="D145">
        <v>6.7201631646933233</v>
      </c>
      <c r="E145">
        <v>12</v>
      </c>
      <c r="F145">
        <v>10</v>
      </c>
      <c r="G145">
        <v>0.3079677216031308</v>
      </c>
      <c r="H145">
        <v>29</v>
      </c>
      <c r="I145">
        <v>14</v>
      </c>
      <c r="J145">
        <v>0.67221898772465594</v>
      </c>
      <c r="K145">
        <v>509816291.01330286</v>
      </c>
      <c r="L145">
        <v>54442500</v>
      </c>
      <c r="M145">
        <v>79678038.271759585</v>
      </c>
      <c r="N145">
        <v>68174800</v>
      </c>
      <c r="O145">
        <v>15893354.48</v>
      </c>
      <c r="P145">
        <v>212.045119</v>
      </c>
      <c r="Q145">
        <v>1.3462811741503284</v>
      </c>
      <c r="R145">
        <v>43.337887700000003</v>
      </c>
      <c r="S145">
        <v>782.32342800000004</v>
      </c>
      <c r="T145">
        <v>2.6869079399999998E-12</v>
      </c>
      <c r="U145">
        <v>19.029353489420565</v>
      </c>
      <c r="V145">
        <v>100.934</v>
      </c>
      <c r="W145">
        <v>-240.39100190079202</v>
      </c>
      <c r="X145">
        <v>62.861443700000002</v>
      </c>
      <c r="Y145">
        <v>92.367709899999994</v>
      </c>
      <c r="Z145">
        <v>100.934</v>
      </c>
      <c r="AA145">
        <v>226.85651300000001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1.3462811741503284</v>
      </c>
    </row>
    <row r="146" spans="1:41" x14ac:dyDescent="0.3">
      <c r="A146">
        <v>935.02260179205962</v>
      </c>
      <c r="B146">
        <v>27</v>
      </c>
      <c r="C146">
        <v>19</v>
      </c>
      <c r="D146">
        <v>15</v>
      </c>
      <c r="E146">
        <v>10</v>
      </c>
      <c r="F146">
        <v>5</v>
      </c>
      <c r="G146">
        <v>0.3</v>
      </c>
      <c r="H146">
        <v>16</v>
      </c>
      <c r="I146">
        <v>14</v>
      </c>
      <c r="J146">
        <v>0.3</v>
      </c>
      <c r="K146">
        <v>510376741.61215448</v>
      </c>
      <c r="L146">
        <v>54467500</v>
      </c>
      <c r="M146">
        <v>79716127.396926031</v>
      </c>
      <c r="N146">
        <v>71171200</v>
      </c>
      <c r="O146">
        <v>15898141.040000001</v>
      </c>
      <c r="P146">
        <v>211.82954899999999</v>
      </c>
      <c r="Q146">
        <v>1.2875259667932639</v>
      </c>
      <c r="R146">
        <v>43.5232314</v>
      </c>
      <c r="S146">
        <v>780.68458100000009</v>
      </c>
      <c r="T146">
        <v>6.7900692600000003E-9</v>
      </c>
      <c r="U146">
        <v>19.58613696407339</v>
      </c>
      <c r="V146">
        <v>91.850000000000009</v>
      </c>
      <c r="W146">
        <v>-243.37263920110999</v>
      </c>
      <c r="X146">
        <v>62.829918499999998</v>
      </c>
      <c r="Y146">
        <v>92.439715199999995</v>
      </c>
      <c r="Z146">
        <v>144.29</v>
      </c>
      <c r="AA146">
        <v>236.926466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1.2875259667932639</v>
      </c>
    </row>
    <row r="147" spans="1:41" x14ac:dyDescent="0.3">
      <c r="A147">
        <v>919.84147723256069</v>
      </c>
      <c r="B147">
        <v>39</v>
      </c>
      <c r="C147">
        <v>10</v>
      </c>
      <c r="D147">
        <v>15</v>
      </c>
      <c r="E147">
        <v>29</v>
      </c>
      <c r="F147">
        <v>14</v>
      </c>
      <c r="G147">
        <v>1.2</v>
      </c>
      <c r="H147">
        <v>10</v>
      </c>
      <c r="I147">
        <v>7</v>
      </c>
      <c r="J147">
        <v>0.3</v>
      </c>
      <c r="K147">
        <v>511260299.13434708</v>
      </c>
      <c r="L147">
        <v>54520500</v>
      </c>
      <c r="M147">
        <v>79700946.88571085</v>
      </c>
      <c r="N147">
        <v>71824100</v>
      </c>
      <c r="O147">
        <v>15903674.16</v>
      </c>
      <c r="P147">
        <v>209.560903</v>
      </c>
      <c r="Q147">
        <v>1.2916898410889515</v>
      </c>
      <c r="R147">
        <v>43.643898100000001</v>
      </c>
      <c r="S147">
        <v>780.63669300000004</v>
      </c>
      <c r="T147">
        <v>4.6828487400000002E-10</v>
      </c>
      <c r="U147">
        <v>19.368804296350291</v>
      </c>
      <c r="V147">
        <v>100.934</v>
      </c>
      <c r="W147">
        <v>-236.71159389481775</v>
      </c>
      <c r="X147">
        <v>62.787305699999997</v>
      </c>
      <c r="Y147">
        <v>92.057275099999998</v>
      </c>
      <c r="Z147">
        <v>203.285</v>
      </c>
      <c r="AA147">
        <v>236.91543200000001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1.2916898410889515</v>
      </c>
    </row>
    <row r="148" spans="1:41" x14ac:dyDescent="0.3">
      <c r="A148">
        <v>916.73690026379791</v>
      </c>
      <c r="B148">
        <v>39</v>
      </c>
      <c r="C148">
        <v>10</v>
      </c>
      <c r="D148">
        <v>15</v>
      </c>
      <c r="E148">
        <v>29</v>
      </c>
      <c r="F148">
        <v>5</v>
      </c>
      <c r="G148">
        <v>1.2</v>
      </c>
      <c r="H148">
        <v>22</v>
      </c>
      <c r="I148">
        <v>7</v>
      </c>
      <c r="J148">
        <v>0.3</v>
      </c>
      <c r="K148">
        <v>511510966.06833267</v>
      </c>
      <c r="L148">
        <v>54509900</v>
      </c>
      <c r="M148">
        <v>79691045.097138271</v>
      </c>
      <c r="N148">
        <v>71599700</v>
      </c>
      <c r="O148">
        <v>15899422.479999999</v>
      </c>
      <c r="P148">
        <v>209.30739</v>
      </c>
      <c r="Q148">
        <v>1.2985764241195674</v>
      </c>
      <c r="R148">
        <v>43.643791399999998</v>
      </c>
      <c r="S148">
        <v>780.64177700000005</v>
      </c>
      <c r="T148">
        <v>4.6891715500000001E-10</v>
      </c>
      <c r="U148">
        <v>19.371192759021636</v>
      </c>
      <c r="V148">
        <v>100.934</v>
      </c>
      <c r="W148">
        <v>-236.62070017289653</v>
      </c>
      <c r="X148">
        <v>62.7882526</v>
      </c>
      <c r="Y148">
        <v>92.056928299999996</v>
      </c>
      <c r="Z148">
        <v>203.285</v>
      </c>
      <c r="AA148">
        <v>235.46955299999999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1.2985764241195674</v>
      </c>
    </row>
    <row r="149" spans="1:41" x14ac:dyDescent="0.3">
      <c r="A149">
        <v>940.59628744141116</v>
      </c>
      <c r="B149">
        <v>34</v>
      </c>
      <c r="C149">
        <v>14</v>
      </c>
      <c r="D149">
        <v>15</v>
      </c>
      <c r="E149">
        <v>21</v>
      </c>
      <c r="F149">
        <v>5</v>
      </c>
      <c r="G149">
        <v>0.3</v>
      </c>
      <c r="H149">
        <v>17</v>
      </c>
      <c r="I149">
        <v>7</v>
      </c>
      <c r="J149">
        <v>0.3</v>
      </c>
      <c r="K149">
        <v>510710221.07858765</v>
      </c>
      <c r="L149">
        <v>54515200</v>
      </c>
      <c r="M149">
        <v>79717411.278406903</v>
      </c>
      <c r="N149">
        <v>72367800</v>
      </c>
      <c r="O149">
        <v>15898798</v>
      </c>
      <c r="P149">
        <v>210.78244900000001</v>
      </c>
      <c r="Q149">
        <v>1.2709350065322405</v>
      </c>
      <c r="R149">
        <v>43.6576758</v>
      </c>
      <c r="S149">
        <v>780.55394799999999</v>
      </c>
      <c r="T149">
        <v>4.8231193700000001E-9</v>
      </c>
      <c r="U149">
        <v>19.89755770865278</v>
      </c>
      <c r="V149">
        <v>100.934</v>
      </c>
      <c r="W149">
        <v>-236.93496914941713</v>
      </c>
      <c r="X149">
        <v>62.755139800000002</v>
      </c>
      <c r="Y149">
        <v>92.168257999999994</v>
      </c>
      <c r="Z149">
        <v>177.97</v>
      </c>
      <c r="AA149">
        <v>235.71258900000001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1.2709350065322405</v>
      </c>
    </row>
    <row r="150" spans="1:41" x14ac:dyDescent="0.3">
      <c r="A150">
        <v>928.3304137844774</v>
      </c>
      <c r="B150">
        <v>27</v>
      </c>
      <c r="C150">
        <v>19</v>
      </c>
      <c r="D150">
        <v>1.31822931133458</v>
      </c>
      <c r="E150">
        <v>20</v>
      </c>
      <c r="F150">
        <v>6</v>
      </c>
      <c r="G150">
        <v>0.83514615514155033</v>
      </c>
      <c r="H150">
        <v>13</v>
      </c>
      <c r="I150">
        <v>11</v>
      </c>
      <c r="J150">
        <v>0.3</v>
      </c>
      <c r="K150">
        <v>508084869.08060974</v>
      </c>
      <c r="L150">
        <v>54430800</v>
      </c>
      <c r="M150">
        <v>79715245.993478969</v>
      </c>
      <c r="N150">
        <v>72813800</v>
      </c>
      <c r="O150">
        <v>15890314.720000001</v>
      </c>
      <c r="P150">
        <v>207.15401700000001</v>
      </c>
      <c r="Q150">
        <v>1.2732902654045184</v>
      </c>
      <c r="R150">
        <v>43.651395999999998</v>
      </c>
      <c r="S150">
        <v>779.83474200000001</v>
      </c>
      <c r="T150">
        <v>7.22711332E-10</v>
      </c>
      <c r="U150">
        <v>19.610233281034432</v>
      </c>
      <c r="V150">
        <v>68.709999999999994</v>
      </c>
      <c r="W150">
        <v>-206.87129605112361</v>
      </c>
      <c r="X150">
        <v>62.856564599999999</v>
      </c>
      <c r="Y150">
        <v>93.812456600000004</v>
      </c>
      <c r="Z150">
        <v>180.98100000000002</v>
      </c>
      <c r="AA150">
        <v>240.090228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1.2732902654045184</v>
      </c>
    </row>
    <row r="151" spans="1:41" x14ac:dyDescent="0.3">
      <c r="A151">
        <v>919.29172473345398</v>
      </c>
      <c r="B151">
        <v>27</v>
      </c>
      <c r="C151">
        <v>19</v>
      </c>
      <c r="D151">
        <v>15</v>
      </c>
      <c r="E151">
        <v>16</v>
      </c>
      <c r="F151">
        <v>14</v>
      </c>
      <c r="G151">
        <v>1.2</v>
      </c>
      <c r="H151">
        <v>18</v>
      </c>
      <c r="I151">
        <v>14</v>
      </c>
      <c r="J151">
        <v>0.3</v>
      </c>
      <c r="K151">
        <v>510666622.47544748</v>
      </c>
      <c r="L151">
        <v>54456400</v>
      </c>
      <c r="M151">
        <v>79690037.007062495</v>
      </c>
      <c r="N151">
        <v>70551800</v>
      </c>
      <c r="O151">
        <v>15899709.119999999</v>
      </c>
      <c r="P151">
        <v>211.427299</v>
      </c>
      <c r="Q151">
        <v>1.3036068505513543</v>
      </c>
      <c r="R151">
        <v>43.496524899999997</v>
      </c>
      <c r="S151">
        <v>780.20321100000001</v>
      </c>
      <c r="T151">
        <v>1.76328246E-12</v>
      </c>
      <c r="U151">
        <v>18.729485584299418</v>
      </c>
      <c r="V151">
        <v>91.850000000000009</v>
      </c>
      <c r="W151">
        <v>-241.19885510748273</v>
      </c>
      <c r="X151">
        <v>62.864201799999996</v>
      </c>
      <c r="Y151">
        <v>92.455428999999995</v>
      </c>
      <c r="Z151">
        <v>121.52199999999999</v>
      </c>
      <c r="AA151">
        <v>234.935576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1.3036068505513543</v>
      </c>
    </row>
    <row r="152" spans="1:41" x14ac:dyDescent="0.3">
      <c r="A152">
        <v>918.32667046035453</v>
      </c>
      <c r="B152">
        <v>27</v>
      </c>
      <c r="C152">
        <v>10</v>
      </c>
      <c r="D152">
        <v>1</v>
      </c>
      <c r="E152">
        <v>10</v>
      </c>
      <c r="F152">
        <v>5</v>
      </c>
      <c r="G152">
        <v>0.3</v>
      </c>
      <c r="H152">
        <v>21</v>
      </c>
      <c r="I152">
        <v>7</v>
      </c>
      <c r="J152">
        <v>0.3</v>
      </c>
      <c r="K152">
        <v>507914343.19451797</v>
      </c>
      <c r="L152">
        <v>54403900</v>
      </c>
      <c r="M152">
        <v>79688938.641143173</v>
      </c>
      <c r="N152">
        <v>71334300</v>
      </c>
      <c r="O152">
        <v>15892900.48</v>
      </c>
      <c r="P152">
        <v>206.86844300000001</v>
      </c>
      <c r="Q152">
        <v>1.3054852550644738</v>
      </c>
      <c r="R152">
        <v>43.483399499999997</v>
      </c>
      <c r="S152">
        <v>781.02996800000005</v>
      </c>
      <c r="T152">
        <v>5.7752569700000001E-9</v>
      </c>
      <c r="U152">
        <v>19.567086869042043</v>
      </c>
      <c r="V152">
        <v>80.72</v>
      </c>
      <c r="W152">
        <v>-152.16284465552963</v>
      </c>
      <c r="X152">
        <v>63.051065399999999</v>
      </c>
      <c r="Y152">
        <v>94.909607199999996</v>
      </c>
      <c r="Z152">
        <v>144.29</v>
      </c>
      <c r="AA152">
        <v>231.77123800000001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1.3054852550644738</v>
      </c>
    </row>
    <row r="153" spans="1:41" x14ac:dyDescent="0.3">
      <c r="A153">
        <v>923.6281265712928</v>
      </c>
      <c r="B153">
        <v>27</v>
      </c>
      <c r="C153">
        <v>10</v>
      </c>
      <c r="D153">
        <v>15</v>
      </c>
      <c r="E153">
        <v>10</v>
      </c>
      <c r="F153">
        <v>5</v>
      </c>
      <c r="G153">
        <v>1.2</v>
      </c>
      <c r="H153">
        <v>29</v>
      </c>
      <c r="I153">
        <v>14</v>
      </c>
      <c r="J153">
        <v>0.3</v>
      </c>
      <c r="K153">
        <v>510666259.53300363</v>
      </c>
      <c r="L153">
        <v>54480900</v>
      </c>
      <c r="M153">
        <v>79696931.627991065</v>
      </c>
      <c r="N153">
        <v>71511500</v>
      </c>
      <c r="O153">
        <v>15901991.52</v>
      </c>
      <c r="P153">
        <v>210.40567899999999</v>
      </c>
      <c r="Q153">
        <v>1.2903146860987438</v>
      </c>
      <c r="R153">
        <v>43.596100900000003</v>
      </c>
      <c r="S153">
        <v>779.99227299999995</v>
      </c>
      <c r="T153">
        <v>7.0915084E-10</v>
      </c>
      <c r="U153">
        <v>19.380758880332166</v>
      </c>
      <c r="V153">
        <v>100.934</v>
      </c>
      <c r="W153">
        <v>-238.38364333677504</v>
      </c>
      <c r="X153">
        <v>62.796037300000002</v>
      </c>
      <c r="Y153">
        <v>92.394643599999995</v>
      </c>
      <c r="Z153">
        <v>144.29</v>
      </c>
      <c r="AA153">
        <v>234.97675799999999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1.2903146860987438</v>
      </c>
    </row>
    <row r="154" spans="1:41" x14ac:dyDescent="0.3">
      <c r="A154">
        <v>924.16444721715743</v>
      </c>
      <c r="B154">
        <v>27</v>
      </c>
      <c r="C154">
        <v>10</v>
      </c>
      <c r="D154">
        <v>1</v>
      </c>
      <c r="E154">
        <v>29</v>
      </c>
      <c r="F154">
        <v>14</v>
      </c>
      <c r="G154">
        <v>0.3</v>
      </c>
      <c r="H154">
        <v>25</v>
      </c>
      <c r="I154">
        <v>7</v>
      </c>
      <c r="J154">
        <v>1.4</v>
      </c>
      <c r="K154">
        <v>508278277.96910542</v>
      </c>
      <c r="L154">
        <v>54441500</v>
      </c>
      <c r="M154">
        <v>79691223.648237318</v>
      </c>
      <c r="N154">
        <v>72947200</v>
      </c>
      <c r="O154">
        <v>15893026.239999998</v>
      </c>
      <c r="P154">
        <v>206.70996299999999</v>
      </c>
      <c r="Q154">
        <v>1.2740404307866038</v>
      </c>
      <c r="R154">
        <v>43.6483402</v>
      </c>
      <c r="S154">
        <v>780.47768799999994</v>
      </c>
      <c r="T154">
        <v>3.7342156499999998E-9</v>
      </c>
      <c r="U154">
        <v>19.824598214491377</v>
      </c>
      <c r="V154">
        <v>80.72</v>
      </c>
      <c r="W154">
        <v>-146.43990687473718</v>
      </c>
      <c r="X154">
        <v>63.083964700000003</v>
      </c>
      <c r="Y154">
        <v>94.928841300000002</v>
      </c>
      <c r="Z154">
        <v>180.98100000000002</v>
      </c>
      <c r="AA154">
        <v>230.99283199999999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1.2740404307866038</v>
      </c>
    </row>
    <row r="155" spans="1:41" x14ac:dyDescent="0.3">
      <c r="A155">
        <v>931.0098581381809</v>
      </c>
      <c r="B155">
        <v>39</v>
      </c>
      <c r="C155">
        <v>17</v>
      </c>
      <c r="D155">
        <v>15</v>
      </c>
      <c r="E155">
        <v>10</v>
      </c>
      <c r="F155">
        <v>5</v>
      </c>
      <c r="G155">
        <v>0.3</v>
      </c>
      <c r="H155">
        <v>29</v>
      </c>
      <c r="I155">
        <v>14</v>
      </c>
      <c r="J155">
        <v>0.3</v>
      </c>
      <c r="K155">
        <v>510972190.2289446</v>
      </c>
      <c r="L155">
        <v>54520700</v>
      </c>
      <c r="M155">
        <v>79699921.718526512</v>
      </c>
      <c r="N155">
        <v>70795300</v>
      </c>
      <c r="O155">
        <v>15892216.08</v>
      </c>
      <c r="P155">
        <v>211.28328400000001</v>
      </c>
      <c r="Q155">
        <v>1.3017331828716663</v>
      </c>
      <c r="R155">
        <v>43.522718099999999</v>
      </c>
      <c r="S155">
        <v>780.77421199999992</v>
      </c>
      <c r="T155">
        <v>6.8365271799999996E-9</v>
      </c>
      <c r="U155">
        <v>19.611464934016013</v>
      </c>
      <c r="V155">
        <v>100.934</v>
      </c>
      <c r="W155">
        <v>-242.08641258548704</v>
      </c>
      <c r="X155">
        <v>62.804903899999999</v>
      </c>
      <c r="Y155">
        <v>92.055256099999994</v>
      </c>
      <c r="Z155">
        <v>144.29</v>
      </c>
      <c r="AA155">
        <v>232.75413499999999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1.3017331828716663</v>
      </c>
    </row>
    <row r="156" spans="1:41" x14ac:dyDescent="0.3">
      <c r="A156">
        <v>918.27012523403505</v>
      </c>
      <c r="B156">
        <v>39</v>
      </c>
      <c r="C156">
        <v>10</v>
      </c>
      <c r="D156">
        <v>15</v>
      </c>
      <c r="E156">
        <v>16</v>
      </c>
      <c r="F156">
        <v>14</v>
      </c>
      <c r="G156">
        <v>1.2</v>
      </c>
      <c r="H156">
        <v>26</v>
      </c>
      <c r="I156">
        <v>7</v>
      </c>
      <c r="J156">
        <v>0.3</v>
      </c>
      <c r="K156">
        <v>511250281.17477417</v>
      </c>
      <c r="L156">
        <v>54511900</v>
      </c>
      <c r="M156">
        <v>79692942.701691866</v>
      </c>
      <c r="N156">
        <v>71648800</v>
      </c>
      <c r="O156">
        <v>15899841.119999999</v>
      </c>
      <c r="P156">
        <v>209.56316100000001</v>
      </c>
      <c r="Q156">
        <v>1.2951549214794462</v>
      </c>
      <c r="R156">
        <v>43.637792099999999</v>
      </c>
      <c r="S156">
        <v>780.19740999999999</v>
      </c>
      <c r="T156">
        <v>5.6002517199999996E-10</v>
      </c>
      <c r="U156">
        <v>19.399081219206078</v>
      </c>
      <c r="V156">
        <v>100.934</v>
      </c>
      <c r="W156">
        <v>-236.39699081474296</v>
      </c>
      <c r="X156">
        <v>62.785763899999999</v>
      </c>
      <c r="Y156">
        <v>92.055875999999998</v>
      </c>
      <c r="Z156">
        <v>180.98100000000002</v>
      </c>
      <c r="AA156">
        <v>235.50610399999999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1.2951549214794462</v>
      </c>
    </row>
    <row r="157" spans="1:41" x14ac:dyDescent="0.3">
      <c r="A157">
        <v>922.29244195256933</v>
      </c>
      <c r="B157">
        <v>27</v>
      </c>
      <c r="C157">
        <v>10</v>
      </c>
      <c r="D157">
        <v>15</v>
      </c>
      <c r="E157">
        <v>29</v>
      </c>
      <c r="F157">
        <v>14</v>
      </c>
      <c r="G157">
        <v>0.3</v>
      </c>
      <c r="H157">
        <v>10</v>
      </c>
      <c r="I157">
        <v>7</v>
      </c>
      <c r="J157">
        <v>1.4</v>
      </c>
      <c r="K157">
        <v>511443877.01884204</v>
      </c>
      <c r="L157">
        <v>54511900</v>
      </c>
      <c r="M157">
        <v>79692924.597581893</v>
      </c>
      <c r="N157">
        <v>71648800</v>
      </c>
      <c r="O157">
        <v>15903300.24</v>
      </c>
      <c r="P157">
        <v>210.76018300000001</v>
      </c>
      <c r="Q157">
        <v>1.2884225995409797</v>
      </c>
      <c r="R157">
        <v>43.6478976</v>
      </c>
      <c r="S157">
        <v>779.79479399999991</v>
      </c>
      <c r="T157">
        <v>3.1907799500000002E-16</v>
      </c>
      <c r="U157">
        <v>19.588400072846003</v>
      </c>
      <c r="V157">
        <v>100.934</v>
      </c>
      <c r="W157">
        <v>-237.97574284210981</v>
      </c>
      <c r="X157">
        <v>62.853558399999997</v>
      </c>
      <c r="Y157">
        <v>92.426171299999993</v>
      </c>
      <c r="Z157">
        <v>177.97</v>
      </c>
      <c r="AA157">
        <v>233.632542</v>
      </c>
      <c r="AB157">
        <v>100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101.28842259954098</v>
      </c>
    </row>
    <row r="158" spans="1:41" x14ac:dyDescent="0.3">
      <c r="A158">
        <v>919.97515715937561</v>
      </c>
      <c r="B158">
        <v>39</v>
      </c>
      <c r="C158">
        <v>19</v>
      </c>
      <c r="D158">
        <v>15</v>
      </c>
      <c r="E158">
        <v>22</v>
      </c>
      <c r="F158">
        <v>5</v>
      </c>
      <c r="G158">
        <v>1.2</v>
      </c>
      <c r="H158">
        <v>10</v>
      </c>
      <c r="I158">
        <v>7</v>
      </c>
      <c r="J158">
        <v>0.3</v>
      </c>
      <c r="K158">
        <v>511091945.18060422</v>
      </c>
      <c r="L158">
        <v>54503000</v>
      </c>
      <c r="M158">
        <v>79701146.748476014</v>
      </c>
      <c r="N158">
        <v>71839200</v>
      </c>
      <c r="O158">
        <v>15903729.600000001</v>
      </c>
      <c r="P158">
        <v>209.625846</v>
      </c>
      <c r="Q158">
        <v>1.2900579733225155</v>
      </c>
      <c r="R158">
        <v>43.642819099999997</v>
      </c>
      <c r="S158">
        <v>780.44169999999997</v>
      </c>
      <c r="T158">
        <v>5.0318775500000003E-10</v>
      </c>
      <c r="U158">
        <v>19.379563114341952</v>
      </c>
      <c r="V158">
        <v>100.934</v>
      </c>
      <c r="W158">
        <v>-236.81488108088962</v>
      </c>
      <c r="X158">
        <v>62.785734499999997</v>
      </c>
      <c r="Y158">
        <v>92.045515499999993</v>
      </c>
      <c r="Z158">
        <v>203.285</v>
      </c>
      <c r="AA158">
        <v>236.978182</v>
      </c>
      <c r="AB158">
        <v>99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100.29005797332252</v>
      </c>
    </row>
    <row r="159" spans="1:41" x14ac:dyDescent="0.3">
      <c r="A159">
        <v>916.50700490325937</v>
      </c>
      <c r="B159">
        <v>31</v>
      </c>
      <c r="C159">
        <v>17</v>
      </c>
      <c r="D159">
        <v>8.3292123375868794</v>
      </c>
      <c r="E159">
        <v>18</v>
      </c>
      <c r="F159">
        <v>14</v>
      </c>
      <c r="G159">
        <v>0.3</v>
      </c>
      <c r="H159">
        <v>14</v>
      </c>
      <c r="I159">
        <v>11</v>
      </c>
      <c r="J159">
        <v>1.1489847822349888</v>
      </c>
      <c r="K159">
        <v>509622970.70521617</v>
      </c>
      <c r="L159">
        <v>54443700</v>
      </c>
      <c r="M159">
        <v>79681235.440777481</v>
      </c>
      <c r="N159">
        <v>70053000</v>
      </c>
      <c r="O159">
        <v>15895034</v>
      </c>
      <c r="P159">
        <v>211.450335</v>
      </c>
      <c r="Q159">
        <v>1.3102622797255674</v>
      </c>
      <c r="R159">
        <v>43.480991799999998</v>
      </c>
      <c r="S159">
        <v>780.32126099999994</v>
      </c>
      <c r="T159">
        <v>1.25640588E-15</v>
      </c>
      <c r="U159">
        <v>19.251795340480012</v>
      </c>
      <c r="V159">
        <v>100.934</v>
      </c>
      <c r="W159">
        <v>-243.04303138748509</v>
      </c>
      <c r="X159">
        <v>62.882321699999999</v>
      </c>
      <c r="Y159">
        <v>92.424463200000005</v>
      </c>
      <c r="Z159">
        <v>121.52199999999999</v>
      </c>
      <c r="AA159">
        <v>230.085724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1.3102622797255674</v>
      </c>
    </row>
    <row r="160" spans="1:41" x14ac:dyDescent="0.3">
      <c r="A160">
        <v>921.97681337280562</v>
      </c>
      <c r="B160">
        <v>34</v>
      </c>
      <c r="C160">
        <v>19</v>
      </c>
      <c r="D160">
        <v>11.468935885986555</v>
      </c>
      <c r="E160">
        <v>29</v>
      </c>
      <c r="F160">
        <v>8</v>
      </c>
      <c r="G160">
        <v>0.3</v>
      </c>
      <c r="H160">
        <v>21</v>
      </c>
      <c r="I160">
        <v>14</v>
      </c>
      <c r="J160">
        <v>1.4</v>
      </c>
      <c r="K160">
        <v>510130001.86925447</v>
      </c>
      <c r="L160">
        <v>54474900</v>
      </c>
      <c r="M160">
        <v>79688627.198469669</v>
      </c>
      <c r="N160">
        <v>71908500</v>
      </c>
      <c r="O160">
        <v>15898036.720000001</v>
      </c>
      <c r="P160">
        <v>210.382476</v>
      </c>
      <c r="Q160">
        <v>1.2802706872148355</v>
      </c>
      <c r="R160">
        <v>43.661701899999997</v>
      </c>
      <c r="S160">
        <v>779.97052600000006</v>
      </c>
      <c r="T160">
        <v>1.8759003600000002E-11</v>
      </c>
      <c r="U160">
        <v>19.670230772378307</v>
      </c>
      <c r="V160">
        <v>100.934</v>
      </c>
      <c r="W160">
        <v>-237.55879665534709</v>
      </c>
      <c r="X160">
        <v>62.846385900000001</v>
      </c>
      <c r="Y160">
        <v>92.2717174</v>
      </c>
      <c r="Z160">
        <v>180.98100000000002</v>
      </c>
      <c r="AA160">
        <v>231.95984100000001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1.2802706872148355</v>
      </c>
    </row>
    <row r="161" spans="1:41" x14ac:dyDescent="0.3">
      <c r="A161">
        <v>910.01464836440493</v>
      </c>
      <c r="B161">
        <v>39</v>
      </c>
      <c r="C161">
        <v>10</v>
      </c>
      <c r="D161">
        <v>11.051513641819064</v>
      </c>
      <c r="E161">
        <v>29</v>
      </c>
      <c r="F161">
        <v>14</v>
      </c>
      <c r="G161">
        <v>0.3</v>
      </c>
      <c r="H161">
        <v>16</v>
      </c>
      <c r="I161">
        <v>14</v>
      </c>
      <c r="J161">
        <v>0.3</v>
      </c>
      <c r="K161">
        <v>509859318.67164111</v>
      </c>
      <c r="L161">
        <v>54474900</v>
      </c>
      <c r="M161">
        <v>79688669.803517595</v>
      </c>
      <c r="N161">
        <v>71908500</v>
      </c>
      <c r="O161">
        <v>15904956.48</v>
      </c>
      <c r="P161">
        <v>208.85983200000001</v>
      </c>
      <c r="Q161">
        <v>1.2887244036991585</v>
      </c>
      <c r="R161">
        <v>43.644369099999999</v>
      </c>
      <c r="S161">
        <v>780.08795799999996</v>
      </c>
      <c r="T161">
        <v>3.26852191E-16</v>
      </c>
      <c r="U161">
        <v>19.686078013035004</v>
      </c>
      <c r="V161">
        <v>100.934</v>
      </c>
      <c r="W161">
        <v>-235.73484259366467</v>
      </c>
      <c r="X161">
        <v>62.763680899999997</v>
      </c>
      <c r="Y161">
        <v>92.106629799999993</v>
      </c>
      <c r="Z161">
        <v>177.97</v>
      </c>
      <c r="AA161">
        <v>241.545928</v>
      </c>
      <c r="AB161">
        <v>100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101.28872440369916</v>
      </c>
    </row>
    <row r="162" spans="1:41" x14ac:dyDescent="0.3">
      <c r="A162">
        <v>910</v>
      </c>
      <c r="B162">
        <v>36</v>
      </c>
      <c r="C162">
        <v>11</v>
      </c>
      <c r="D162">
        <v>1.5583882097144228</v>
      </c>
      <c r="E162">
        <v>15</v>
      </c>
      <c r="F162">
        <v>13</v>
      </c>
      <c r="G162">
        <v>1.2</v>
      </c>
      <c r="H162">
        <v>17</v>
      </c>
      <c r="I162">
        <v>7</v>
      </c>
      <c r="J162">
        <v>1.4</v>
      </c>
      <c r="K162">
        <v>508527138.05884981</v>
      </c>
      <c r="L162">
        <v>54404000</v>
      </c>
      <c r="M162">
        <v>79673745.502884969</v>
      </c>
      <c r="N162">
        <v>70176000</v>
      </c>
      <c r="O162">
        <v>15889720.799999999</v>
      </c>
      <c r="P162">
        <v>210.16029700000001</v>
      </c>
      <c r="Q162">
        <v>1.3113479429611703</v>
      </c>
      <c r="R162">
        <v>43.470782300000003</v>
      </c>
      <c r="S162">
        <v>780.55582000000004</v>
      </c>
      <c r="T162">
        <v>8.8754293299999995E-17</v>
      </c>
      <c r="U162">
        <v>18.788626214217505</v>
      </c>
      <c r="V162">
        <v>91.850000000000009</v>
      </c>
      <c r="W162">
        <v>-209.60671957333835</v>
      </c>
      <c r="X162">
        <v>62.936104899999997</v>
      </c>
      <c r="Y162">
        <v>93.491270400000005</v>
      </c>
      <c r="Z162">
        <v>100.934</v>
      </c>
      <c r="AA162">
        <v>229.886346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1.3113479429611703</v>
      </c>
    </row>
    <row r="163" spans="1:41" x14ac:dyDescent="0.3">
      <c r="A163">
        <v>917.58708219686434</v>
      </c>
      <c r="B163">
        <v>27</v>
      </c>
      <c r="C163">
        <v>10</v>
      </c>
      <c r="D163">
        <v>1</v>
      </c>
      <c r="E163">
        <v>29</v>
      </c>
      <c r="F163">
        <v>5</v>
      </c>
      <c r="G163">
        <v>1.2</v>
      </c>
      <c r="H163">
        <v>18</v>
      </c>
      <c r="I163">
        <v>7</v>
      </c>
      <c r="J163">
        <v>0.3</v>
      </c>
      <c r="K163">
        <v>508338473.83619964</v>
      </c>
      <c r="L163">
        <v>54423300</v>
      </c>
      <c r="M163">
        <v>79691543.185095415</v>
      </c>
      <c r="N163">
        <v>72643700</v>
      </c>
      <c r="O163">
        <v>15893488.560000001</v>
      </c>
      <c r="P163">
        <v>205.67447999999999</v>
      </c>
      <c r="Q163">
        <v>1.2867766869052784</v>
      </c>
      <c r="R163">
        <v>43.626574400000003</v>
      </c>
      <c r="S163">
        <v>780.82265600000005</v>
      </c>
      <c r="T163">
        <v>3.7633813900000001E-10</v>
      </c>
      <c r="U163">
        <v>19.428460624559811</v>
      </c>
      <c r="V163">
        <v>80.72</v>
      </c>
      <c r="W163">
        <v>-147.3084171257704</v>
      </c>
      <c r="X163">
        <v>63.029300800000001</v>
      </c>
      <c r="Y163">
        <v>94.897025499999998</v>
      </c>
      <c r="Z163">
        <v>203.285</v>
      </c>
      <c r="AA163">
        <v>234.97906599999999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1.2867766869052784</v>
      </c>
    </row>
    <row r="164" spans="1:41" x14ac:dyDescent="0.3">
      <c r="A164">
        <v>942.75255107070643</v>
      </c>
      <c r="B164">
        <v>27</v>
      </c>
      <c r="C164">
        <v>10</v>
      </c>
      <c r="D164">
        <v>15</v>
      </c>
      <c r="E164">
        <v>29</v>
      </c>
      <c r="F164">
        <v>5</v>
      </c>
      <c r="G164">
        <v>1.2</v>
      </c>
      <c r="H164">
        <v>29</v>
      </c>
      <c r="I164">
        <v>7</v>
      </c>
      <c r="J164">
        <v>0.3</v>
      </c>
      <c r="K164">
        <v>511559071.41926455</v>
      </c>
      <c r="L164">
        <v>54552400</v>
      </c>
      <c r="M164">
        <v>79719807.324482277</v>
      </c>
      <c r="N164">
        <v>72257200</v>
      </c>
      <c r="O164">
        <v>15899233.76</v>
      </c>
      <c r="P164">
        <v>210.96753899999999</v>
      </c>
      <c r="Q164">
        <v>1.2756440181104149</v>
      </c>
      <c r="R164">
        <v>43.641521099999999</v>
      </c>
      <c r="S164">
        <v>780.70718699999998</v>
      </c>
      <c r="T164">
        <v>4.6496701000000002E-10</v>
      </c>
      <c r="U164">
        <v>19.380421917236966</v>
      </c>
      <c r="V164">
        <v>100.934</v>
      </c>
      <c r="W164">
        <v>-236.85746640190874</v>
      </c>
      <c r="X164">
        <v>62.753323100000003</v>
      </c>
      <c r="Y164">
        <v>92.375250699999995</v>
      </c>
      <c r="Z164">
        <v>203.285</v>
      </c>
      <c r="AA164">
        <v>235.434248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1.2756440181104149</v>
      </c>
    </row>
    <row r="165" spans="1:41" x14ac:dyDescent="0.3">
      <c r="A165">
        <v>922.32570964229444</v>
      </c>
      <c r="B165">
        <v>27</v>
      </c>
      <c r="C165">
        <v>10</v>
      </c>
      <c r="D165">
        <v>4.8350027708829328</v>
      </c>
      <c r="E165">
        <v>29</v>
      </c>
      <c r="F165">
        <v>5</v>
      </c>
      <c r="G165">
        <v>1.2</v>
      </c>
      <c r="H165">
        <v>29</v>
      </c>
      <c r="I165">
        <v>14</v>
      </c>
      <c r="J165">
        <v>0.3</v>
      </c>
      <c r="K165">
        <v>509262044.64486885</v>
      </c>
      <c r="L165">
        <v>54479600</v>
      </c>
      <c r="M165">
        <v>79696234.618806556</v>
      </c>
      <c r="N165">
        <v>71793700</v>
      </c>
      <c r="O165">
        <v>15896592.32</v>
      </c>
      <c r="P165">
        <v>209.771142</v>
      </c>
      <c r="Q165">
        <v>1.2837076208497362</v>
      </c>
      <c r="R165">
        <v>43.640624299999999</v>
      </c>
      <c r="S165">
        <v>780.65436499999998</v>
      </c>
      <c r="T165">
        <v>4.6654835500000002E-10</v>
      </c>
      <c r="U165">
        <v>19.36561609489096</v>
      </c>
      <c r="V165">
        <v>100.934</v>
      </c>
      <c r="W165">
        <v>-235.64941442257262</v>
      </c>
      <c r="X165">
        <v>62.795782899999999</v>
      </c>
      <c r="Y165">
        <v>92.619358700000006</v>
      </c>
      <c r="Z165">
        <v>203.285</v>
      </c>
      <c r="AA165">
        <v>235.50724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1.2837076208497362</v>
      </c>
    </row>
    <row r="166" spans="1:41" x14ac:dyDescent="0.3">
      <c r="A166">
        <v>910</v>
      </c>
      <c r="B166">
        <v>27</v>
      </c>
      <c r="C166">
        <v>10</v>
      </c>
      <c r="D166">
        <v>15</v>
      </c>
      <c r="E166">
        <v>22</v>
      </c>
      <c r="F166">
        <v>5</v>
      </c>
      <c r="G166">
        <v>1.2</v>
      </c>
      <c r="H166">
        <v>29</v>
      </c>
      <c r="I166">
        <v>7</v>
      </c>
      <c r="J166">
        <v>0.3</v>
      </c>
      <c r="K166">
        <v>510906186.50106889</v>
      </c>
      <c r="L166">
        <v>54483600</v>
      </c>
      <c r="M166">
        <v>79683155.466175169</v>
      </c>
      <c r="N166">
        <v>71432600</v>
      </c>
      <c r="O166">
        <v>15899088.48</v>
      </c>
      <c r="P166">
        <v>208.894541</v>
      </c>
      <c r="Q166">
        <v>1.3021528575851153</v>
      </c>
      <c r="R166">
        <v>43.6408919</v>
      </c>
      <c r="S166">
        <v>780.45174500000007</v>
      </c>
      <c r="T166">
        <v>5.0453000900000001E-10</v>
      </c>
      <c r="U166">
        <v>19.380208344456467</v>
      </c>
      <c r="V166">
        <v>100.934</v>
      </c>
      <c r="W166">
        <v>-236.45810625267504</v>
      </c>
      <c r="X166">
        <v>62.799041899999999</v>
      </c>
      <c r="Y166">
        <v>92.393169999999998</v>
      </c>
      <c r="Z166">
        <v>203.285</v>
      </c>
      <c r="AA166">
        <v>235.48481899999999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1.3021528575851153</v>
      </c>
    </row>
    <row r="167" spans="1:41" x14ac:dyDescent="0.3">
      <c r="A167">
        <v>910</v>
      </c>
      <c r="B167">
        <v>27</v>
      </c>
      <c r="C167">
        <v>10</v>
      </c>
      <c r="D167">
        <v>1</v>
      </c>
      <c r="E167">
        <v>23</v>
      </c>
      <c r="F167">
        <v>14</v>
      </c>
      <c r="G167">
        <v>1.2</v>
      </c>
      <c r="H167">
        <v>29</v>
      </c>
      <c r="I167">
        <v>14</v>
      </c>
      <c r="J167">
        <v>1.4</v>
      </c>
      <c r="K167">
        <v>508546551.76457453</v>
      </c>
      <c r="L167">
        <v>54422200</v>
      </c>
      <c r="M167">
        <v>79674145.738526225</v>
      </c>
      <c r="N167">
        <v>72196300</v>
      </c>
      <c r="O167">
        <v>15889449.6</v>
      </c>
      <c r="P167">
        <v>205.68305100000001</v>
      </c>
      <c r="Q167">
        <v>1.2969882527387955</v>
      </c>
      <c r="R167">
        <v>43.619975500000002</v>
      </c>
      <c r="S167">
        <v>781.18844899999999</v>
      </c>
      <c r="T167">
        <v>1.04953358E-13</v>
      </c>
      <c r="U167">
        <v>19.221222589281641</v>
      </c>
      <c r="V167">
        <v>80.72</v>
      </c>
      <c r="W167">
        <v>-148.72405245693537</v>
      </c>
      <c r="X167">
        <v>63.107041100000004</v>
      </c>
      <c r="Y167">
        <v>94.941511899999995</v>
      </c>
      <c r="Z167">
        <v>177.97</v>
      </c>
      <c r="AA167">
        <v>230.099773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1.2969882527387955</v>
      </c>
    </row>
    <row r="168" spans="1:41" x14ac:dyDescent="0.3">
      <c r="A168">
        <v>926.62329467708946</v>
      </c>
      <c r="B168">
        <v>39</v>
      </c>
      <c r="C168">
        <v>10</v>
      </c>
      <c r="D168">
        <v>15</v>
      </c>
      <c r="E168">
        <v>29</v>
      </c>
      <c r="F168">
        <v>5</v>
      </c>
      <c r="G168">
        <v>1.2</v>
      </c>
      <c r="H168">
        <v>29</v>
      </c>
      <c r="I168">
        <v>7</v>
      </c>
      <c r="J168">
        <v>0.3</v>
      </c>
      <c r="K168">
        <v>511469713.88107789</v>
      </c>
      <c r="L168">
        <v>54536800</v>
      </c>
      <c r="M168">
        <v>79699533.961599603</v>
      </c>
      <c r="N168">
        <v>71792800</v>
      </c>
      <c r="O168">
        <v>15892394.399999999</v>
      </c>
      <c r="P168">
        <v>209.80060499999999</v>
      </c>
      <c r="Q168">
        <v>1.2918931972623597</v>
      </c>
      <c r="R168">
        <v>43.643632799999999</v>
      </c>
      <c r="S168">
        <v>780.65596900000003</v>
      </c>
      <c r="T168">
        <v>4.6786817899999997E-10</v>
      </c>
      <c r="U168">
        <v>19.373722832263997</v>
      </c>
      <c r="V168">
        <v>100.934</v>
      </c>
      <c r="W168">
        <v>-236.67032475572196</v>
      </c>
      <c r="X168">
        <v>62.777624899999999</v>
      </c>
      <c r="Y168">
        <v>92.052761500000003</v>
      </c>
      <c r="Z168">
        <v>203.285</v>
      </c>
      <c r="AA168">
        <v>235.44031899999999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1.2918931972623597</v>
      </c>
    </row>
    <row r="169" spans="1:41" x14ac:dyDescent="0.3">
      <c r="A169">
        <v>933.84587682361155</v>
      </c>
      <c r="B169">
        <v>27</v>
      </c>
      <c r="C169">
        <v>10</v>
      </c>
      <c r="D169">
        <v>4.7964344705171582</v>
      </c>
      <c r="E169">
        <v>29</v>
      </c>
      <c r="F169">
        <v>14</v>
      </c>
      <c r="G169">
        <v>1.2</v>
      </c>
      <c r="H169">
        <v>29</v>
      </c>
      <c r="I169">
        <v>14</v>
      </c>
      <c r="J169">
        <v>0.3</v>
      </c>
      <c r="K169">
        <v>509500005.37721598</v>
      </c>
      <c r="L169">
        <v>54490900</v>
      </c>
      <c r="M169">
        <v>79706720.390964374</v>
      </c>
      <c r="N169">
        <v>71930500</v>
      </c>
      <c r="O169">
        <v>15888903.840000002</v>
      </c>
      <c r="P169">
        <v>210.232181</v>
      </c>
      <c r="Q169">
        <v>1.2790256632327268</v>
      </c>
      <c r="R169">
        <v>43.637181400000003</v>
      </c>
      <c r="S169">
        <v>781.37136599999997</v>
      </c>
      <c r="T169">
        <v>1.4124955000000001E-18</v>
      </c>
      <c r="U169">
        <v>19.200884311709586</v>
      </c>
      <c r="V169">
        <v>100.934</v>
      </c>
      <c r="W169">
        <v>-236.64573148025542</v>
      </c>
      <c r="X169">
        <v>62.784016000000001</v>
      </c>
      <c r="Y169">
        <v>92.617373200000003</v>
      </c>
      <c r="Z169">
        <v>203.285</v>
      </c>
      <c r="AA169">
        <v>235.28125399999999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1.2790256632327268</v>
      </c>
    </row>
    <row r="170" spans="1:41" x14ac:dyDescent="0.3">
      <c r="A170">
        <v>910</v>
      </c>
      <c r="B170">
        <v>27</v>
      </c>
      <c r="C170">
        <v>19</v>
      </c>
      <c r="D170">
        <v>15</v>
      </c>
      <c r="E170">
        <v>16</v>
      </c>
      <c r="F170">
        <v>14</v>
      </c>
      <c r="G170">
        <v>1.2</v>
      </c>
      <c r="H170">
        <v>15</v>
      </c>
      <c r="I170">
        <v>7</v>
      </c>
      <c r="J170">
        <v>0.75796364365995572</v>
      </c>
      <c r="K170">
        <v>510539093.41444623</v>
      </c>
      <c r="L170">
        <v>54438500</v>
      </c>
      <c r="M170">
        <v>79673745.548903838</v>
      </c>
      <c r="N170">
        <v>70071600</v>
      </c>
      <c r="O170">
        <v>15896752.08</v>
      </c>
      <c r="P170">
        <v>210.681096</v>
      </c>
      <c r="Q170">
        <v>1.3174995599722892</v>
      </c>
      <c r="R170">
        <v>43.496184599999999</v>
      </c>
      <c r="S170">
        <v>780.21609799999999</v>
      </c>
      <c r="T170">
        <v>1.77031001E-12</v>
      </c>
      <c r="U170">
        <v>18.73545981063846</v>
      </c>
      <c r="V170">
        <v>91.850000000000009</v>
      </c>
      <c r="W170">
        <v>-240.95637804866854</v>
      </c>
      <c r="X170">
        <v>62.867778199999997</v>
      </c>
      <c r="Y170">
        <v>92.455237499999996</v>
      </c>
      <c r="Z170">
        <v>121.52199999999999</v>
      </c>
      <c r="AA170">
        <v>230.40601000000001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1.3174995599722892</v>
      </c>
    </row>
    <row r="171" spans="1:41" x14ac:dyDescent="0.3">
      <c r="A171">
        <v>910</v>
      </c>
      <c r="B171">
        <v>39</v>
      </c>
      <c r="C171">
        <v>10</v>
      </c>
      <c r="D171">
        <v>1</v>
      </c>
      <c r="E171">
        <v>21</v>
      </c>
      <c r="F171">
        <v>5</v>
      </c>
      <c r="G171">
        <v>1.2</v>
      </c>
      <c r="H171">
        <v>22</v>
      </c>
      <c r="I171">
        <v>7</v>
      </c>
      <c r="J171">
        <v>1.4</v>
      </c>
      <c r="K171">
        <v>508721479.43307686</v>
      </c>
      <c r="L171">
        <v>54440100</v>
      </c>
      <c r="M171">
        <v>79674245.793173626</v>
      </c>
      <c r="N171">
        <v>72094500</v>
      </c>
      <c r="O171">
        <v>15889459.279999999</v>
      </c>
      <c r="P171">
        <v>206.780214</v>
      </c>
      <c r="Q171">
        <v>1.2932361509633157</v>
      </c>
      <c r="R171">
        <v>43.599769199999997</v>
      </c>
      <c r="S171">
        <v>780.88342899999998</v>
      </c>
      <c r="T171">
        <v>4.4629123900000001E-10</v>
      </c>
      <c r="U171">
        <v>19.309539801988546</v>
      </c>
      <c r="V171">
        <v>80.72</v>
      </c>
      <c r="W171">
        <v>-138.22951892870955</v>
      </c>
      <c r="X171">
        <v>63.115256199999997</v>
      </c>
      <c r="Y171">
        <v>94.874254199999996</v>
      </c>
      <c r="Z171">
        <v>180.98100000000002</v>
      </c>
      <c r="AA171">
        <v>231.07037099999999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1.2932361509633157</v>
      </c>
    </row>
    <row r="172" spans="1:41" x14ac:dyDescent="0.3">
      <c r="A172">
        <v>927.35869510653959</v>
      </c>
      <c r="B172">
        <v>27</v>
      </c>
      <c r="C172">
        <v>10</v>
      </c>
      <c r="D172">
        <v>15</v>
      </c>
      <c r="E172">
        <v>22</v>
      </c>
      <c r="F172">
        <v>5</v>
      </c>
      <c r="G172">
        <v>1.2</v>
      </c>
      <c r="H172">
        <v>29</v>
      </c>
      <c r="I172">
        <v>14</v>
      </c>
      <c r="J172">
        <v>1.4</v>
      </c>
      <c r="K172">
        <v>509333195.90066844</v>
      </c>
      <c r="L172">
        <v>54440100</v>
      </c>
      <c r="M172">
        <v>79674221.010575548</v>
      </c>
      <c r="N172">
        <v>72094500</v>
      </c>
      <c r="O172">
        <v>15892138.16</v>
      </c>
      <c r="P172">
        <v>210.702349</v>
      </c>
      <c r="Q172">
        <v>1.2711339772815993</v>
      </c>
      <c r="R172">
        <v>43.643614499999998</v>
      </c>
      <c r="S172">
        <v>780.28529100000003</v>
      </c>
      <c r="T172">
        <v>4.9901913800000001E-10</v>
      </c>
      <c r="U172">
        <v>19.325482332821238</v>
      </c>
      <c r="V172">
        <v>100.934</v>
      </c>
      <c r="W172">
        <v>-237.7639272432763</v>
      </c>
      <c r="X172">
        <v>62.840060899999997</v>
      </c>
      <c r="Y172">
        <v>92.419305399999999</v>
      </c>
      <c r="Z172">
        <v>203.285</v>
      </c>
      <c r="AA172">
        <v>230.56824</v>
      </c>
      <c r="AB172">
        <v>100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101.27113397728159</v>
      </c>
    </row>
    <row r="173" spans="1:41" x14ac:dyDescent="0.3">
      <c r="A173">
        <v>939.85780587522879</v>
      </c>
      <c r="B173">
        <v>27</v>
      </c>
      <c r="C173">
        <v>10</v>
      </c>
      <c r="D173">
        <v>13.640088465724064</v>
      </c>
      <c r="E173">
        <v>10</v>
      </c>
      <c r="F173">
        <v>8</v>
      </c>
      <c r="G173">
        <v>0.3</v>
      </c>
      <c r="H173">
        <v>29</v>
      </c>
      <c r="I173">
        <v>7</v>
      </c>
      <c r="J173">
        <v>0.3</v>
      </c>
      <c r="K173">
        <v>510669596.21097565</v>
      </c>
      <c r="L173">
        <v>54487500</v>
      </c>
      <c r="M173">
        <v>79707603.829924539</v>
      </c>
      <c r="N173">
        <v>68824400</v>
      </c>
      <c r="O173">
        <v>15895753.199999999</v>
      </c>
      <c r="P173">
        <v>213.60863900000001</v>
      </c>
      <c r="Q173">
        <v>1.3266444343421426</v>
      </c>
      <c r="R173">
        <v>43.3351994</v>
      </c>
      <c r="S173">
        <v>782.5565049999999</v>
      </c>
      <c r="T173">
        <v>8.3079517499999995E-11</v>
      </c>
      <c r="U173">
        <v>19.090535666386263</v>
      </c>
      <c r="V173">
        <v>100.934</v>
      </c>
      <c r="W173">
        <v>-241.17190938891747</v>
      </c>
      <c r="X173">
        <v>62.819934600000003</v>
      </c>
      <c r="Y173">
        <v>92.421414999999996</v>
      </c>
      <c r="Z173">
        <v>100.934</v>
      </c>
      <c r="AA173">
        <v>226.893203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1.3266444343421426</v>
      </c>
    </row>
    <row r="174" spans="1:41" x14ac:dyDescent="0.3">
      <c r="A174">
        <v>936.98637984286484</v>
      </c>
      <c r="B174">
        <v>30</v>
      </c>
      <c r="C174">
        <v>12</v>
      </c>
      <c r="D174">
        <v>10.642511739604478</v>
      </c>
      <c r="E174">
        <v>24</v>
      </c>
      <c r="F174">
        <v>14</v>
      </c>
      <c r="G174">
        <v>0.3</v>
      </c>
      <c r="H174">
        <v>23</v>
      </c>
      <c r="I174">
        <v>7</v>
      </c>
      <c r="J174">
        <v>0.3</v>
      </c>
      <c r="K174">
        <v>509896588.51348877</v>
      </c>
      <c r="L174">
        <v>54494700</v>
      </c>
      <c r="M174">
        <v>79712717.329066172</v>
      </c>
      <c r="N174">
        <v>72259900</v>
      </c>
      <c r="O174">
        <v>15894653.120000001</v>
      </c>
      <c r="P174">
        <v>210.61420899999999</v>
      </c>
      <c r="Q174">
        <v>1.2711595727612748</v>
      </c>
      <c r="R174">
        <v>43.650537999999997</v>
      </c>
      <c r="S174">
        <v>780.22977000000003</v>
      </c>
      <c r="T174">
        <v>1.9412216E-11</v>
      </c>
      <c r="U174">
        <v>19.740563046722308</v>
      </c>
      <c r="V174">
        <v>100.934</v>
      </c>
      <c r="W174">
        <v>-236.64462808312291</v>
      </c>
      <c r="X174">
        <v>62.760470599999998</v>
      </c>
      <c r="Y174">
        <v>92.331739400000004</v>
      </c>
      <c r="Z174">
        <v>177.97</v>
      </c>
      <c r="AA174">
        <v>235.71882199999999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1.2711595727612748</v>
      </c>
    </row>
    <row r="175" spans="1:41" x14ac:dyDescent="0.3">
      <c r="A175">
        <v>932.08191751690299</v>
      </c>
      <c r="B175">
        <v>39</v>
      </c>
      <c r="C175">
        <v>10</v>
      </c>
      <c r="D175">
        <v>1</v>
      </c>
      <c r="E175">
        <v>29</v>
      </c>
      <c r="F175">
        <v>14</v>
      </c>
      <c r="G175">
        <v>0.3</v>
      </c>
      <c r="H175">
        <v>29</v>
      </c>
      <c r="I175">
        <v>14</v>
      </c>
      <c r="J175">
        <v>0.3</v>
      </c>
      <c r="K175">
        <v>508825759.68433809</v>
      </c>
      <c r="L175">
        <v>54491700</v>
      </c>
      <c r="M175">
        <v>79704723.338842615</v>
      </c>
      <c r="N175">
        <v>72859000</v>
      </c>
      <c r="O175">
        <v>15886800.960000001</v>
      </c>
      <c r="P175">
        <v>207.71833000000001</v>
      </c>
      <c r="Q175">
        <v>1.2725860823904387</v>
      </c>
      <c r="R175">
        <v>43.5971908</v>
      </c>
      <c r="S175">
        <v>780.57622400000002</v>
      </c>
      <c r="T175">
        <v>2.09070982E-16</v>
      </c>
      <c r="U175">
        <v>19.592744689632003</v>
      </c>
      <c r="V175">
        <v>80.72</v>
      </c>
      <c r="W175">
        <v>-138.01896601280592</v>
      </c>
      <c r="X175">
        <v>63.028585700000001</v>
      </c>
      <c r="Y175">
        <v>94.825160499999996</v>
      </c>
      <c r="Z175">
        <v>177.97</v>
      </c>
      <c r="AA175">
        <v>235.47883999999999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1.2725860823904387</v>
      </c>
    </row>
    <row r="176" spans="1:41" x14ac:dyDescent="0.3">
      <c r="A176">
        <v>939.80736361309755</v>
      </c>
      <c r="B176">
        <v>27</v>
      </c>
      <c r="C176">
        <v>15</v>
      </c>
      <c r="D176">
        <v>14.963936108564376</v>
      </c>
      <c r="E176">
        <v>10</v>
      </c>
      <c r="F176">
        <v>8</v>
      </c>
      <c r="G176">
        <v>1.1532955433868632</v>
      </c>
      <c r="H176">
        <v>24</v>
      </c>
      <c r="I176">
        <v>13</v>
      </c>
      <c r="J176">
        <v>0.33736480722851292</v>
      </c>
      <c r="K176">
        <v>510654021.33366811</v>
      </c>
      <c r="L176">
        <v>54486000</v>
      </c>
      <c r="M176">
        <v>79706902.745604992</v>
      </c>
      <c r="N176">
        <v>70859700</v>
      </c>
      <c r="O176">
        <v>15896027.92</v>
      </c>
      <c r="P176">
        <v>212.63480000000001</v>
      </c>
      <c r="Q176">
        <v>1.2903861928074192</v>
      </c>
      <c r="R176">
        <v>43.493401499999997</v>
      </c>
      <c r="S176">
        <v>780.32859799999994</v>
      </c>
      <c r="T176">
        <v>2.1324904099999998E-12</v>
      </c>
      <c r="U176">
        <v>18.918510079745214</v>
      </c>
      <c r="V176">
        <v>100.934</v>
      </c>
      <c r="W176">
        <v>-240.55365224233776</v>
      </c>
      <c r="X176">
        <v>62.823636299999997</v>
      </c>
      <c r="Y176">
        <v>92.414795499999997</v>
      </c>
      <c r="Z176">
        <v>121.52199999999999</v>
      </c>
      <c r="AA176">
        <v>232.11125200000001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1.2903861928074192</v>
      </c>
    </row>
    <row r="177" spans="1:41" x14ac:dyDescent="0.3">
      <c r="A177">
        <v>937.07423598624234</v>
      </c>
      <c r="B177">
        <v>39</v>
      </c>
      <c r="C177">
        <v>19</v>
      </c>
      <c r="D177">
        <v>15</v>
      </c>
      <c r="E177">
        <v>29</v>
      </c>
      <c r="F177">
        <v>14</v>
      </c>
      <c r="G177">
        <v>0.3</v>
      </c>
      <c r="H177">
        <v>18</v>
      </c>
      <c r="I177">
        <v>14</v>
      </c>
      <c r="J177">
        <v>0.3</v>
      </c>
      <c r="K177">
        <v>511014433.49550331</v>
      </c>
      <c r="L177">
        <v>54536800</v>
      </c>
      <c r="M177">
        <v>79715119.60186407</v>
      </c>
      <c r="N177">
        <v>72439000</v>
      </c>
      <c r="O177">
        <v>15897827.119999999</v>
      </c>
      <c r="P177">
        <v>210.706368</v>
      </c>
      <c r="Q177">
        <v>1.2713348941625295</v>
      </c>
      <c r="R177">
        <v>43.659751800000002</v>
      </c>
      <c r="S177">
        <v>780.16190399999994</v>
      </c>
      <c r="T177">
        <v>1.8821905100000001E-11</v>
      </c>
      <c r="U177">
        <v>19.728409860402682</v>
      </c>
      <c r="V177">
        <v>100.934</v>
      </c>
      <c r="W177">
        <v>-236.53054329510641</v>
      </c>
      <c r="X177">
        <v>62.770067900000001</v>
      </c>
      <c r="Y177">
        <v>92.040751099999994</v>
      </c>
      <c r="Z177">
        <v>180.98100000000002</v>
      </c>
      <c r="AA177">
        <v>235.805959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1.2713348941625295</v>
      </c>
    </row>
    <row r="178" spans="1:41" x14ac:dyDescent="0.3">
      <c r="A178">
        <v>910</v>
      </c>
      <c r="B178">
        <v>27</v>
      </c>
      <c r="C178">
        <v>19</v>
      </c>
      <c r="D178">
        <v>15</v>
      </c>
      <c r="E178">
        <v>29</v>
      </c>
      <c r="F178">
        <v>5</v>
      </c>
      <c r="G178">
        <v>0.3</v>
      </c>
      <c r="H178">
        <v>21</v>
      </c>
      <c r="I178">
        <v>7</v>
      </c>
      <c r="J178">
        <v>0.3</v>
      </c>
      <c r="K178">
        <v>510491826.6365183</v>
      </c>
      <c r="L178">
        <v>54467200</v>
      </c>
      <c r="M178">
        <v>79683555.7856365</v>
      </c>
      <c r="N178">
        <v>71678900</v>
      </c>
      <c r="O178">
        <v>15899161.359999999</v>
      </c>
      <c r="P178">
        <v>208.709102</v>
      </c>
      <c r="Q178">
        <v>1.2964057787162935</v>
      </c>
      <c r="R178">
        <v>43.667835799999999</v>
      </c>
      <c r="S178">
        <v>780.45756600000004</v>
      </c>
      <c r="T178">
        <v>4.7393110799999997E-9</v>
      </c>
      <c r="U178">
        <v>19.889543455103055</v>
      </c>
      <c r="V178">
        <v>91.850000000000009</v>
      </c>
      <c r="W178">
        <v>-236.81631150264209</v>
      </c>
      <c r="X178">
        <v>62.796232600000003</v>
      </c>
      <c r="Y178">
        <v>92.416038599999993</v>
      </c>
      <c r="Z178">
        <v>180.98100000000002</v>
      </c>
      <c r="AA178">
        <v>235.70827199999999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1.2964057787162935</v>
      </c>
    </row>
    <row r="179" spans="1:41" x14ac:dyDescent="0.3">
      <c r="A179">
        <v>939.29214336681719</v>
      </c>
      <c r="B179">
        <v>35</v>
      </c>
      <c r="C179">
        <v>10</v>
      </c>
      <c r="D179">
        <v>15</v>
      </c>
      <c r="E179">
        <v>10</v>
      </c>
      <c r="F179">
        <v>5</v>
      </c>
      <c r="G179">
        <v>0.3</v>
      </c>
      <c r="H179">
        <v>29</v>
      </c>
      <c r="I179">
        <v>14</v>
      </c>
      <c r="J179">
        <v>0.3</v>
      </c>
      <c r="K179">
        <v>511031190.84741843</v>
      </c>
      <c r="L179">
        <v>54525700</v>
      </c>
      <c r="M179">
        <v>79710307.999562621</v>
      </c>
      <c r="N179">
        <v>71031300</v>
      </c>
      <c r="O179">
        <v>15896813.6</v>
      </c>
      <c r="P179">
        <v>211.88649699999999</v>
      </c>
      <c r="Q179">
        <v>1.2934038074245289</v>
      </c>
      <c r="R179">
        <v>43.521633199999997</v>
      </c>
      <c r="S179">
        <v>780.80118800000002</v>
      </c>
      <c r="T179">
        <v>6.8158252900000003E-9</v>
      </c>
      <c r="U179">
        <v>19.614984534254624</v>
      </c>
      <c r="V179">
        <v>100.934</v>
      </c>
      <c r="W179">
        <v>-241.86071944779783</v>
      </c>
      <c r="X179">
        <v>62.792937199999997</v>
      </c>
      <c r="Y179">
        <v>92.1709022</v>
      </c>
      <c r="Z179">
        <v>144.29</v>
      </c>
      <c r="AA179">
        <v>232.75156699999999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1.2934038074245289</v>
      </c>
    </row>
    <row r="180" spans="1:41" x14ac:dyDescent="0.3">
      <c r="A180">
        <v>910</v>
      </c>
      <c r="B180">
        <v>27</v>
      </c>
      <c r="C180">
        <v>19</v>
      </c>
      <c r="D180">
        <v>1</v>
      </c>
      <c r="E180">
        <v>29</v>
      </c>
      <c r="F180">
        <v>5</v>
      </c>
      <c r="G180">
        <v>0.3</v>
      </c>
      <c r="H180">
        <v>29</v>
      </c>
      <c r="I180">
        <v>14</v>
      </c>
      <c r="J180">
        <v>0.3</v>
      </c>
      <c r="K180">
        <v>508302993.46375227</v>
      </c>
      <c r="L180">
        <v>54429600</v>
      </c>
      <c r="M180">
        <v>79679952.008596882</v>
      </c>
      <c r="N180">
        <v>73097400</v>
      </c>
      <c r="O180">
        <v>15890977.6</v>
      </c>
      <c r="P180">
        <v>203.03578099999999</v>
      </c>
      <c r="Q180">
        <v>1.2936540674904768</v>
      </c>
      <c r="R180">
        <v>43.6761543</v>
      </c>
      <c r="S180">
        <v>779.96479799999997</v>
      </c>
      <c r="T180">
        <v>5.5132826500000002E-9</v>
      </c>
      <c r="U180">
        <v>20.238121751602637</v>
      </c>
      <c r="V180">
        <v>68.709999999999994</v>
      </c>
      <c r="W180">
        <v>-167.88422203653013</v>
      </c>
      <c r="X180">
        <v>63.0728844</v>
      </c>
      <c r="Y180">
        <v>95.077944700000003</v>
      </c>
      <c r="Z180">
        <v>177.97</v>
      </c>
      <c r="AA180">
        <v>234.106762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1.2936540674904768</v>
      </c>
    </row>
    <row r="181" spans="1:41" x14ac:dyDescent="0.3">
      <c r="A181">
        <v>910</v>
      </c>
      <c r="B181">
        <v>27</v>
      </c>
      <c r="C181">
        <v>10</v>
      </c>
      <c r="D181">
        <v>7.4968212815920836</v>
      </c>
      <c r="E181">
        <v>16</v>
      </c>
      <c r="F181">
        <v>14</v>
      </c>
      <c r="G181">
        <v>1.2</v>
      </c>
      <c r="H181">
        <v>22</v>
      </c>
      <c r="I181">
        <v>7</v>
      </c>
      <c r="J181">
        <v>0.3</v>
      </c>
      <c r="K181">
        <v>509330346.36055565</v>
      </c>
      <c r="L181">
        <v>54424800</v>
      </c>
      <c r="M181">
        <v>79679351.651745215</v>
      </c>
      <c r="N181">
        <v>70128000</v>
      </c>
      <c r="O181">
        <v>15894321.760000002</v>
      </c>
      <c r="P181">
        <v>210.27047400000001</v>
      </c>
      <c r="Q181">
        <v>1.3146983340490659</v>
      </c>
      <c r="R181">
        <v>43.491675299999997</v>
      </c>
      <c r="S181">
        <v>780.37587799999994</v>
      </c>
      <c r="T181">
        <v>1.27427103E-17</v>
      </c>
      <c r="U181">
        <v>18.772646807800498</v>
      </c>
      <c r="V181">
        <v>100.934</v>
      </c>
      <c r="W181">
        <v>-238.79698383340886</v>
      </c>
      <c r="X181">
        <v>62.8256449</v>
      </c>
      <c r="Y181">
        <v>92.515687799999995</v>
      </c>
      <c r="Z181">
        <v>121.52199999999999</v>
      </c>
      <c r="AA181">
        <v>232.847804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1.3146983340490659</v>
      </c>
    </row>
    <row r="182" spans="1:41" x14ac:dyDescent="0.3">
      <c r="A182">
        <v>919.50644607101606</v>
      </c>
      <c r="B182">
        <v>33</v>
      </c>
      <c r="C182">
        <v>10</v>
      </c>
      <c r="D182">
        <v>9.9428321078127215</v>
      </c>
      <c r="E182">
        <v>16</v>
      </c>
      <c r="F182">
        <v>14</v>
      </c>
      <c r="G182">
        <v>0.75439741413851724</v>
      </c>
      <c r="H182">
        <v>19</v>
      </c>
      <c r="I182">
        <v>7</v>
      </c>
      <c r="J182">
        <v>1.1740500834024172</v>
      </c>
      <c r="K182">
        <v>510159444.58879673</v>
      </c>
      <c r="L182">
        <v>54452500</v>
      </c>
      <c r="M182">
        <v>79684630.641256168</v>
      </c>
      <c r="N182">
        <v>69673500</v>
      </c>
      <c r="O182">
        <v>15896441.68</v>
      </c>
      <c r="P182">
        <v>211.97956600000001</v>
      </c>
      <c r="Q182">
        <v>1.3167951975460872</v>
      </c>
      <c r="R182">
        <v>43.429268100000002</v>
      </c>
      <c r="S182">
        <v>780.04585800000007</v>
      </c>
      <c r="T182">
        <v>3.5708819199999998E-17</v>
      </c>
      <c r="U182">
        <v>18.593516004298699</v>
      </c>
      <c r="V182">
        <v>100.934</v>
      </c>
      <c r="W182">
        <v>-239.92018489290487</v>
      </c>
      <c r="X182">
        <v>62.852012500000001</v>
      </c>
      <c r="Y182">
        <v>92.324039099999993</v>
      </c>
      <c r="Z182">
        <v>100.934</v>
      </c>
      <c r="AA182">
        <v>229.17744400000001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1.3167951975460872</v>
      </c>
    </row>
    <row r="183" spans="1:41" x14ac:dyDescent="0.3">
      <c r="A183">
        <v>910</v>
      </c>
      <c r="B183">
        <v>39</v>
      </c>
      <c r="C183">
        <v>19</v>
      </c>
      <c r="D183">
        <v>15</v>
      </c>
      <c r="E183">
        <v>24</v>
      </c>
      <c r="F183">
        <v>14</v>
      </c>
      <c r="G183">
        <v>1.2</v>
      </c>
      <c r="H183">
        <v>29</v>
      </c>
      <c r="I183">
        <v>7</v>
      </c>
      <c r="J183">
        <v>1.4</v>
      </c>
      <c r="K183">
        <v>511489248.37444437</v>
      </c>
      <c r="L183">
        <v>54509500</v>
      </c>
      <c r="M183">
        <v>79674245.771396846</v>
      </c>
      <c r="N183">
        <v>71227800</v>
      </c>
      <c r="O183">
        <v>15896740.959999999</v>
      </c>
      <c r="P183">
        <v>209.446507</v>
      </c>
      <c r="Q183">
        <v>1.3054733178931242</v>
      </c>
      <c r="R183">
        <v>43.638928200000002</v>
      </c>
      <c r="S183">
        <v>780.79505000000006</v>
      </c>
      <c r="T183">
        <v>2.3249731000000001E-18</v>
      </c>
      <c r="U183">
        <v>19.139048604974999</v>
      </c>
      <c r="V183">
        <v>100.934</v>
      </c>
      <c r="W183">
        <v>-238.86751779281406</v>
      </c>
      <c r="X183">
        <v>62.863774800000002</v>
      </c>
      <c r="Y183">
        <v>92.088161900000003</v>
      </c>
      <c r="Z183">
        <v>180.98100000000002</v>
      </c>
      <c r="AA183">
        <v>230.922755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1.3054733178931242</v>
      </c>
    </row>
    <row r="184" spans="1:41" x14ac:dyDescent="0.3">
      <c r="A184">
        <v>919.14404960768047</v>
      </c>
      <c r="B184">
        <v>27</v>
      </c>
      <c r="C184">
        <v>10</v>
      </c>
      <c r="D184">
        <v>1</v>
      </c>
      <c r="E184">
        <v>29</v>
      </c>
      <c r="F184">
        <v>12</v>
      </c>
      <c r="G184">
        <v>1.2</v>
      </c>
      <c r="H184">
        <v>26</v>
      </c>
      <c r="I184">
        <v>14</v>
      </c>
      <c r="J184">
        <v>0.3</v>
      </c>
      <c r="K184">
        <v>508659605.64433718</v>
      </c>
      <c r="L184">
        <v>54441100</v>
      </c>
      <c r="M184">
        <v>79691438.694352478</v>
      </c>
      <c r="N184">
        <v>72614400</v>
      </c>
      <c r="O184">
        <v>15893429.6</v>
      </c>
      <c r="P184">
        <v>205.72594000000001</v>
      </c>
      <c r="Q184">
        <v>1.2885251289705801</v>
      </c>
      <c r="R184">
        <v>43.625748199999997</v>
      </c>
      <c r="S184">
        <v>781.55869600000005</v>
      </c>
      <c r="T184">
        <v>1.068223E-13</v>
      </c>
      <c r="U184">
        <v>19.282801288538632</v>
      </c>
      <c r="V184">
        <v>80.72</v>
      </c>
      <c r="W184">
        <v>-148.47195164185055</v>
      </c>
      <c r="X184">
        <v>63.0417761</v>
      </c>
      <c r="Y184">
        <v>94.904259499999995</v>
      </c>
      <c r="Z184">
        <v>203.285</v>
      </c>
      <c r="AA184">
        <v>234.73257899999999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1.2885251289705801</v>
      </c>
    </row>
    <row r="185" spans="1:41" x14ac:dyDescent="0.3">
      <c r="A185">
        <v>910</v>
      </c>
      <c r="B185">
        <v>38</v>
      </c>
      <c r="C185">
        <v>16</v>
      </c>
      <c r="D185">
        <v>15</v>
      </c>
      <c r="E185">
        <v>10</v>
      </c>
      <c r="F185">
        <v>8</v>
      </c>
      <c r="G185">
        <v>0.3</v>
      </c>
      <c r="H185">
        <v>22</v>
      </c>
      <c r="I185">
        <v>14</v>
      </c>
      <c r="J185">
        <v>0.3</v>
      </c>
      <c r="K185">
        <v>510862972.53213578</v>
      </c>
      <c r="L185">
        <v>54457200</v>
      </c>
      <c r="M185">
        <v>79673045.300730661</v>
      </c>
      <c r="N185">
        <v>68237700</v>
      </c>
      <c r="O185">
        <v>15897253.360000001</v>
      </c>
      <c r="P185">
        <v>212.26828900000001</v>
      </c>
      <c r="Q185">
        <v>1.3472107728484892</v>
      </c>
      <c r="R185">
        <v>43.341455699999997</v>
      </c>
      <c r="S185">
        <v>782.30127699999991</v>
      </c>
      <c r="T185">
        <v>8.3282110899999996E-11</v>
      </c>
      <c r="U185">
        <v>19.028548354043672</v>
      </c>
      <c r="V185">
        <v>100.934</v>
      </c>
      <c r="W185">
        <v>-242.29109162676124</v>
      </c>
      <c r="X185">
        <v>62.919202599999998</v>
      </c>
      <c r="Y185">
        <v>92.142246</v>
      </c>
      <c r="Z185">
        <v>100.934</v>
      </c>
      <c r="AA185">
        <v>227.86514399999999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1.3472107728484892</v>
      </c>
    </row>
    <row r="186" spans="1:41" x14ac:dyDescent="0.3">
      <c r="A186">
        <v>942.22033654417169</v>
      </c>
      <c r="B186">
        <v>39</v>
      </c>
      <c r="C186">
        <v>10</v>
      </c>
      <c r="D186">
        <v>15</v>
      </c>
      <c r="E186">
        <v>29</v>
      </c>
      <c r="F186">
        <v>14</v>
      </c>
      <c r="G186">
        <v>1.2</v>
      </c>
      <c r="H186">
        <v>29</v>
      </c>
      <c r="I186">
        <v>14</v>
      </c>
      <c r="J186">
        <v>0.3</v>
      </c>
      <c r="K186">
        <v>511993201.8328619</v>
      </c>
      <c r="L186">
        <v>54567800</v>
      </c>
      <c r="M186">
        <v>79717506.468202636</v>
      </c>
      <c r="N186">
        <v>72204900</v>
      </c>
      <c r="O186">
        <v>15898546.959999999</v>
      </c>
      <c r="P186">
        <v>210.99495999999999</v>
      </c>
      <c r="Q186">
        <v>1.2782913945208019</v>
      </c>
      <c r="R186">
        <v>43.640207699999998</v>
      </c>
      <c r="S186">
        <v>780.96754799999997</v>
      </c>
      <c r="T186">
        <v>5.1567665599999998E-13</v>
      </c>
      <c r="U186">
        <v>19.24719140952249</v>
      </c>
      <c r="V186">
        <v>100.934</v>
      </c>
      <c r="W186">
        <v>-237.47968768829787</v>
      </c>
      <c r="X186">
        <v>62.765805899999997</v>
      </c>
      <c r="Y186">
        <v>92.0504696</v>
      </c>
      <c r="Z186">
        <v>203.285</v>
      </c>
      <c r="AA186">
        <v>235.391583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1.2782913945208019</v>
      </c>
    </row>
    <row r="187" spans="1:41" x14ac:dyDescent="0.3">
      <c r="A187">
        <v>910</v>
      </c>
      <c r="B187">
        <v>27</v>
      </c>
      <c r="C187">
        <v>19</v>
      </c>
      <c r="D187">
        <v>1</v>
      </c>
      <c r="E187">
        <v>19</v>
      </c>
      <c r="F187">
        <v>14</v>
      </c>
      <c r="G187">
        <v>1.2</v>
      </c>
      <c r="H187">
        <v>10</v>
      </c>
      <c r="I187">
        <v>7</v>
      </c>
      <c r="J187">
        <v>1.4</v>
      </c>
      <c r="K187">
        <v>508036564.37178659</v>
      </c>
      <c r="L187">
        <v>54386800</v>
      </c>
      <c r="M187">
        <v>79674045.733390197</v>
      </c>
      <c r="N187">
        <v>72672500</v>
      </c>
      <c r="O187">
        <v>15889597.040000001</v>
      </c>
      <c r="P187">
        <v>203.67591999999999</v>
      </c>
      <c r="Q187">
        <v>1.2969815809702987</v>
      </c>
      <c r="R187">
        <v>43.643513599999999</v>
      </c>
      <c r="S187">
        <v>780.35279100000002</v>
      </c>
      <c r="T187">
        <v>2.2548592700000001E-9</v>
      </c>
      <c r="U187">
        <v>19.582880973098263</v>
      </c>
      <c r="V187">
        <v>68.709999999999994</v>
      </c>
      <c r="W187">
        <v>-169.61000159476225</v>
      </c>
      <c r="X187">
        <v>63.134534199999997</v>
      </c>
      <c r="Y187">
        <v>95.113934499999999</v>
      </c>
      <c r="Z187">
        <v>144.29</v>
      </c>
      <c r="AA187">
        <v>231.488868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1.2969815809702987</v>
      </c>
    </row>
    <row r="188" spans="1:41" x14ac:dyDescent="0.3">
      <c r="A188">
        <v>937.65459591877482</v>
      </c>
      <c r="B188">
        <v>27</v>
      </c>
      <c r="C188">
        <v>18</v>
      </c>
      <c r="D188">
        <v>1.1397153283167436</v>
      </c>
      <c r="E188">
        <v>15</v>
      </c>
      <c r="F188">
        <v>13</v>
      </c>
      <c r="G188">
        <v>1.1535921631825261</v>
      </c>
      <c r="H188">
        <v>10</v>
      </c>
      <c r="I188">
        <v>7</v>
      </c>
      <c r="J188">
        <v>1.1976698083216941</v>
      </c>
      <c r="K188">
        <v>508064399.55754387</v>
      </c>
      <c r="L188">
        <v>54418900</v>
      </c>
      <c r="M188">
        <v>79703705.946586996</v>
      </c>
      <c r="N188">
        <v>71651800</v>
      </c>
      <c r="O188">
        <v>15887768.959999999</v>
      </c>
      <c r="P188">
        <v>208.878197</v>
      </c>
      <c r="Q188">
        <v>1.2870191069916614</v>
      </c>
      <c r="R188">
        <v>43.485946800000001</v>
      </c>
      <c r="S188">
        <v>780.25561800000003</v>
      </c>
      <c r="T188">
        <v>3.7476869400000002E-10</v>
      </c>
      <c r="U188">
        <v>18.9826132355563</v>
      </c>
      <c r="V188">
        <v>68.709999999999994</v>
      </c>
      <c r="W188">
        <v>-184.82628635820438</v>
      </c>
      <c r="X188">
        <v>63.030351000000003</v>
      </c>
      <c r="Y188">
        <v>94.614671200000004</v>
      </c>
      <c r="Z188">
        <v>100.934</v>
      </c>
      <c r="AA188">
        <v>230.21588499999999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1.2870191069916614</v>
      </c>
    </row>
    <row r="189" spans="1:41" x14ac:dyDescent="0.3">
      <c r="A189">
        <v>923.97072695401789</v>
      </c>
      <c r="B189">
        <v>39</v>
      </c>
      <c r="C189">
        <v>10</v>
      </c>
      <c r="D189">
        <v>1</v>
      </c>
      <c r="E189">
        <v>29</v>
      </c>
      <c r="F189">
        <v>5</v>
      </c>
      <c r="G189">
        <v>0.3</v>
      </c>
      <c r="H189">
        <v>29</v>
      </c>
      <c r="I189">
        <v>14</v>
      </c>
      <c r="J189">
        <v>0.3</v>
      </c>
      <c r="K189">
        <v>508791661.50845861</v>
      </c>
      <c r="L189">
        <v>54486300</v>
      </c>
      <c r="M189">
        <v>79699833.549278781</v>
      </c>
      <c r="N189">
        <v>72788700</v>
      </c>
      <c r="O189">
        <v>15895326.4</v>
      </c>
      <c r="P189">
        <v>206.96901299999999</v>
      </c>
      <c r="Q189">
        <v>1.2784657711014338</v>
      </c>
      <c r="R189">
        <v>43.621116200000003</v>
      </c>
      <c r="S189">
        <v>781.075964</v>
      </c>
      <c r="T189">
        <v>4.0556687100000002E-9</v>
      </c>
      <c r="U189">
        <v>19.844812347010155</v>
      </c>
      <c r="V189">
        <v>80.72</v>
      </c>
      <c r="W189">
        <v>-136.95845403098647</v>
      </c>
      <c r="X189">
        <v>63.023513899999998</v>
      </c>
      <c r="Y189">
        <v>94.821903399999997</v>
      </c>
      <c r="Z189">
        <v>180.98100000000002</v>
      </c>
      <c r="AA189">
        <v>235.36127200000001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1.2784657711014338</v>
      </c>
    </row>
    <row r="190" spans="1:41" x14ac:dyDescent="0.3">
      <c r="A190">
        <v>942.53457525282602</v>
      </c>
      <c r="B190">
        <v>36</v>
      </c>
      <c r="C190">
        <v>10</v>
      </c>
      <c r="D190">
        <v>7.4513382594136379</v>
      </c>
      <c r="E190">
        <v>18</v>
      </c>
      <c r="F190">
        <v>14</v>
      </c>
      <c r="G190">
        <v>1.2</v>
      </c>
      <c r="H190">
        <v>29</v>
      </c>
      <c r="I190">
        <v>14</v>
      </c>
      <c r="J190">
        <v>0.3</v>
      </c>
      <c r="K190">
        <v>510301988.40000886</v>
      </c>
      <c r="L190">
        <v>54529900</v>
      </c>
      <c r="M190">
        <v>79716804.826109752</v>
      </c>
      <c r="N190">
        <v>71855400</v>
      </c>
      <c r="O190">
        <v>15894489.439999999</v>
      </c>
      <c r="P190">
        <v>211.553539</v>
      </c>
      <c r="Q190">
        <v>1.2759912339887882</v>
      </c>
      <c r="R190">
        <v>43.5856931</v>
      </c>
      <c r="S190">
        <v>780.45567699999992</v>
      </c>
      <c r="T190">
        <v>5.93671061E-18</v>
      </c>
      <c r="U190">
        <v>19.092744637877495</v>
      </c>
      <c r="V190">
        <v>100.934</v>
      </c>
      <c r="W190">
        <v>-238.4205827322231</v>
      </c>
      <c r="X190">
        <v>62.7740692</v>
      </c>
      <c r="Y190">
        <v>92.2925003</v>
      </c>
      <c r="Z190">
        <v>144.29</v>
      </c>
      <c r="AA190">
        <v>234.78106299999999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1.2759912339887882</v>
      </c>
    </row>
    <row r="191" spans="1:41" x14ac:dyDescent="0.3">
      <c r="A191">
        <v>911.78324328081374</v>
      </c>
      <c r="B191">
        <v>27</v>
      </c>
      <c r="C191">
        <v>10</v>
      </c>
      <c r="D191">
        <v>10.844069453179175</v>
      </c>
      <c r="E191">
        <v>29</v>
      </c>
      <c r="F191">
        <v>5</v>
      </c>
      <c r="G191">
        <v>0.3</v>
      </c>
      <c r="H191">
        <v>29</v>
      </c>
      <c r="I191">
        <v>7</v>
      </c>
      <c r="J191">
        <v>0.3</v>
      </c>
      <c r="K191">
        <v>509297773.55506116</v>
      </c>
      <c r="L191">
        <v>54529900</v>
      </c>
      <c r="M191">
        <v>79716850.77430512</v>
      </c>
      <c r="N191">
        <v>71855400</v>
      </c>
      <c r="O191">
        <v>15900460.24</v>
      </c>
      <c r="P191">
        <v>209.02194299999999</v>
      </c>
      <c r="Q191">
        <v>1.2881841065395585</v>
      </c>
      <c r="R191">
        <v>43.666052399999998</v>
      </c>
      <c r="S191">
        <v>780.49294199999997</v>
      </c>
      <c r="T191">
        <v>4.7468950800000002E-9</v>
      </c>
      <c r="U191">
        <v>19.889745444767108</v>
      </c>
      <c r="V191">
        <v>100.934</v>
      </c>
      <c r="W191">
        <v>-235.76440362031707</v>
      </c>
      <c r="X191">
        <v>62.791680999999997</v>
      </c>
      <c r="Y191">
        <v>92.431250899999995</v>
      </c>
      <c r="Z191">
        <v>180.98100000000002</v>
      </c>
      <c r="AA191">
        <v>235.66555600000001</v>
      </c>
      <c r="AB191">
        <v>100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101.28818410653956</v>
      </c>
    </row>
    <row r="192" spans="1:41" x14ac:dyDescent="0.3">
      <c r="A192">
        <v>930</v>
      </c>
      <c r="B192">
        <v>30</v>
      </c>
      <c r="C192">
        <v>18</v>
      </c>
      <c r="D192">
        <v>2.95</v>
      </c>
      <c r="E192">
        <v>20</v>
      </c>
      <c r="F192">
        <v>12</v>
      </c>
      <c r="G192">
        <v>0.56747999999999998</v>
      </c>
      <c r="H192">
        <v>20</v>
      </c>
      <c r="I192">
        <v>12</v>
      </c>
      <c r="J192">
        <v>1.4</v>
      </c>
      <c r="K192">
        <v>508751448.06003988</v>
      </c>
      <c r="L192">
        <v>54426600</v>
      </c>
      <c r="M192">
        <v>79694718.81851612</v>
      </c>
      <c r="N192">
        <v>71679900</v>
      </c>
      <c r="O192">
        <v>15885036.560000001</v>
      </c>
      <c r="P192">
        <v>211.03787399999999</v>
      </c>
      <c r="Q192">
        <v>1.2756316168193522</v>
      </c>
      <c r="R192">
        <v>43.610077099999998</v>
      </c>
      <c r="S192">
        <v>779.51589200000001</v>
      </c>
      <c r="T192">
        <v>1.44724855E-13</v>
      </c>
      <c r="U192">
        <v>19.210471062566434</v>
      </c>
      <c r="V192">
        <v>91.850000000000009</v>
      </c>
      <c r="W192">
        <v>-240.12790090390695</v>
      </c>
      <c r="X192">
        <v>62.839121200000001</v>
      </c>
      <c r="Y192">
        <v>92.781455100000002</v>
      </c>
      <c r="Z192">
        <v>165.7</v>
      </c>
      <c r="AA192">
        <v>231.159291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1.2756316168193522</v>
      </c>
    </row>
    <row r="193" spans="1:41" x14ac:dyDescent="0.3">
      <c r="A193">
        <v>948.79017064651748</v>
      </c>
      <c r="B193">
        <v>27</v>
      </c>
      <c r="C193">
        <v>10</v>
      </c>
      <c r="D193">
        <v>15</v>
      </c>
      <c r="E193">
        <v>29</v>
      </c>
      <c r="F193">
        <v>5</v>
      </c>
      <c r="G193">
        <v>1.2</v>
      </c>
      <c r="H193">
        <v>18</v>
      </c>
      <c r="I193">
        <v>14</v>
      </c>
      <c r="J193">
        <v>0.3</v>
      </c>
      <c r="K193">
        <v>511374866.29047167</v>
      </c>
      <c r="L193">
        <v>54527500</v>
      </c>
      <c r="M193">
        <v>79729498.659170672</v>
      </c>
      <c r="N193">
        <v>72563600</v>
      </c>
      <c r="O193">
        <v>15904170</v>
      </c>
      <c r="P193">
        <v>211.61890500000001</v>
      </c>
      <c r="Q193">
        <v>1.2642157821553117</v>
      </c>
      <c r="R193">
        <v>43.642252999999997</v>
      </c>
      <c r="S193">
        <v>780.66396499999996</v>
      </c>
      <c r="T193">
        <v>4.6316304400000001E-10</v>
      </c>
      <c r="U193">
        <v>19.365142159012379</v>
      </c>
      <c r="V193">
        <v>100.934</v>
      </c>
      <c r="W193">
        <v>-237.25087127232274</v>
      </c>
      <c r="X193">
        <v>62.762459399999997</v>
      </c>
      <c r="Y193">
        <v>92.381720400000006</v>
      </c>
      <c r="Z193">
        <v>203.285</v>
      </c>
      <c r="AA193">
        <v>235.25656000000001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1.2642157821553117</v>
      </c>
    </row>
    <row r="194" spans="1:41" x14ac:dyDescent="0.3">
      <c r="A194">
        <v>951.3798113647581</v>
      </c>
      <c r="B194">
        <v>27</v>
      </c>
      <c r="C194">
        <v>10</v>
      </c>
      <c r="D194">
        <v>1.4538035012355532</v>
      </c>
      <c r="E194">
        <v>10</v>
      </c>
      <c r="F194">
        <v>8</v>
      </c>
      <c r="G194">
        <v>0.3</v>
      </c>
      <c r="H194">
        <v>29</v>
      </c>
      <c r="I194">
        <v>7</v>
      </c>
      <c r="J194">
        <v>1.0451092376865274</v>
      </c>
      <c r="K194">
        <v>511796791.24707687</v>
      </c>
      <c r="L194">
        <v>54527500</v>
      </c>
      <c r="M194">
        <v>79729480.121990278</v>
      </c>
      <c r="N194">
        <v>72563600</v>
      </c>
      <c r="O194">
        <v>15896831.52</v>
      </c>
      <c r="P194">
        <v>213.70862600000001</v>
      </c>
      <c r="Q194">
        <v>1.2531940822173069</v>
      </c>
      <c r="R194">
        <v>43.3045762</v>
      </c>
      <c r="S194">
        <v>782.89642200000003</v>
      </c>
      <c r="T194">
        <v>7.8009244800000001E-11</v>
      </c>
      <c r="U194">
        <v>19.116586896244307</v>
      </c>
      <c r="V194">
        <v>91.850000000000009</v>
      </c>
      <c r="W194">
        <v>-199.52031914329584</v>
      </c>
      <c r="X194">
        <v>62.902781500000003</v>
      </c>
      <c r="Y194">
        <v>93.648331200000001</v>
      </c>
      <c r="Z194">
        <v>100.934</v>
      </c>
      <c r="AA194">
        <v>226.736009</v>
      </c>
      <c r="AB194">
        <v>100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101.25319408221731</v>
      </c>
    </row>
    <row r="195" spans="1:41" x14ac:dyDescent="0.3">
      <c r="A195">
        <v>910</v>
      </c>
      <c r="B195">
        <v>27</v>
      </c>
      <c r="C195">
        <v>19</v>
      </c>
      <c r="D195">
        <v>15</v>
      </c>
      <c r="E195">
        <v>19</v>
      </c>
      <c r="F195">
        <v>8</v>
      </c>
      <c r="G195">
        <v>1.2</v>
      </c>
      <c r="H195">
        <v>26</v>
      </c>
      <c r="I195">
        <v>14</v>
      </c>
      <c r="J195">
        <v>1.4</v>
      </c>
      <c r="K195">
        <v>510825932.24950415</v>
      </c>
      <c r="L195">
        <v>54456300</v>
      </c>
      <c r="M195">
        <v>79674245.768109784</v>
      </c>
      <c r="N195">
        <v>71285300</v>
      </c>
      <c r="O195">
        <v>15896741.279999999</v>
      </c>
      <c r="P195">
        <v>209.52623800000001</v>
      </c>
      <c r="Q195">
        <v>1.3004951836133793</v>
      </c>
      <c r="R195">
        <v>43.638328799999996</v>
      </c>
      <c r="S195">
        <v>780.29676500000005</v>
      </c>
      <c r="T195">
        <v>2.5034229899999999E-12</v>
      </c>
      <c r="U195">
        <v>19.205046793303012</v>
      </c>
      <c r="V195">
        <v>91.850000000000009</v>
      </c>
      <c r="W195">
        <v>-238.93045837058401</v>
      </c>
      <c r="X195">
        <v>62.864414500000002</v>
      </c>
      <c r="Y195">
        <v>92.453392500000007</v>
      </c>
      <c r="Z195">
        <v>180.98100000000002</v>
      </c>
      <c r="AA195">
        <v>230.66883100000001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1.3004951836133793</v>
      </c>
    </row>
    <row r="196" spans="1:41" x14ac:dyDescent="0.3">
      <c r="A196">
        <v>926.12832006793042</v>
      </c>
      <c r="B196">
        <v>27</v>
      </c>
      <c r="C196">
        <v>10</v>
      </c>
      <c r="D196">
        <v>1</v>
      </c>
      <c r="E196">
        <v>29</v>
      </c>
      <c r="F196">
        <v>5</v>
      </c>
      <c r="G196">
        <v>0.3</v>
      </c>
      <c r="H196">
        <v>19</v>
      </c>
      <c r="I196">
        <v>14</v>
      </c>
      <c r="J196">
        <v>0.3</v>
      </c>
      <c r="K196">
        <v>507899405.3769542</v>
      </c>
      <c r="L196">
        <v>54432200</v>
      </c>
      <c r="M196">
        <v>79698834.586963147</v>
      </c>
      <c r="N196">
        <v>73106800</v>
      </c>
      <c r="O196">
        <v>15885007.279999999</v>
      </c>
      <c r="P196">
        <v>206.162488</v>
      </c>
      <c r="Q196">
        <v>1.2725596742900456</v>
      </c>
      <c r="R196">
        <v>43.647089299999998</v>
      </c>
      <c r="S196">
        <v>780.59833199999991</v>
      </c>
      <c r="T196">
        <v>3.7426354899999998E-9</v>
      </c>
      <c r="U196">
        <v>19.872079076468665</v>
      </c>
      <c r="V196">
        <v>80.72</v>
      </c>
      <c r="W196">
        <v>-146.24152387001607</v>
      </c>
      <c r="X196">
        <v>63.034485799999999</v>
      </c>
      <c r="Y196">
        <v>94.900287800000001</v>
      </c>
      <c r="Z196">
        <v>180.98100000000002</v>
      </c>
      <c r="AA196">
        <v>236.57486399999999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1.2725596742900456</v>
      </c>
    </row>
    <row r="197" spans="1:41" x14ac:dyDescent="0.3">
      <c r="A197">
        <v>910</v>
      </c>
      <c r="B197">
        <v>27</v>
      </c>
      <c r="C197">
        <v>10</v>
      </c>
      <c r="D197">
        <v>15</v>
      </c>
      <c r="E197">
        <v>17</v>
      </c>
      <c r="F197">
        <v>5</v>
      </c>
      <c r="G197">
        <v>1.2</v>
      </c>
      <c r="H197">
        <v>29</v>
      </c>
      <c r="I197">
        <v>7</v>
      </c>
      <c r="J197">
        <v>0.3</v>
      </c>
      <c r="K197">
        <v>510794679.97775096</v>
      </c>
      <c r="L197">
        <v>54483600</v>
      </c>
      <c r="M197">
        <v>79683155.470078543</v>
      </c>
      <c r="N197">
        <v>71433700</v>
      </c>
      <c r="O197">
        <v>15899088.879999999</v>
      </c>
      <c r="P197">
        <v>208.965968</v>
      </c>
      <c r="Q197">
        <v>1.3013222849174564</v>
      </c>
      <c r="R197">
        <v>43.637724900000002</v>
      </c>
      <c r="S197">
        <v>780.244505</v>
      </c>
      <c r="T197">
        <v>5.4877729100000001E-10</v>
      </c>
      <c r="U197">
        <v>19.39365727352347</v>
      </c>
      <c r="V197">
        <v>100.934</v>
      </c>
      <c r="W197">
        <v>-236.38324409766182</v>
      </c>
      <c r="X197">
        <v>62.799034800000001</v>
      </c>
      <c r="Y197">
        <v>92.393166199999996</v>
      </c>
      <c r="Z197">
        <v>180.98100000000002</v>
      </c>
      <c r="AA197">
        <v>235.50726399999999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1.3013222849174564</v>
      </c>
    </row>
    <row r="198" spans="1:41" x14ac:dyDescent="0.3">
      <c r="A198">
        <v>942.86106508486137</v>
      </c>
      <c r="B198">
        <v>27</v>
      </c>
      <c r="C198">
        <v>19</v>
      </c>
      <c r="D198">
        <v>15</v>
      </c>
      <c r="E198">
        <v>29</v>
      </c>
      <c r="F198">
        <v>14</v>
      </c>
      <c r="G198">
        <v>1.2</v>
      </c>
      <c r="H198">
        <v>20</v>
      </c>
      <c r="I198">
        <v>7</v>
      </c>
      <c r="J198">
        <v>1.4</v>
      </c>
      <c r="K198">
        <v>511399010.90217435</v>
      </c>
      <c r="L198">
        <v>54525200</v>
      </c>
      <c r="M198">
        <v>79710997.414401397</v>
      </c>
      <c r="N198">
        <v>72079000</v>
      </c>
      <c r="O198">
        <v>15897573.039999999</v>
      </c>
      <c r="P198">
        <v>211.41632300000001</v>
      </c>
      <c r="Q198">
        <v>1.27557504947163</v>
      </c>
      <c r="R198">
        <v>43.642830099999998</v>
      </c>
      <c r="S198">
        <v>781.19089100000008</v>
      </c>
      <c r="T198">
        <v>1.76211825E-12</v>
      </c>
      <c r="U198">
        <v>19.157404324448692</v>
      </c>
      <c r="V198">
        <v>91.850000000000009</v>
      </c>
      <c r="W198">
        <v>-239.88708774245458</v>
      </c>
      <c r="X198">
        <v>62.8176269</v>
      </c>
      <c r="Y198">
        <v>92.434939700000001</v>
      </c>
      <c r="Z198">
        <v>203.285</v>
      </c>
      <c r="AA198">
        <v>231.145377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1.27557504947163</v>
      </c>
    </row>
    <row r="199" spans="1:41" x14ac:dyDescent="0.3">
      <c r="A199">
        <v>910</v>
      </c>
      <c r="B199">
        <v>27</v>
      </c>
      <c r="C199">
        <v>12</v>
      </c>
      <c r="D199">
        <v>1</v>
      </c>
      <c r="E199">
        <v>26</v>
      </c>
      <c r="F199">
        <v>14</v>
      </c>
      <c r="G199">
        <v>0.3</v>
      </c>
      <c r="H199">
        <v>22</v>
      </c>
      <c r="I199">
        <v>7</v>
      </c>
      <c r="J199">
        <v>1.4</v>
      </c>
      <c r="K199">
        <v>508136857.27279401</v>
      </c>
      <c r="L199">
        <v>54405400</v>
      </c>
      <c r="M199">
        <v>79674245.769958749</v>
      </c>
      <c r="N199">
        <v>72303600</v>
      </c>
      <c r="O199">
        <v>15889452.079999998</v>
      </c>
      <c r="P199">
        <v>205.81605200000001</v>
      </c>
      <c r="Q199">
        <v>1.2921371072686283</v>
      </c>
      <c r="R199">
        <v>43.604813300000004</v>
      </c>
      <c r="S199">
        <v>780.03335700000002</v>
      </c>
      <c r="T199">
        <v>9.6127544799999998E-13</v>
      </c>
      <c r="U199">
        <v>19.6802594826</v>
      </c>
      <c r="V199">
        <v>80.72</v>
      </c>
      <c r="W199">
        <v>-152.88728258637585</v>
      </c>
      <c r="X199">
        <v>63.103939199999999</v>
      </c>
      <c r="Y199">
        <v>94.924939699999996</v>
      </c>
      <c r="Z199">
        <v>177.97</v>
      </c>
      <c r="AA199">
        <v>230.72405800000001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1.2921371072686283</v>
      </c>
    </row>
    <row r="200" spans="1:41" x14ac:dyDescent="0.3">
      <c r="A200">
        <v>910</v>
      </c>
      <c r="B200">
        <v>27</v>
      </c>
      <c r="C200">
        <v>19</v>
      </c>
      <c r="D200">
        <v>15</v>
      </c>
      <c r="E200">
        <v>28</v>
      </c>
      <c r="F200">
        <v>6</v>
      </c>
      <c r="G200">
        <v>1.2</v>
      </c>
      <c r="H200">
        <v>16</v>
      </c>
      <c r="I200">
        <v>14</v>
      </c>
      <c r="J200">
        <v>1.4</v>
      </c>
      <c r="K200">
        <v>510778184.5250113</v>
      </c>
      <c r="L200">
        <v>54456500</v>
      </c>
      <c r="M200">
        <v>79674245.815155864</v>
      </c>
      <c r="N200">
        <v>71435000</v>
      </c>
      <c r="O200">
        <v>15896978.48</v>
      </c>
      <c r="P200">
        <v>209.66500199999999</v>
      </c>
      <c r="Q200">
        <v>1.2963322588860178</v>
      </c>
      <c r="R200">
        <v>43.6454533</v>
      </c>
      <c r="S200">
        <v>780.42484999999999</v>
      </c>
      <c r="T200">
        <v>4.8419958800000001E-11</v>
      </c>
      <c r="U200">
        <v>19.232600652377329</v>
      </c>
      <c r="V200">
        <v>91.850000000000009</v>
      </c>
      <c r="W200">
        <v>-239.31214115056895</v>
      </c>
      <c r="X200">
        <v>62.886839899999998</v>
      </c>
      <c r="Y200">
        <v>92.465697000000006</v>
      </c>
      <c r="Z200">
        <v>203.285</v>
      </c>
      <c r="AA200">
        <v>233.23290600000001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1.2963322588860178</v>
      </c>
    </row>
    <row r="201" spans="1:41" x14ac:dyDescent="0.3">
      <c r="A201">
        <v>938.57057728716381</v>
      </c>
      <c r="B201">
        <v>27</v>
      </c>
      <c r="C201">
        <v>10</v>
      </c>
      <c r="D201">
        <v>1</v>
      </c>
      <c r="E201">
        <v>22</v>
      </c>
      <c r="F201">
        <v>14</v>
      </c>
      <c r="G201">
        <v>1.2</v>
      </c>
      <c r="H201">
        <v>23</v>
      </c>
      <c r="I201">
        <v>14</v>
      </c>
      <c r="J201">
        <v>1.4</v>
      </c>
      <c r="K201">
        <v>508433297.85785365</v>
      </c>
      <c r="L201">
        <v>54449700</v>
      </c>
      <c r="M201">
        <v>79705404.655798852</v>
      </c>
      <c r="N201">
        <v>72903100</v>
      </c>
      <c r="O201">
        <v>15887904.399999999</v>
      </c>
      <c r="P201">
        <v>207.52703099999999</v>
      </c>
      <c r="Q201">
        <v>1.2706439016500959</v>
      </c>
      <c r="R201">
        <v>43.615436699999997</v>
      </c>
      <c r="S201">
        <v>781.16557699999998</v>
      </c>
      <c r="T201">
        <v>1.0272639099999999E-13</v>
      </c>
      <c r="U201">
        <v>19.224841642249178</v>
      </c>
      <c r="V201">
        <v>80.72</v>
      </c>
      <c r="W201">
        <v>-148.98423900944326</v>
      </c>
      <c r="X201">
        <v>63.065497899999997</v>
      </c>
      <c r="Y201">
        <v>94.918751599999993</v>
      </c>
      <c r="Z201">
        <v>177.97</v>
      </c>
      <c r="AA201">
        <v>230.40624600000001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1.2706439016500959</v>
      </c>
    </row>
    <row r="202" spans="1:41" x14ac:dyDescent="0.3">
      <c r="A202">
        <v>944.10062099941877</v>
      </c>
      <c r="B202">
        <v>34</v>
      </c>
      <c r="C202">
        <v>13</v>
      </c>
      <c r="D202">
        <v>14.307603418399738</v>
      </c>
      <c r="E202">
        <v>14</v>
      </c>
      <c r="F202">
        <v>12</v>
      </c>
      <c r="G202">
        <v>0.44423680344722238</v>
      </c>
      <c r="H202">
        <v>19</v>
      </c>
      <c r="I202">
        <v>14</v>
      </c>
      <c r="J202">
        <v>1.1231929441017681</v>
      </c>
      <c r="K202">
        <v>511195829.7454294</v>
      </c>
      <c r="L202">
        <v>54509500</v>
      </c>
      <c r="M202">
        <v>79711494.715107217</v>
      </c>
      <c r="N202">
        <v>69503000</v>
      </c>
      <c r="O202">
        <v>15897999.52</v>
      </c>
      <c r="P202">
        <v>214.12155100000001</v>
      </c>
      <c r="Q202">
        <v>1.3115984403998335</v>
      </c>
      <c r="R202">
        <v>43.3713446</v>
      </c>
      <c r="S202">
        <v>781.01817600000004</v>
      </c>
      <c r="T202">
        <v>1.16990087E-14</v>
      </c>
      <c r="U202">
        <v>18.752564428670514</v>
      </c>
      <c r="V202">
        <v>100.934</v>
      </c>
      <c r="W202">
        <v>-241.29142489053891</v>
      </c>
      <c r="X202">
        <v>62.832940899999997</v>
      </c>
      <c r="Y202">
        <v>92.220712899999995</v>
      </c>
      <c r="Z202">
        <v>100.934</v>
      </c>
      <c r="AA202">
        <v>227.95169100000001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1.3115984403998335</v>
      </c>
    </row>
    <row r="203" spans="1:41" x14ac:dyDescent="0.3">
      <c r="A203">
        <v>910</v>
      </c>
      <c r="B203">
        <v>27</v>
      </c>
      <c r="C203">
        <v>19</v>
      </c>
      <c r="D203">
        <v>1</v>
      </c>
      <c r="E203">
        <v>22</v>
      </c>
      <c r="F203">
        <v>5</v>
      </c>
      <c r="G203">
        <v>0.3</v>
      </c>
      <c r="H203">
        <v>19</v>
      </c>
      <c r="I203">
        <v>14</v>
      </c>
      <c r="J203">
        <v>1.4</v>
      </c>
      <c r="K203">
        <v>507984806.53129458</v>
      </c>
      <c r="L203">
        <v>54387700</v>
      </c>
      <c r="M203">
        <v>79674145.750236377</v>
      </c>
      <c r="N203">
        <v>72876500</v>
      </c>
      <c r="O203">
        <v>15889471.92</v>
      </c>
      <c r="P203">
        <v>203.54348300000001</v>
      </c>
      <c r="Q203">
        <v>1.2932481266197713</v>
      </c>
      <c r="R203">
        <v>43.6654999</v>
      </c>
      <c r="S203">
        <v>779.895534</v>
      </c>
      <c r="T203">
        <v>5.5796757699999999E-9</v>
      </c>
      <c r="U203">
        <v>20.182627932950648</v>
      </c>
      <c r="V203">
        <v>68.709999999999994</v>
      </c>
      <c r="W203">
        <v>-168.75410743190292</v>
      </c>
      <c r="X203">
        <v>63.121116800000003</v>
      </c>
      <c r="Y203">
        <v>95.106083299999995</v>
      </c>
      <c r="Z203">
        <v>177.97</v>
      </c>
      <c r="AA203">
        <v>230.57731999999999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1.2932481266197713</v>
      </c>
    </row>
    <row r="204" spans="1:41" x14ac:dyDescent="0.3">
      <c r="A204">
        <v>941.05225772480355</v>
      </c>
      <c r="B204">
        <v>39</v>
      </c>
      <c r="C204">
        <v>10</v>
      </c>
      <c r="D204">
        <v>15</v>
      </c>
      <c r="E204">
        <v>10</v>
      </c>
      <c r="F204">
        <v>5</v>
      </c>
      <c r="G204">
        <v>0.3</v>
      </c>
      <c r="H204">
        <v>10</v>
      </c>
      <c r="I204">
        <v>7</v>
      </c>
      <c r="J204">
        <v>1.4</v>
      </c>
      <c r="K204">
        <v>511104411.09794831</v>
      </c>
      <c r="L204">
        <v>54505600</v>
      </c>
      <c r="M204">
        <v>79708300.295511186</v>
      </c>
      <c r="N204">
        <v>71038000</v>
      </c>
      <c r="O204">
        <v>15896804.24</v>
      </c>
      <c r="P204">
        <v>212.542665</v>
      </c>
      <c r="Q204">
        <v>1.2890880218129228</v>
      </c>
      <c r="R204">
        <v>43.525089100000002</v>
      </c>
      <c r="S204">
        <v>780.63823600000001</v>
      </c>
      <c r="T204">
        <v>6.7812311100000004E-9</v>
      </c>
      <c r="U204">
        <v>19.56733626455323</v>
      </c>
      <c r="V204">
        <v>100.934</v>
      </c>
      <c r="W204">
        <v>-242.80682383521028</v>
      </c>
      <c r="X204">
        <v>62.8421187</v>
      </c>
      <c r="Y204">
        <v>92.0940583</v>
      </c>
      <c r="Z204">
        <v>144.29</v>
      </c>
      <c r="AA204">
        <v>230.65753000000001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1.2890880218129228</v>
      </c>
    </row>
    <row r="205" spans="1:41" x14ac:dyDescent="0.3">
      <c r="A205">
        <v>940.99318702667063</v>
      </c>
      <c r="B205">
        <v>27</v>
      </c>
      <c r="C205">
        <v>19</v>
      </c>
      <c r="D205">
        <v>15</v>
      </c>
      <c r="E205">
        <v>11</v>
      </c>
      <c r="F205">
        <v>9</v>
      </c>
      <c r="G205">
        <v>0.3</v>
      </c>
      <c r="H205">
        <v>10</v>
      </c>
      <c r="I205">
        <v>7</v>
      </c>
      <c r="J205">
        <v>0.3</v>
      </c>
      <c r="K205">
        <v>510541412.09465742</v>
      </c>
      <c r="L205">
        <v>54474600</v>
      </c>
      <c r="M205">
        <v>79710903.879025027</v>
      </c>
      <c r="N205">
        <v>69180500</v>
      </c>
      <c r="O205">
        <v>15898793.199999999</v>
      </c>
      <c r="P205">
        <v>214.78730899999999</v>
      </c>
      <c r="Q205">
        <v>1.3113754403894844</v>
      </c>
      <c r="R205">
        <v>43.342282099999998</v>
      </c>
      <c r="S205">
        <v>782.14359400000001</v>
      </c>
      <c r="T205">
        <v>1.7453811000000001E-11</v>
      </c>
      <c r="U205">
        <v>18.973953186594127</v>
      </c>
      <c r="V205">
        <v>91.850000000000009</v>
      </c>
      <c r="W205">
        <v>-244.06322814799546</v>
      </c>
      <c r="X205">
        <v>62.928190800000003</v>
      </c>
      <c r="Y205">
        <v>92.494970699999996</v>
      </c>
      <c r="Z205">
        <v>100.934</v>
      </c>
      <c r="AA205">
        <v>231.65254999999999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1.3113754403894844</v>
      </c>
    </row>
    <row r="206" spans="1:41" x14ac:dyDescent="0.3">
      <c r="A206">
        <v>941.04842598596235</v>
      </c>
      <c r="B206">
        <v>27</v>
      </c>
      <c r="C206">
        <v>19</v>
      </c>
      <c r="D206">
        <v>15</v>
      </c>
      <c r="E206">
        <v>16</v>
      </c>
      <c r="F206">
        <v>14</v>
      </c>
      <c r="G206">
        <v>0.3</v>
      </c>
      <c r="H206">
        <v>29</v>
      </c>
      <c r="I206">
        <v>14</v>
      </c>
      <c r="J206">
        <v>0.3</v>
      </c>
      <c r="K206">
        <v>511034835.70778978</v>
      </c>
      <c r="L206">
        <v>54513900</v>
      </c>
      <c r="M206">
        <v>79716108.673821196</v>
      </c>
      <c r="N206">
        <v>71628400</v>
      </c>
      <c r="O206">
        <v>15898602.880000001</v>
      </c>
      <c r="P206">
        <v>211.49138199999999</v>
      </c>
      <c r="Q206">
        <v>1.283122658399094</v>
      </c>
      <c r="R206">
        <v>43.568938000000003</v>
      </c>
      <c r="S206">
        <v>780.27380500000004</v>
      </c>
      <c r="T206">
        <v>6.3789522099999997E-12</v>
      </c>
      <c r="U206">
        <v>19.593061762836005</v>
      </c>
      <c r="V206">
        <v>91.850000000000009</v>
      </c>
      <c r="W206">
        <v>-241.2402821774098</v>
      </c>
      <c r="X206">
        <v>62.764653799999998</v>
      </c>
      <c r="Y206">
        <v>92.405510300000003</v>
      </c>
      <c r="Z206">
        <v>144.29</v>
      </c>
      <c r="AA206">
        <v>234.23043999999999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1.283122658399094</v>
      </c>
    </row>
    <row r="207" spans="1:41" x14ac:dyDescent="0.3">
      <c r="A207">
        <v>943.18450081271476</v>
      </c>
      <c r="B207">
        <v>39</v>
      </c>
      <c r="C207">
        <v>19</v>
      </c>
      <c r="D207">
        <v>7.2259237946166017</v>
      </c>
      <c r="E207">
        <v>10</v>
      </c>
      <c r="F207">
        <v>5</v>
      </c>
      <c r="G207">
        <v>0.3</v>
      </c>
      <c r="H207">
        <v>10</v>
      </c>
      <c r="I207">
        <v>7</v>
      </c>
      <c r="J207">
        <v>0.3</v>
      </c>
      <c r="K207">
        <v>509625216.81643987</v>
      </c>
      <c r="L207">
        <v>54482800</v>
      </c>
      <c r="M207">
        <v>79721207.724271178</v>
      </c>
      <c r="N207">
        <v>71300700</v>
      </c>
      <c r="O207">
        <v>15897052.32</v>
      </c>
      <c r="P207">
        <v>212.49129300000001</v>
      </c>
      <c r="Q207">
        <v>1.2787429869731555</v>
      </c>
      <c r="R207">
        <v>43.523117499999998</v>
      </c>
      <c r="S207">
        <v>780.71485600000005</v>
      </c>
      <c r="T207">
        <v>6.7879872400000004E-9</v>
      </c>
      <c r="U207">
        <v>19.587688423271125</v>
      </c>
      <c r="V207">
        <v>100.934</v>
      </c>
      <c r="W207">
        <v>-242.75979075519302</v>
      </c>
      <c r="X207">
        <v>62.817193199999998</v>
      </c>
      <c r="Y207">
        <v>92.249122</v>
      </c>
      <c r="Z207">
        <v>144.29</v>
      </c>
      <c r="AA207">
        <v>236.25054800000001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1.2787429869731555</v>
      </c>
    </row>
    <row r="208" spans="1:41" x14ac:dyDescent="0.3">
      <c r="A208">
        <v>947.80102363043932</v>
      </c>
      <c r="B208">
        <v>36</v>
      </c>
      <c r="C208">
        <v>10</v>
      </c>
      <c r="D208">
        <v>3.7590794486678578</v>
      </c>
      <c r="E208">
        <v>20</v>
      </c>
      <c r="F208">
        <v>5</v>
      </c>
      <c r="G208">
        <v>1.0026096652431986</v>
      </c>
      <c r="H208">
        <v>23</v>
      </c>
      <c r="I208">
        <v>14</v>
      </c>
      <c r="J208">
        <v>1.4</v>
      </c>
      <c r="K208">
        <v>509763664.34420836</v>
      </c>
      <c r="L208">
        <v>54482800</v>
      </c>
      <c r="M208">
        <v>79721187.12836282</v>
      </c>
      <c r="N208">
        <v>71300700</v>
      </c>
      <c r="O208">
        <v>15896005.92</v>
      </c>
      <c r="P208">
        <v>212.20137800000001</v>
      </c>
      <c r="Q208">
        <v>1.280932947241197</v>
      </c>
      <c r="R208">
        <v>43.640265599999999</v>
      </c>
      <c r="S208">
        <v>780.19158700000003</v>
      </c>
      <c r="T208">
        <v>6.3866342699999999E-10</v>
      </c>
      <c r="U208">
        <v>19.372112917691428</v>
      </c>
      <c r="V208">
        <v>100.934</v>
      </c>
      <c r="W208">
        <v>-235.19925301043159</v>
      </c>
      <c r="X208">
        <v>62.813863099999999</v>
      </c>
      <c r="Y208">
        <v>92.609679400000005</v>
      </c>
      <c r="Z208">
        <v>180.98100000000002</v>
      </c>
      <c r="AA208">
        <v>231.235354</v>
      </c>
      <c r="AB208">
        <v>100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101.2809329472412</v>
      </c>
    </row>
    <row r="209" spans="1:41" x14ac:dyDescent="0.3">
      <c r="A209">
        <v>943.34968685084993</v>
      </c>
      <c r="B209">
        <v>31</v>
      </c>
      <c r="C209">
        <v>10</v>
      </c>
      <c r="D209">
        <v>3.4081684246642046</v>
      </c>
      <c r="E209">
        <v>20</v>
      </c>
      <c r="F209">
        <v>9</v>
      </c>
      <c r="G209">
        <v>0.5648091061533661</v>
      </c>
      <c r="H209">
        <v>28</v>
      </c>
      <c r="I209">
        <v>8</v>
      </c>
      <c r="J209">
        <v>0.64001630695841238</v>
      </c>
      <c r="K209">
        <v>509301649.80114472</v>
      </c>
      <c r="L209">
        <v>54473500</v>
      </c>
      <c r="M209">
        <v>79711796.655090094</v>
      </c>
      <c r="N209">
        <v>72239800</v>
      </c>
      <c r="O209">
        <v>15891721.359999999</v>
      </c>
      <c r="P209">
        <v>211.89765</v>
      </c>
      <c r="Q209">
        <v>1.2615313806553652</v>
      </c>
      <c r="R209">
        <v>43.626356899999998</v>
      </c>
      <c r="S209">
        <v>779.77192500000001</v>
      </c>
      <c r="T209">
        <v>3.79942224E-13</v>
      </c>
      <c r="U209">
        <v>19.300599738734835</v>
      </c>
      <c r="V209">
        <v>100.934</v>
      </c>
      <c r="W209">
        <v>-234.74257628747182</v>
      </c>
      <c r="X209">
        <v>62.8252691</v>
      </c>
      <c r="Y209">
        <v>92.724321099999997</v>
      </c>
      <c r="Z209">
        <v>177.97</v>
      </c>
      <c r="AA209">
        <v>232.04045500000001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1.2615313806553652</v>
      </c>
    </row>
    <row r="210" spans="1:41" x14ac:dyDescent="0.3">
      <c r="A210">
        <v>960</v>
      </c>
      <c r="B210">
        <v>27</v>
      </c>
      <c r="C210">
        <v>10</v>
      </c>
      <c r="D210">
        <v>15</v>
      </c>
      <c r="E210">
        <v>29</v>
      </c>
      <c r="F210">
        <v>5</v>
      </c>
      <c r="G210">
        <v>1.2</v>
      </c>
      <c r="H210">
        <v>29</v>
      </c>
      <c r="I210">
        <v>7</v>
      </c>
      <c r="J210">
        <v>1.4</v>
      </c>
      <c r="K210">
        <v>504387950.98088586</v>
      </c>
      <c r="L210">
        <v>54473500</v>
      </c>
      <c r="M210">
        <v>79711902.444042683</v>
      </c>
      <c r="N210">
        <v>72239800</v>
      </c>
      <c r="O210">
        <v>16383689.119999999</v>
      </c>
      <c r="P210">
        <v>204.614893</v>
      </c>
      <c r="Q210">
        <v>1.2901301634097977</v>
      </c>
      <c r="R210">
        <v>43.644126900000003</v>
      </c>
      <c r="S210">
        <v>780.53482100000008</v>
      </c>
      <c r="T210">
        <v>4.5825111799999998E-10</v>
      </c>
      <c r="U210">
        <v>19.309325025078188</v>
      </c>
      <c r="V210">
        <v>100.934</v>
      </c>
      <c r="W210">
        <v>-236.52539642016873</v>
      </c>
      <c r="X210">
        <v>62.906479699999998</v>
      </c>
      <c r="Y210">
        <v>92.438128000000006</v>
      </c>
      <c r="Z210">
        <v>203.285</v>
      </c>
      <c r="AA210">
        <v>231.00392099999999</v>
      </c>
      <c r="AB210">
        <v>100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101.2901301634098</v>
      </c>
    </row>
    <row r="211" spans="1:41" x14ac:dyDescent="0.3">
      <c r="A211">
        <v>940.78598200355304</v>
      </c>
      <c r="B211">
        <v>30</v>
      </c>
      <c r="C211">
        <v>10</v>
      </c>
      <c r="D211">
        <v>8.0898345283851469</v>
      </c>
      <c r="E211">
        <v>17</v>
      </c>
      <c r="F211">
        <v>10</v>
      </c>
      <c r="G211">
        <v>0.3</v>
      </c>
      <c r="H211">
        <v>20</v>
      </c>
      <c r="I211">
        <v>7</v>
      </c>
      <c r="J211">
        <v>1.4</v>
      </c>
      <c r="K211">
        <v>509596247.19991624</v>
      </c>
      <c r="L211">
        <v>54483400</v>
      </c>
      <c r="M211">
        <v>79708100.844861418</v>
      </c>
      <c r="N211">
        <v>71530400</v>
      </c>
      <c r="O211">
        <v>15892817.440000001</v>
      </c>
      <c r="P211">
        <v>212.07621800000001</v>
      </c>
      <c r="Q211">
        <v>1.2763843191118673</v>
      </c>
      <c r="R211">
        <v>43.570027000000003</v>
      </c>
      <c r="S211">
        <v>780.08956699999999</v>
      </c>
      <c r="T211">
        <v>7.6813122499999998E-13</v>
      </c>
      <c r="U211">
        <v>19.524653884633427</v>
      </c>
      <c r="V211">
        <v>100.934</v>
      </c>
      <c r="W211">
        <v>-240.84324910145762</v>
      </c>
      <c r="X211">
        <v>62.823159400000002</v>
      </c>
      <c r="Y211">
        <v>92.428379800000002</v>
      </c>
      <c r="Z211">
        <v>144.29</v>
      </c>
      <c r="AA211">
        <v>230.48538600000001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1.2763843191118673</v>
      </c>
    </row>
    <row r="212" spans="1:41" x14ac:dyDescent="0.3">
      <c r="A212">
        <v>943.96575265964702</v>
      </c>
      <c r="B212">
        <v>39</v>
      </c>
      <c r="C212">
        <v>19</v>
      </c>
      <c r="D212">
        <v>15</v>
      </c>
      <c r="E212">
        <v>29</v>
      </c>
      <c r="F212">
        <v>14</v>
      </c>
      <c r="G212">
        <v>1.2</v>
      </c>
      <c r="H212">
        <v>29</v>
      </c>
      <c r="I212">
        <v>7</v>
      </c>
      <c r="J212">
        <v>1.4</v>
      </c>
      <c r="K212">
        <v>512033629.69390953</v>
      </c>
      <c r="L212">
        <v>54562200</v>
      </c>
      <c r="M212">
        <v>79712495.521670043</v>
      </c>
      <c r="N212">
        <v>72091500</v>
      </c>
      <c r="O212">
        <v>15898195.6</v>
      </c>
      <c r="P212">
        <v>211.554508</v>
      </c>
      <c r="Q212">
        <v>1.2772895023013264</v>
      </c>
      <c r="R212">
        <v>43.643270100000002</v>
      </c>
      <c r="S212">
        <v>781.19415900000001</v>
      </c>
      <c r="T212">
        <v>1.4034564700000001E-18</v>
      </c>
      <c r="U212">
        <v>19.153210467264898</v>
      </c>
      <c r="V212">
        <v>100.934</v>
      </c>
      <c r="W212">
        <v>-239.22521528167525</v>
      </c>
      <c r="X212">
        <v>62.815401899999998</v>
      </c>
      <c r="Y212">
        <v>92.069263100000001</v>
      </c>
      <c r="Z212">
        <v>203.285</v>
      </c>
      <c r="AA212">
        <v>230.88879299999999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1.2772895023013264</v>
      </c>
    </row>
    <row r="213" spans="1:41" x14ac:dyDescent="0.3">
      <c r="A213">
        <v>951.00658880520132</v>
      </c>
      <c r="B213">
        <v>27</v>
      </c>
      <c r="C213">
        <v>19</v>
      </c>
      <c r="D213">
        <v>1</v>
      </c>
      <c r="E213">
        <v>20</v>
      </c>
      <c r="F213">
        <v>14</v>
      </c>
      <c r="G213">
        <v>0.3</v>
      </c>
      <c r="H213">
        <v>10</v>
      </c>
      <c r="I213">
        <v>7</v>
      </c>
      <c r="J213">
        <v>0.3</v>
      </c>
      <c r="K213">
        <v>512496321.5178284</v>
      </c>
      <c r="L213">
        <v>54562200</v>
      </c>
      <c r="M213">
        <v>79712491.324297383</v>
      </c>
      <c r="N213">
        <v>72091500</v>
      </c>
      <c r="O213">
        <v>15899626.48</v>
      </c>
      <c r="P213">
        <v>207.362605</v>
      </c>
      <c r="Q213">
        <v>1.3046250694441124</v>
      </c>
      <c r="R213">
        <v>43.537432199999998</v>
      </c>
      <c r="S213">
        <v>779.68800400000009</v>
      </c>
      <c r="T213">
        <v>2.20278383E-9</v>
      </c>
      <c r="U213">
        <v>19.687745124271004</v>
      </c>
      <c r="V213">
        <v>68.709999999999994</v>
      </c>
      <c r="W213">
        <v>-173.04700256807155</v>
      </c>
      <c r="X213">
        <v>63.062626399999999</v>
      </c>
      <c r="Y213">
        <v>95.073475000000002</v>
      </c>
      <c r="Z213">
        <v>144.29</v>
      </c>
      <c r="AA213">
        <v>235.186421</v>
      </c>
      <c r="AB213">
        <v>100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101.30462506944411</v>
      </c>
    </row>
    <row r="214" spans="1:41" x14ac:dyDescent="0.3">
      <c r="A214">
        <v>924.64424765003753</v>
      </c>
      <c r="B214">
        <v>39</v>
      </c>
      <c r="C214">
        <v>19</v>
      </c>
      <c r="D214">
        <v>1</v>
      </c>
      <c r="E214">
        <v>29</v>
      </c>
      <c r="F214">
        <v>14</v>
      </c>
      <c r="G214">
        <v>1.2</v>
      </c>
      <c r="H214">
        <v>18</v>
      </c>
      <c r="I214">
        <v>7</v>
      </c>
      <c r="J214">
        <v>0.3</v>
      </c>
      <c r="K214">
        <v>508541039.31209177</v>
      </c>
      <c r="L214">
        <v>54464100</v>
      </c>
      <c r="M214">
        <v>79696536.450316384</v>
      </c>
      <c r="N214">
        <v>72525400</v>
      </c>
      <c r="O214">
        <v>15884231.359999999</v>
      </c>
      <c r="P214">
        <v>206.13691600000001</v>
      </c>
      <c r="Q214">
        <v>1.287964161434092</v>
      </c>
      <c r="R214">
        <v>43.605488399999999</v>
      </c>
      <c r="S214">
        <v>782.072678</v>
      </c>
      <c r="T214">
        <v>6.7434490800000003E-19</v>
      </c>
      <c r="U214">
        <v>19.489993401502588</v>
      </c>
      <c r="V214">
        <v>80.72</v>
      </c>
      <c r="W214">
        <v>-148.03276314254396</v>
      </c>
      <c r="X214">
        <v>63.029310100000004</v>
      </c>
      <c r="Y214">
        <v>94.799477499999995</v>
      </c>
      <c r="Z214">
        <v>203.285</v>
      </c>
      <c r="AA214">
        <v>234.81442699999999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1.287964161434092</v>
      </c>
    </row>
    <row r="215" spans="1:41" x14ac:dyDescent="0.3">
      <c r="A215">
        <v>938.95223318974058</v>
      </c>
      <c r="B215">
        <v>34</v>
      </c>
      <c r="C215">
        <v>10</v>
      </c>
      <c r="D215">
        <v>6.9288861326209084</v>
      </c>
      <c r="E215">
        <v>29</v>
      </c>
      <c r="F215">
        <v>5</v>
      </c>
      <c r="G215">
        <v>0.3</v>
      </c>
      <c r="H215">
        <v>29</v>
      </c>
      <c r="I215">
        <v>7</v>
      </c>
      <c r="J215">
        <v>1.4</v>
      </c>
      <c r="K215">
        <v>509856345.93057531</v>
      </c>
      <c r="L215">
        <v>54519200</v>
      </c>
      <c r="M215">
        <v>79706204.14630425</v>
      </c>
      <c r="N215">
        <v>72307400</v>
      </c>
      <c r="O215">
        <v>15890620.960000001</v>
      </c>
      <c r="P215">
        <v>211.26041499999999</v>
      </c>
      <c r="Q215">
        <v>1.2666614292716247</v>
      </c>
      <c r="R215">
        <v>43.6685509</v>
      </c>
      <c r="S215">
        <v>780.33632599999999</v>
      </c>
      <c r="T215">
        <v>4.6892023999999998E-9</v>
      </c>
      <c r="U215">
        <v>19.833287189075328</v>
      </c>
      <c r="V215">
        <v>100.934</v>
      </c>
      <c r="W215">
        <v>-236.65439560603588</v>
      </c>
      <c r="X215">
        <v>62.826074900000002</v>
      </c>
      <c r="Y215">
        <v>92.381908199999998</v>
      </c>
      <c r="Z215">
        <v>180.98100000000002</v>
      </c>
      <c r="AA215">
        <v>231.23530199999999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1.2666614292716247</v>
      </c>
    </row>
    <row r="216" spans="1:41" x14ac:dyDescent="0.3">
      <c r="A216">
        <v>940.55829234003477</v>
      </c>
      <c r="B216">
        <v>39</v>
      </c>
      <c r="C216">
        <v>10</v>
      </c>
      <c r="D216">
        <v>15</v>
      </c>
      <c r="E216">
        <v>21</v>
      </c>
      <c r="F216">
        <v>14</v>
      </c>
      <c r="G216">
        <v>0.3</v>
      </c>
      <c r="H216">
        <v>19</v>
      </c>
      <c r="I216">
        <v>7</v>
      </c>
      <c r="J216">
        <v>0.3</v>
      </c>
      <c r="K216">
        <v>510961153.08438885</v>
      </c>
      <c r="L216">
        <v>54531100</v>
      </c>
      <c r="M216">
        <v>79715509.623987541</v>
      </c>
      <c r="N216">
        <v>71619900</v>
      </c>
      <c r="O216">
        <v>15898376.959999999</v>
      </c>
      <c r="P216">
        <v>211.545098</v>
      </c>
      <c r="Q216">
        <v>1.2830966805358508</v>
      </c>
      <c r="R216">
        <v>43.568260600000002</v>
      </c>
      <c r="S216">
        <v>780.15404000000001</v>
      </c>
      <c r="T216">
        <v>6.0093112800000004E-16</v>
      </c>
      <c r="U216">
        <v>19.546508801775005</v>
      </c>
      <c r="V216">
        <v>100.934</v>
      </c>
      <c r="W216">
        <v>-240.16947470842086</v>
      </c>
      <c r="X216">
        <v>62.7660281</v>
      </c>
      <c r="Y216">
        <v>92.050122799999997</v>
      </c>
      <c r="Z216">
        <v>144.29</v>
      </c>
      <c r="AA216">
        <v>234.39703900000001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1.2830966805358508</v>
      </c>
    </row>
    <row r="217" spans="1:41" x14ac:dyDescent="0.3">
      <c r="A217">
        <v>927.18870167092359</v>
      </c>
      <c r="B217">
        <v>30</v>
      </c>
      <c r="C217">
        <v>16</v>
      </c>
      <c r="D217">
        <v>1</v>
      </c>
      <c r="E217">
        <v>16</v>
      </c>
      <c r="F217">
        <v>14</v>
      </c>
      <c r="G217">
        <v>0.3</v>
      </c>
      <c r="H217">
        <v>10</v>
      </c>
      <c r="I217">
        <v>7</v>
      </c>
      <c r="J217">
        <v>1.4</v>
      </c>
      <c r="K217">
        <v>507958411.19373512</v>
      </c>
      <c r="L217">
        <v>54405100</v>
      </c>
      <c r="M217">
        <v>79689822.636233121</v>
      </c>
      <c r="N217">
        <v>69368400</v>
      </c>
      <c r="O217">
        <v>15882602.32</v>
      </c>
      <c r="P217">
        <v>209.30986799999999</v>
      </c>
      <c r="Q217">
        <v>1.331886881046445</v>
      </c>
      <c r="R217">
        <v>43.291868999999998</v>
      </c>
      <c r="S217">
        <v>782.50761399999999</v>
      </c>
      <c r="T217">
        <v>2.7794477599999998E-12</v>
      </c>
      <c r="U217">
        <v>19.076397483260031</v>
      </c>
      <c r="V217">
        <v>80.72</v>
      </c>
      <c r="W217">
        <v>-158.27528468108304</v>
      </c>
      <c r="X217">
        <v>63.137674599999997</v>
      </c>
      <c r="Y217">
        <v>94.937117700000002</v>
      </c>
      <c r="Z217">
        <v>100.934</v>
      </c>
      <c r="AA217">
        <v>226.77011999999999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1.331886881046445</v>
      </c>
    </row>
    <row r="218" spans="1:41" x14ac:dyDescent="0.3">
      <c r="A218">
        <v>933.30208614415983</v>
      </c>
      <c r="B218">
        <v>27</v>
      </c>
      <c r="C218">
        <v>19</v>
      </c>
      <c r="D218">
        <v>6.3317459839796495</v>
      </c>
      <c r="E218">
        <v>29</v>
      </c>
      <c r="F218">
        <v>14</v>
      </c>
      <c r="G218">
        <v>1.2</v>
      </c>
      <c r="H218">
        <v>29</v>
      </c>
      <c r="I218">
        <v>7</v>
      </c>
      <c r="J218">
        <v>1.4</v>
      </c>
      <c r="K218">
        <v>509848765.7664023</v>
      </c>
      <c r="L218">
        <v>54481100</v>
      </c>
      <c r="M218">
        <v>79698813.442526311</v>
      </c>
      <c r="N218">
        <v>71815400</v>
      </c>
      <c r="O218">
        <v>15888232.879999999</v>
      </c>
      <c r="P218">
        <v>210.62503699999999</v>
      </c>
      <c r="Q218">
        <v>1.2799710158818374</v>
      </c>
      <c r="R218">
        <v>43.6447292</v>
      </c>
      <c r="S218">
        <v>781.14432899999997</v>
      </c>
      <c r="T218">
        <v>7.4504124900000001E-12</v>
      </c>
      <c r="U218">
        <v>19.160905295702761</v>
      </c>
      <c r="V218">
        <v>91.850000000000009</v>
      </c>
      <c r="W218">
        <v>-240.85944229199237</v>
      </c>
      <c r="X218">
        <v>62.832602199999997</v>
      </c>
      <c r="Y218">
        <v>92.607903699999994</v>
      </c>
      <c r="Z218">
        <v>203.285</v>
      </c>
      <c r="AA218">
        <v>230.86629400000001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1.2799710158818374</v>
      </c>
    </row>
    <row r="219" spans="1:41" x14ac:dyDescent="0.3">
      <c r="A219">
        <v>935.82155474088813</v>
      </c>
      <c r="B219">
        <v>27</v>
      </c>
      <c r="C219">
        <v>10</v>
      </c>
      <c r="D219">
        <v>1</v>
      </c>
      <c r="E219">
        <v>10</v>
      </c>
      <c r="F219">
        <v>5</v>
      </c>
      <c r="G219">
        <v>0.3</v>
      </c>
      <c r="H219">
        <v>10</v>
      </c>
      <c r="I219">
        <v>7</v>
      </c>
      <c r="J219">
        <v>1.4</v>
      </c>
      <c r="K219">
        <v>507851688.42282289</v>
      </c>
      <c r="L219">
        <v>54399600</v>
      </c>
      <c r="M219">
        <v>79701509.03971228</v>
      </c>
      <c r="N219">
        <v>71729400</v>
      </c>
      <c r="O219">
        <v>15886089.760000002</v>
      </c>
      <c r="P219">
        <v>208.54469700000001</v>
      </c>
      <c r="Q219">
        <v>1.2863337441989289</v>
      </c>
      <c r="R219">
        <v>43.485639300000003</v>
      </c>
      <c r="S219">
        <v>780.89743499999997</v>
      </c>
      <c r="T219">
        <v>5.7262375599999997E-9</v>
      </c>
      <c r="U219">
        <v>19.51308148194661</v>
      </c>
      <c r="V219">
        <v>80.72</v>
      </c>
      <c r="W219">
        <v>-152.48445083980883</v>
      </c>
      <c r="X219">
        <v>63.094572900000003</v>
      </c>
      <c r="Y219">
        <v>94.935398000000006</v>
      </c>
      <c r="Z219">
        <v>144.29</v>
      </c>
      <c r="AA219">
        <v>230.046943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1.2863337441989289</v>
      </c>
    </row>
    <row r="220" spans="1:41" x14ac:dyDescent="0.3">
      <c r="A220">
        <v>931.2604013041456</v>
      </c>
      <c r="B220">
        <v>39</v>
      </c>
      <c r="C220">
        <v>19</v>
      </c>
      <c r="D220">
        <v>15</v>
      </c>
      <c r="E220">
        <v>29</v>
      </c>
      <c r="F220">
        <v>5</v>
      </c>
      <c r="G220">
        <v>0.3</v>
      </c>
      <c r="H220">
        <v>23</v>
      </c>
      <c r="I220">
        <v>14</v>
      </c>
      <c r="J220">
        <v>0.3</v>
      </c>
      <c r="K220">
        <v>507646937.58280003</v>
      </c>
      <c r="L220">
        <v>54399600</v>
      </c>
      <c r="M220">
        <v>79701524.802406952</v>
      </c>
      <c r="N220">
        <v>71729400</v>
      </c>
      <c r="O220">
        <v>15896080.319999998</v>
      </c>
      <c r="P220">
        <v>210.18629799999999</v>
      </c>
      <c r="Q220">
        <v>1.2756258962609939</v>
      </c>
      <c r="R220">
        <v>43.667999000000002</v>
      </c>
      <c r="S220">
        <v>780.50422700000001</v>
      </c>
      <c r="T220">
        <v>4.7282017699999997E-9</v>
      </c>
      <c r="U220">
        <v>19.894662594746805</v>
      </c>
      <c r="V220">
        <v>100.934</v>
      </c>
      <c r="W220">
        <v>-236.26514295480123</v>
      </c>
      <c r="X220">
        <v>62.764747499999999</v>
      </c>
      <c r="Y220">
        <v>92.036478599999995</v>
      </c>
      <c r="Z220">
        <v>180.98100000000002</v>
      </c>
      <c r="AA220">
        <v>235.689267</v>
      </c>
      <c r="AB220">
        <v>100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101.27562589626099</v>
      </c>
    </row>
    <row r="221" spans="1:41" x14ac:dyDescent="0.3">
      <c r="A221">
        <v>919.22944666781757</v>
      </c>
      <c r="B221">
        <v>27</v>
      </c>
      <c r="C221">
        <v>19</v>
      </c>
      <c r="D221">
        <v>7.140682679196706</v>
      </c>
      <c r="E221">
        <v>29</v>
      </c>
      <c r="F221">
        <v>14</v>
      </c>
      <c r="G221">
        <v>1.2</v>
      </c>
      <c r="H221">
        <v>23</v>
      </c>
      <c r="I221">
        <v>14</v>
      </c>
      <c r="J221">
        <v>1.4</v>
      </c>
      <c r="K221">
        <v>509877608.25367022</v>
      </c>
      <c r="L221">
        <v>54466200</v>
      </c>
      <c r="M221">
        <v>79685031.468157679</v>
      </c>
      <c r="N221">
        <v>71494800</v>
      </c>
      <c r="O221">
        <v>15893673.039999999</v>
      </c>
      <c r="P221">
        <v>209.84785600000001</v>
      </c>
      <c r="Q221">
        <v>1.2912354290232819</v>
      </c>
      <c r="R221">
        <v>43.6446252</v>
      </c>
      <c r="S221">
        <v>781.12563599999999</v>
      </c>
      <c r="T221">
        <v>5.9506744500000003E-12</v>
      </c>
      <c r="U221">
        <v>19.154957178676799</v>
      </c>
      <c r="V221">
        <v>91.850000000000009</v>
      </c>
      <c r="W221">
        <v>-240.55931711779414</v>
      </c>
      <c r="X221">
        <v>62.8503045</v>
      </c>
      <c r="Y221">
        <v>92.584791999999993</v>
      </c>
      <c r="Z221">
        <v>203.285</v>
      </c>
      <c r="AA221">
        <v>230.77062100000001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1.2912354290232819</v>
      </c>
    </row>
    <row r="222" spans="1:41" x14ac:dyDescent="0.3">
      <c r="A222">
        <v>910</v>
      </c>
      <c r="B222">
        <v>38</v>
      </c>
      <c r="C222">
        <v>19</v>
      </c>
      <c r="D222">
        <v>1</v>
      </c>
      <c r="E222">
        <v>10</v>
      </c>
      <c r="F222">
        <v>7</v>
      </c>
      <c r="G222">
        <v>0.3</v>
      </c>
      <c r="H222">
        <v>15</v>
      </c>
      <c r="I222">
        <v>13</v>
      </c>
      <c r="J222">
        <v>0.3</v>
      </c>
      <c r="K222">
        <v>508187039.27448404</v>
      </c>
      <c r="L222">
        <v>54415400</v>
      </c>
      <c r="M222">
        <v>79681954.82663618</v>
      </c>
      <c r="N222">
        <v>70357300</v>
      </c>
      <c r="O222">
        <v>15893154</v>
      </c>
      <c r="P222">
        <v>208.58964</v>
      </c>
      <c r="Q222">
        <v>1.3165198371895859</v>
      </c>
      <c r="R222">
        <v>43.3743652</v>
      </c>
      <c r="S222">
        <v>781.58351500000003</v>
      </c>
      <c r="T222">
        <v>2.4540461900000001E-10</v>
      </c>
      <c r="U222">
        <v>19.309828331102974</v>
      </c>
      <c r="V222">
        <v>80.72</v>
      </c>
      <c r="W222">
        <v>-152.63394082600146</v>
      </c>
      <c r="X222">
        <v>63.202107099999999</v>
      </c>
      <c r="Y222">
        <v>94.907015799999996</v>
      </c>
      <c r="Z222">
        <v>100.934</v>
      </c>
      <c r="AA222">
        <v>236.075614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1.3165198371895859</v>
      </c>
    </row>
    <row r="223" spans="1:41" x14ac:dyDescent="0.3">
      <c r="A223">
        <v>943.67329648291684</v>
      </c>
      <c r="B223">
        <v>32</v>
      </c>
      <c r="C223">
        <v>10</v>
      </c>
      <c r="D223">
        <v>1.1258291266369029</v>
      </c>
      <c r="E223">
        <v>14</v>
      </c>
      <c r="F223">
        <v>5</v>
      </c>
      <c r="G223">
        <v>1.0744280005897584</v>
      </c>
      <c r="H223">
        <v>29</v>
      </c>
      <c r="I223">
        <v>14</v>
      </c>
      <c r="J223">
        <v>0.3</v>
      </c>
      <c r="K223">
        <v>509225236.22607291</v>
      </c>
      <c r="L223">
        <v>54415400</v>
      </c>
      <c r="M223">
        <v>79681901.947670698</v>
      </c>
      <c r="N223">
        <v>70357300</v>
      </c>
      <c r="O223">
        <v>15894149.199999999</v>
      </c>
      <c r="P223">
        <v>209.517967</v>
      </c>
      <c r="Q223">
        <v>1.3140504757385609</v>
      </c>
      <c r="R223">
        <v>43.583480799999997</v>
      </c>
      <c r="S223">
        <v>780.79842899999994</v>
      </c>
      <c r="T223">
        <v>6.1366061800000001E-10</v>
      </c>
      <c r="U223">
        <v>19.459005009032818</v>
      </c>
      <c r="V223">
        <v>80.72</v>
      </c>
      <c r="W223">
        <v>-154.98569877139363</v>
      </c>
      <c r="X223">
        <v>62.959543400000001</v>
      </c>
      <c r="Y223">
        <v>94.540127400000003</v>
      </c>
      <c r="Z223">
        <v>177.97</v>
      </c>
      <c r="AA223">
        <v>235.332179</v>
      </c>
      <c r="AB223">
        <v>100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101.31405047573855</v>
      </c>
    </row>
    <row r="224" spans="1:41" x14ac:dyDescent="0.3">
      <c r="A224">
        <v>924.47408480372746</v>
      </c>
      <c r="B224">
        <v>39</v>
      </c>
      <c r="C224">
        <v>10</v>
      </c>
      <c r="D224">
        <v>1</v>
      </c>
      <c r="E224">
        <v>23</v>
      </c>
      <c r="F224">
        <v>14</v>
      </c>
      <c r="G224">
        <v>1.2</v>
      </c>
      <c r="H224">
        <v>10</v>
      </c>
      <c r="I224">
        <v>7</v>
      </c>
      <c r="J224">
        <v>0.3</v>
      </c>
      <c r="K224">
        <v>508708526.73257017</v>
      </c>
      <c r="L224">
        <v>54452600</v>
      </c>
      <c r="M224">
        <v>79702143.080114886</v>
      </c>
      <c r="N224">
        <v>72517900</v>
      </c>
      <c r="O224">
        <v>15886220.079999998</v>
      </c>
      <c r="P224">
        <v>206.910886</v>
      </c>
      <c r="Q224">
        <v>1.2836105804876132</v>
      </c>
      <c r="R224">
        <v>43.590203600000002</v>
      </c>
      <c r="S224">
        <v>781.68232599999999</v>
      </c>
      <c r="T224">
        <v>1.70771305E-18</v>
      </c>
      <c r="U224">
        <v>19.198455476429679</v>
      </c>
      <c r="V224">
        <v>80.72</v>
      </c>
      <c r="W224">
        <v>-139.46184824556812</v>
      </c>
      <c r="X224">
        <v>63.040508000000003</v>
      </c>
      <c r="Y224">
        <v>94.831592700000002</v>
      </c>
      <c r="Z224">
        <v>177.97</v>
      </c>
      <c r="AA224">
        <v>236.20900499999999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1.2836105804876132</v>
      </c>
    </row>
    <row r="225" spans="1:41" x14ac:dyDescent="0.3">
      <c r="A225">
        <v>960</v>
      </c>
      <c r="B225">
        <v>39</v>
      </c>
      <c r="C225">
        <v>10</v>
      </c>
      <c r="D225">
        <v>15</v>
      </c>
      <c r="E225">
        <v>19</v>
      </c>
      <c r="F225">
        <v>14</v>
      </c>
      <c r="G225">
        <v>1.2</v>
      </c>
      <c r="H225">
        <v>23</v>
      </c>
      <c r="I225">
        <v>7</v>
      </c>
      <c r="J225">
        <v>0.3</v>
      </c>
      <c r="K225">
        <v>504503976.87071931</v>
      </c>
      <c r="L225">
        <v>54452600</v>
      </c>
      <c r="M225">
        <v>79702211.178998917</v>
      </c>
      <c r="N225">
        <v>72517900</v>
      </c>
      <c r="O225">
        <v>16385786.4</v>
      </c>
      <c r="P225">
        <v>204.27262200000001</v>
      </c>
      <c r="Q225">
        <v>1.2862160366821846</v>
      </c>
      <c r="R225">
        <v>43.6051608</v>
      </c>
      <c r="S225">
        <v>780.60816299999999</v>
      </c>
      <c r="T225">
        <v>4.7041560099999998E-18</v>
      </c>
      <c r="U225">
        <v>19.144820430323691</v>
      </c>
      <c r="V225">
        <v>100.934</v>
      </c>
      <c r="W225">
        <v>-236.77356008238579</v>
      </c>
      <c r="X225">
        <v>62.843746899999999</v>
      </c>
      <c r="Y225">
        <v>92.070486299999999</v>
      </c>
      <c r="Z225">
        <v>144.29</v>
      </c>
      <c r="AA225">
        <v>235.016468</v>
      </c>
      <c r="AB225">
        <v>100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101.28621603668219</v>
      </c>
    </row>
    <row r="226" spans="1:41" x14ac:dyDescent="0.3">
      <c r="A226">
        <v>960</v>
      </c>
      <c r="B226">
        <v>32</v>
      </c>
      <c r="C226">
        <v>10</v>
      </c>
      <c r="D226">
        <v>1</v>
      </c>
      <c r="E226">
        <v>29</v>
      </c>
      <c r="F226">
        <v>5</v>
      </c>
      <c r="G226">
        <v>1.2</v>
      </c>
      <c r="H226">
        <v>10</v>
      </c>
      <c r="I226">
        <v>7</v>
      </c>
      <c r="J226">
        <v>1.4</v>
      </c>
      <c r="K226">
        <v>504463040.7116152</v>
      </c>
      <c r="L226">
        <v>54452600</v>
      </c>
      <c r="M226">
        <v>79702202.511016577</v>
      </c>
      <c r="N226">
        <v>72517900</v>
      </c>
      <c r="O226">
        <v>16376549.6</v>
      </c>
      <c r="P226">
        <v>201.57613799999999</v>
      </c>
      <c r="Q226">
        <v>1.3032838864596648</v>
      </c>
      <c r="R226">
        <v>43.614508600000001</v>
      </c>
      <c r="S226">
        <v>780.91687300000001</v>
      </c>
      <c r="T226">
        <v>3.85244192E-10</v>
      </c>
      <c r="U226">
        <v>19.320506874441413</v>
      </c>
      <c r="V226">
        <v>80.72</v>
      </c>
      <c r="W226">
        <v>-142.4643255836728</v>
      </c>
      <c r="X226">
        <v>63.1670041</v>
      </c>
      <c r="Y226">
        <v>94.930211999999997</v>
      </c>
      <c r="Z226">
        <v>203.285</v>
      </c>
      <c r="AA226">
        <v>232.88886400000001</v>
      </c>
      <c r="AB226">
        <v>100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101.30328388645967</v>
      </c>
    </row>
    <row r="227" spans="1:41" x14ac:dyDescent="0.3">
      <c r="A227">
        <v>955.37821332103169</v>
      </c>
      <c r="B227">
        <v>27</v>
      </c>
      <c r="C227">
        <v>19</v>
      </c>
      <c r="D227">
        <v>15</v>
      </c>
      <c r="E227">
        <v>16</v>
      </c>
      <c r="F227">
        <v>14</v>
      </c>
      <c r="G227">
        <v>1.1348453379306203</v>
      </c>
      <c r="H227">
        <v>20</v>
      </c>
      <c r="I227">
        <v>14</v>
      </c>
      <c r="J227">
        <v>0.62368171684987406</v>
      </c>
      <c r="K227">
        <v>510585775.08111227</v>
      </c>
      <c r="L227">
        <v>54508200</v>
      </c>
      <c r="M227">
        <v>79727676.783978879</v>
      </c>
      <c r="N227">
        <v>71200600</v>
      </c>
      <c r="O227">
        <v>15405290.960000001</v>
      </c>
      <c r="P227">
        <v>213.852476</v>
      </c>
      <c r="Q227">
        <v>1.2762434902172048</v>
      </c>
      <c r="R227">
        <v>43.4872242</v>
      </c>
      <c r="S227">
        <v>780.261436</v>
      </c>
      <c r="T227">
        <v>1.74358857E-12</v>
      </c>
      <c r="U227">
        <v>18.731984872995</v>
      </c>
      <c r="V227">
        <v>91.850000000000009</v>
      </c>
      <c r="W227">
        <v>-241.24156557472506</v>
      </c>
      <c r="X227">
        <v>62.799376199999998</v>
      </c>
      <c r="Y227">
        <v>92.428053500000004</v>
      </c>
      <c r="Z227">
        <v>121.52199999999999</v>
      </c>
      <c r="AA227">
        <v>230.432232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1.2762434902172048</v>
      </c>
    </row>
    <row r="228" spans="1:41" x14ac:dyDescent="0.3">
      <c r="A228">
        <v>932.23249568774509</v>
      </c>
      <c r="B228">
        <v>39</v>
      </c>
      <c r="C228">
        <v>10</v>
      </c>
      <c r="D228">
        <v>15</v>
      </c>
      <c r="E228">
        <v>16</v>
      </c>
      <c r="F228">
        <v>14</v>
      </c>
      <c r="G228">
        <v>0.3</v>
      </c>
      <c r="H228">
        <v>10</v>
      </c>
      <c r="I228">
        <v>8</v>
      </c>
      <c r="J228">
        <v>0.3</v>
      </c>
      <c r="K228">
        <v>510858937.50353736</v>
      </c>
      <c r="L228">
        <v>54489300</v>
      </c>
      <c r="M228">
        <v>79702020.969898164</v>
      </c>
      <c r="N228">
        <v>69069700</v>
      </c>
      <c r="O228">
        <v>15895520</v>
      </c>
      <c r="P228">
        <v>214.43112099999999</v>
      </c>
      <c r="Q228">
        <v>1.3171425589216244</v>
      </c>
      <c r="R228">
        <v>43.344776799999998</v>
      </c>
      <c r="S228">
        <v>781.973116</v>
      </c>
      <c r="T228">
        <v>4.1001141400000003E-15</v>
      </c>
      <c r="U228">
        <v>18.921878346920046</v>
      </c>
      <c r="V228">
        <v>100.934</v>
      </c>
      <c r="W228">
        <v>-243.40827692041142</v>
      </c>
      <c r="X228">
        <v>62.965469900000002</v>
      </c>
      <c r="Y228">
        <v>92.162629600000002</v>
      </c>
      <c r="Z228">
        <v>100.934</v>
      </c>
      <c r="AA228">
        <v>234.385425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1.3171425589216244</v>
      </c>
    </row>
    <row r="229" spans="1:41" x14ac:dyDescent="0.3">
      <c r="A229">
        <v>960</v>
      </c>
      <c r="B229">
        <v>39</v>
      </c>
      <c r="C229">
        <v>19</v>
      </c>
      <c r="D229">
        <v>1</v>
      </c>
      <c r="E229">
        <v>10</v>
      </c>
      <c r="F229">
        <v>5</v>
      </c>
      <c r="G229">
        <v>1.2</v>
      </c>
      <c r="H229">
        <v>10</v>
      </c>
      <c r="I229">
        <v>7</v>
      </c>
      <c r="J229">
        <v>1.4</v>
      </c>
      <c r="K229">
        <v>506129751.65866578</v>
      </c>
      <c r="L229">
        <v>54489300</v>
      </c>
      <c r="M229">
        <v>79702102.416102663</v>
      </c>
      <c r="N229">
        <v>69069700</v>
      </c>
      <c r="O229">
        <v>16376537.439999999</v>
      </c>
      <c r="P229">
        <v>201.91112699999999</v>
      </c>
      <c r="Q229">
        <v>1.3829149860825933</v>
      </c>
      <c r="R229">
        <v>43.557208899999999</v>
      </c>
      <c r="S229">
        <v>780.50320999999997</v>
      </c>
      <c r="T229">
        <v>5.96270676E-10</v>
      </c>
      <c r="U229">
        <v>19.556781431947925</v>
      </c>
      <c r="V229">
        <v>80.72</v>
      </c>
      <c r="W229">
        <v>-148.30966941775961</v>
      </c>
      <c r="X229">
        <v>63.170833600000002</v>
      </c>
      <c r="Y229">
        <v>94.876800700000004</v>
      </c>
      <c r="Z229">
        <v>144.29</v>
      </c>
      <c r="AA229">
        <v>232.09447599999999</v>
      </c>
      <c r="AB229">
        <v>100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101.3829149860826</v>
      </c>
    </row>
    <row r="230" spans="1:41" x14ac:dyDescent="0.3">
      <c r="A230">
        <v>957.58556232468175</v>
      </c>
      <c r="B230">
        <v>27</v>
      </c>
      <c r="C230">
        <v>19</v>
      </c>
      <c r="D230">
        <v>15</v>
      </c>
      <c r="E230">
        <v>23</v>
      </c>
      <c r="F230">
        <v>5</v>
      </c>
      <c r="G230">
        <v>0.3</v>
      </c>
      <c r="H230">
        <v>16</v>
      </c>
      <c r="I230">
        <v>14</v>
      </c>
      <c r="J230">
        <v>0.39582384638208562</v>
      </c>
      <c r="K230">
        <v>506080143.12587792</v>
      </c>
      <c r="L230">
        <v>54489300</v>
      </c>
      <c r="M230">
        <v>79702104.663425818</v>
      </c>
      <c r="N230">
        <v>69069700</v>
      </c>
      <c r="O230">
        <v>16384240.959999999</v>
      </c>
      <c r="P230">
        <v>204.39769799999999</v>
      </c>
      <c r="Q230">
        <v>1.3659265691850817</v>
      </c>
      <c r="R230">
        <v>43.664307999999998</v>
      </c>
      <c r="S230">
        <v>780.39105600000005</v>
      </c>
      <c r="T230">
        <v>4.68696661E-9</v>
      </c>
      <c r="U230">
        <v>19.839435121145428</v>
      </c>
      <c r="V230">
        <v>91.850000000000009</v>
      </c>
      <c r="W230">
        <v>-236.79666445687101</v>
      </c>
      <c r="X230">
        <v>62.891723900000002</v>
      </c>
      <c r="Y230">
        <v>92.454281800000004</v>
      </c>
      <c r="Z230">
        <v>180.98100000000002</v>
      </c>
      <c r="AA230">
        <v>234.34802500000001</v>
      </c>
      <c r="AB230">
        <v>100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101.36592656918508</v>
      </c>
    </row>
    <row r="231" spans="1:41" x14ac:dyDescent="0.3">
      <c r="A231">
        <v>910</v>
      </c>
      <c r="B231">
        <v>39</v>
      </c>
      <c r="C231">
        <v>10</v>
      </c>
      <c r="D231">
        <v>15</v>
      </c>
      <c r="E231">
        <v>10</v>
      </c>
      <c r="F231">
        <v>5</v>
      </c>
      <c r="G231">
        <v>1.2</v>
      </c>
      <c r="H231">
        <v>10</v>
      </c>
      <c r="I231">
        <v>7</v>
      </c>
      <c r="J231">
        <v>1.4</v>
      </c>
      <c r="K231">
        <v>344538000</v>
      </c>
      <c r="L231">
        <v>54489300</v>
      </c>
      <c r="M231">
        <v>79668000</v>
      </c>
      <c r="N231">
        <v>69069700</v>
      </c>
      <c r="O231">
        <v>0</v>
      </c>
      <c r="P231">
        <v>0</v>
      </c>
      <c r="Q231">
        <v>100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99</v>
      </c>
      <c r="AC231">
        <v>100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299</v>
      </c>
    </row>
    <row r="232" spans="1:41" x14ac:dyDescent="0.3">
      <c r="A232">
        <v>915.38888248970363</v>
      </c>
      <c r="B232">
        <v>27</v>
      </c>
      <c r="C232">
        <v>19</v>
      </c>
      <c r="D232">
        <v>12.332140283901373</v>
      </c>
      <c r="E232">
        <v>10</v>
      </c>
      <c r="F232">
        <v>5</v>
      </c>
      <c r="G232">
        <v>0.3</v>
      </c>
      <c r="H232">
        <v>17</v>
      </c>
      <c r="I232">
        <v>14</v>
      </c>
      <c r="J232">
        <v>1.4</v>
      </c>
      <c r="K232">
        <v>509862492.68868327</v>
      </c>
      <c r="L232">
        <v>54427900</v>
      </c>
      <c r="M232">
        <v>79680037.243730962</v>
      </c>
      <c r="N232">
        <v>70333600</v>
      </c>
      <c r="O232">
        <v>15896572.399999999</v>
      </c>
      <c r="P232">
        <v>210.63466399999999</v>
      </c>
      <c r="Q232">
        <v>1.3098964003221301</v>
      </c>
      <c r="R232">
        <v>43.523838499999997</v>
      </c>
      <c r="S232">
        <v>780.64158599999996</v>
      </c>
      <c r="T232">
        <v>6.82137326E-9</v>
      </c>
      <c r="U232">
        <v>19.579037446112899</v>
      </c>
      <c r="V232">
        <v>91.850000000000009</v>
      </c>
      <c r="W232">
        <v>-243.43046756966177</v>
      </c>
      <c r="X232">
        <v>62.856955900000003</v>
      </c>
      <c r="Y232">
        <v>92.478043299999996</v>
      </c>
      <c r="Z232">
        <v>144.29</v>
      </c>
      <c r="AA232">
        <v>229.606942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1.3098964003221301</v>
      </c>
    </row>
    <row r="233" spans="1:41" x14ac:dyDescent="0.3">
      <c r="A233">
        <v>944.5489456210679</v>
      </c>
      <c r="B233">
        <v>37</v>
      </c>
      <c r="C233">
        <v>19</v>
      </c>
      <c r="D233">
        <v>8.1765722432749595</v>
      </c>
      <c r="E233">
        <v>23</v>
      </c>
      <c r="F233">
        <v>6</v>
      </c>
      <c r="G233">
        <v>0.3</v>
      </c>
      <c r="H233">
        <v>17</v>
      </c>
      <c r="I233">
        <v>7</v>
      </c>
      <c r="J233">
        <v>1.4</v>
      </c>
      <c r="K233">
        <v>510130519.35045707</v>
      </c>
      <c r="L233">
        <v>54506800</v>
      </c>
      <c r="M233">
        <v>79713394.607455939</v>
      </c>
      <c r="N233">
        <v>72437500</v>
      </c>
      <c r="O233">
        <v>15894942.16</v>
      </c>
      <c r="P233">
        <v>211.780316</v>
      </c>
      <c r="Q233">
        <v>1.2614604829811733</v>
      </c>
      <c r="R233">
        <v>43.660125600000001</v>
      </c>
      <c r="S233">
        <v>780.20332499999995</v>
      </c>
      <c r="T233">
        <v>7.5262617300000005E-10</v>
      </c>
      <c r="U233">
        <v>19.76125584406757</v>
      </c>
      <c r="V233">
        <v>100.934</v>
      </c>
      <c r="W233">
        <v>-238.01031142041694</v>
      </c>
      <c r="X233">
        <v>62.814898800000002</v>
      </c>
      <c r="Y233">
        <v>92.257401799999997</v>
      </c>
      <c r="Z233">
        <v>180.98100000000002</v>
      </c>
      <c r="AA233">
        <v>231.89859799999999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1.2614604829811733</v>
      </c>
    </row>
    <row r="234" spans="1:41" x14ac:dyDescent="0.3">
      <c r="A234">
        <v>919.02144325838731</v>
      </c>
      <c r="B234">
        <v>34</v>
      </c>
      <c r="C234">
        <v>19</v>
      </c>
      <c r="D234">
        <v>15</v>
      </c>
      <c r="E234">
        <v>29</v>
      </c>
      <c r="F234">
        <v>14</v>
      </c>
      <c r="G234">
        <v>1.2</v>
      </c>
      <c r="H234">
        <v>26</v>
      </c>
      <c r="I234">
        <v>7</v>
      </c>
      <c r="J234">
        <v>1.4</v>
      </c>
      <c r="K234">
        <v>511498335.19782138</v>
      </c>
      <c r="L234">
        <v>54503200</v>
      </c>
      <c r="M234">
        <v>79684831.80898492</v>
      </c>
      <c r="N234">
        <v>71464400</v>
      </c>
      <c r="O234">
        <v>15897708.640000001</v>
      </c>
      <c r="P234">
        <v>209.94331600000001</v>
      </c>
      <c r="Q234">
        <v>1.2973061343779206</v>
      </c>
      <c r="R234">
        <v>43.643124</v>
      </c>
      <c r="S234">
        <v>781.15319099999999</v>
      </c>
      <c r="T234">
        <v>1.41283951E-18</v>
      </c>
      <c r="U234">
        <v>19.145551655592492</v>
      </c>
      <c r="V234">
        <v>100.934</v>
      </c>
      <c r="W234">
        <v>-239.12033343996274</v>
      </c>
      <c r="X234">
        <v>62.850409200000001</v>
      </c>
      <c r="Y234">
        <v>92.228763499999999</v>
      </c>
      <c r="Z234">
        <v>203.285</v>
      </c>
      <c r="AA234">
        <v>230.923654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1.2973061343779206</v>
      </c>
    </row>
    <row r="235" spans="1:41" x14ac:dyDescent="0.3">
      <c r="A235">
        <v>910</v>
      </c>
      <c r="B235">
        <v>38</v>
      </c>
      <c r="C235">
        <v>19</v>
      </c>
      <c r="D235">
        <v>14.393164764172184</v>
      </c>
      <c r="E235">
        <v>10</v>
      </c>
      <c r="F235">
        <v>5</v>
      </c>
      <c r="G235">
        <v>0.3</v>
      </c>
      <c r="H235">
        <v>18</v>
      </c>
      <c r="I235">
        <v>14</v>
      </c>
      <c r="J235">
        <v>1.4</v>
      </c>
      <c r="K235">
        <v>510676755.86704403</v>
      </c>
      <c r="L235">
        <v>54456800</v>
      </c>
      <c r="M235">
        <v>79673745.529181466</v>
      </c>
      <c r="N235">
        <v>70198500</v>
      </c>
      <c r="O235">
        <v>15896495.76</v>
      </c>
      <c r="P235">
        <v>210.42146199999999</v>
      </c>
      <c r="Q235">
        <v>1.3172910410926497</v>
      </c>
      <c r="R235">
        <v>43.525339000000002</v>
      </c>
      <c r="S235">
        <v>780.61071000000004</v>
      </c>
      <c r="T235">
        <v>6.84864454E-9</v>
      </c>
      <c r="U235">
        <v>19.566623244618995</v>
      </c>
      <c r="V235">
        <v>100.934</v>
      </c>
      <c r="W235">
        <v>-242.73278900558307</v>
      </c>
      <c r="X235">
        <v>62.8744078</v>
      </c>
      <c r="Y235">
        <v>92.128918400000003</v>
      </c>
      <c r="Z235">
        <v>144.29</v>
      </c>
      <c r="AA235">
        <v>229.583766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1.3172910410926497</v>
      </c>
    </row>
    <row r="236" spans="1:41" x14ac:dyDescent="0.3">
      <c r="A236">
        <v>911.27751256480656</v>
      </c>
      <c r="B236">
        <v>39</v>
      </c>
      <c r="C236">
        <v>19</v>
      </c>
      <c r="D236">
        <v>15</v>
      </c>
      <c r="E236">
        <v>16</v>
      </c>
      <c r="F236">
        <v>14</v>
      </c>
      <c r="G236">
        <v>0.3</v>
      </c>
      <c r="H236">
        <v>20</v>
      </c>
      <c r="I236">
        <v>14</v>
      </c>
      <c r="J236">
        <v>1.0801237983059919</v>
      </c>
      <c r="K236">
        <v>510750375.77084553</v>
      </c>
      <c r="L236">
        <v>54477100</v>
      </c>
      <c r="M236">
        <v>79675743.833057508</v>
      </c>
      <c r="N236">
        <v>71304000</v>
      </c>
      <c r="O236">
        <v>15897029.439999999</v>
      </c>
      <c r="P236">
        <v>209.72533100000001</v>
      </c>
      <c r="Q236">
        <v>1.2990602531090505</v>
      </c>
      <c r="R236">
        <v>43.633958399999997</v>
      </c>
      <c r="S236">
        <v>780.35167300000001</v>
      </c>
      <c r="T236">
        <v>5.1779478800000004E-9</v>
      </c>
      <c r="U236">
        <v>19.801859385226557</v>
      </c>
      <c r="V236">
        <v>100.934</v>
      </c>
      <c r="W236">
        <v>-239.58476371702463</v>
      </c>
      <c r="X236">
        <v>62.863703600000001</v>
      </c>
      <c r="Y236">
        <v>92.088422800000004</v>
      </c>
      <c r="Z236">
        <v>177.97</v>
      </c>
      <c r="AA236">
        <v>231.48267999999999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1.2990602531090505</v>
      </c>
    </row>
    <row r="237" spans="1:41" x14ac:dyDescent="0.3">
      <c r="A237">
        <v>927.83000149962561</v>
      </c>
      <c r="B237">
        <v>34</v>
      </c>
      <c r="C237">
        <v>13</v>
      </c>
      <c r="D237">
        <v>11.117680663175772</v>
      </c>
      <c r="E237">
        <v>29</v>
      </c>
      <c r="F237">
        <v>14</v>
      </c>
      <c r="G237">
        <v>0.3</v>
      </c>
      <c r="H237">
        <v>29</v>
      </c>
      <c r="I237">
        <v>7</v>
      </c>
      <c r="J237">
        <v>0.3</v>
      </c>
      <c r="K237">
        <v>510418279.98958027</v>
      </c>
      <c r="L237">
        <v>54506400</v>
      </c>
      <c r="M237">
        <v>79701332.289717734</v>
      </c>
      <c r="N237">
        <v>71978900</v>
      </c>
      <c r="O237">
        <v>15890889.68</v>
      </c>
      <c r="P237">
        <v>210.03699399999999</v>
      </c>
      <c r="Q237">
        <v>1.2824907328278037</v>
      </c>
      <c r="R237">
        <v>43.645131300000003</v>
      </c>
      <c r="S237">
        <v>780.02603199999999</v>
      </c>
      <c r="T237">
        <v>3.2381134400000001E-16</v>
      </c>
      <c r="U237">
        <v>19.661537398937</v>
      </c>
      <c r="V237">
        <v>100.934</v>
      </c>
      <c r="W237">
        <v>-236.72912741804569</v>
      </c>
      <c r="X237">
        <v>62.774177100000003</v>
      </c>
      <c r="Y237">
        <v>92.224528599999999</v>
      </c>
      <c r="Z237">
        <v>177.97</v>
      </c>
      <c r="AA237">
        <v>235.74491900000001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1.2824907328278037</v>
      </c>
    </row>
    <row r="238" spans="1:41" x14ac:dyDescent="0.3">
      <c r="A238">
        <v>940.36010926320353</v>
      </c>
      <c r="B238">
        <v>35</v>
      </c>
      <c r="C238">
        <v>10</v>
      </c>
      <c r="D238">
        <v>9.6301576266884528</v>
      </c>
      <c r="E238">
        <v>22</v>
      </c>
      <c r="F238">
        <v>7</v>
      </c>
      <c r="G238">
        <v>1.2</v>
      </c>
      <c r="H238">
        <v>26</v>
      </c>
      <c r="I238">
        <v>7</v>
      </c>
      <c r="J238">
        <v>0.73290005240157108</v>
      </c>
      <c r="K238">
        <v>510417210.89590412</v>
      </c>
      <c r="L238">
        <v>54518300</v>
      </c>
      <c r="M238">
        <v>79707901.765855089</v>
      </c>
      <c r="N238">
        <v>72093000</v>
      </c>
      <c r="O238">
        <v>15893440</v>
      </c>
      <c r="P238">
        <v>211.47832299999999</v>
      </c>
      <c r="Q238">
        <v>1.2716131997444295</v>
      </c>
      <c r="R238">
        <v>43.640034700000001</v>
      </c>
      <c r="S238">
        <v>780.45620699999995</v>
      </c>
      <c r="T238">
        <v>5.61322058E-12</v>
      </c>
      <c r="U238">
        <v>19.231912034538151</v>
      </c>
      <c r="V238">
        <v>100.934</v>
      </c>
      <c r="W238">
        <v>-237.82083511933158</v>
      </c>
      <c r="X238">
        <v>62.822442000000002</v>
      </c>
      <c r="Y238">
        <v>92.272856099999998</v>
      </c>
      <c r="Z238">
        <v>180.98100000000002</v>
      </c>
      <c r="AA238">
        <v>231.830637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1.2716131997444295</v>
      </c>
    </row>
    <row r="239" spans="1:41" x14ac:dyDescent="0.3">
      <c r="A239">
        <v>943.20681483123042</v>
      </c>
      <c r="B239">
        <v>29</v>
      </c>
      <c r="C239">
        <v>14</v>
      </c>
      <c r="D239">
        <v>7.5198358344631524</v>
      </c>
      <c r="E239">
        <v>16</v>
      </c>
      <c r="F239">
        <v>14</v>
      </c>
      <c r="G239">
        <v>0.3</v>
      </c>
      <c r="H239">
        <v>24</v>
      </c>
      <c r="I239">
        <v>14</v>
      </c>
      <c r="J239">
        <v>0.3</v>
      </c>
      <c r="K239">
        <v>509826325.84100163</v>
      </c>
      <c r="L239">
        <v>54469200</v>
      </c>
      <c r="M239">
        <v>79710296.335012436</v>
      </c>
      <c r="N239">
        <v>69034100</v>
      </c>
      <c r="O239">
        <v>15894159.600000001</v>
      </c>
      <c r="P239">
        <v>214.32360199999999</v>
      </c>
      <c r="Q239">
        <v>1.3148518471984472</v>
      </c>
      <c r="R239">
        <v>43.337183000000003</v>
      </c>
      <c r="S239">
        <v>782.29272600000002</v>
      </c>
      <c r="T239">
        <v>4.1451675699999999E-15</v>
      </c>
      <c r="U239">
        <v>19.006106161370049</v>
      </c>
      <c r="V239">
        <v>100.934</v>
      </c>
      <c r="W239">
        <v>-242.21607102970594</v>
      </c>
      <c r="X239">
        <v>62.856471599999999</v>
      </c>
      <c r="Y239">
        <v>92.478039600000002</v>
      </c>
      <c r="Z239">
        <v>100.934</v>
      </c>
      <c r="AA239">
        <v>227.51360099999999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1.3148518471984472</v>
      </c>
    </row>
    <row r="240" spans="1:41" x14ac:dyDescent="0.3">
      <c r="A240">
        <v>945.16356483369577</v>
      </c>
      <c r="B240">
        <v>35</v>
      </c>
      <c r="C240">
        <v>18</v>
      </c>
      <c r="D240">
        <v>7.2208576252234531</v>
      </c>
      <c r="E240">
        <v>10</v>
      </c>
      <c r="F240">
        <v>8</v>
      </c>
      <c r="G240">
        <v>0.30329867359670359</v>
      </c>
      <c r="H240">
        <v>18</v>
      </c>
      <c r="I240">
        <v>14</v>
      </c>
      <c r="J240">
        <v>0.3</v>
      </c>
      <c r="K240">
        <v>509830710.78479832</v>
      </c>
      <c r="L240">
        <v>54475300</v>
      </c>
      <c r="M240">
        <v>79713093.268183634</v>
      </c>
      <c r="N240">
        <v>69269700</v>
      </c>
      <c r="O240">
        <v>15895868.959999999</v>
      </c>
      <c r="P240">
        <v>215.10839999999999</v>
      </c>
      <c r="Q240">
        <v>1.3053589239703995</v>
      </c>
      <c r="R240">
        <v>43.343167100000002</v>
      </c>
      <c r="S240">
        <v>782.19169799999997</v>
      </c>
      <c r="T240">
        <v>7.8267821799999995E-11</v>
      </c>
      <c r="U240">
        <v>18.990866681159606</v>
      </c>
      <c r="V240">
        <v>100.934</v>
      </c>
      <c r="W240">
        <v>-243.45307442800626</v>
      </c>
      <c r="X240">
        <v>62.919345999999997</v>
      </c>
      <c r="Y240">
        <v>92.391610999999997</v>
      </c>
      <c r="Z240">
        <v>100.934</v>
      </c>
      <c r="AA240">
        <v>230.28995699999999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1.3053589239703995</v>
      </c>
    </row>
    <row r="241" spans="1:41" x14ac:dyDescent="0.3">
      <c r="A241">
        <v>949.55620468830091</v>
      </c>
      <c r="B241">
        <v>33</v>
      </c>
      <c r="C241">
        <v>11</v>
      </c>
      <c r="D241">
        <v>2.1945321715435768</v>
      </c>
      <c r="E241">
        <v>13</v>
      </c>
      <c r="F241">
        <v>6</v>
      </c>
      <c r="G241">
        <v>0.61704760850669249</v>
      </c>
      <c r="H241">
        <v>24</v>
      </c>
      <c r="I241">
        <v>14</v>
      </c>
      <c r="J241">
        <v>0.3</v>
      </c>
      <c r="K241">
        <v>509034539.34254587</v>
      </c>
      <c r="L241">
        <v>54490600</v>
      </c>
      <c r="M241">
        <v>79726793.373780504</v>
      </c>
      <c r="N241">
        <v>72322500</v>
      </c>
      <c r="O241">
        <v>15896608.399999999</v>
      </c>
      <c r="P241">
        <v>211.92673300000001</v>
      </c>
      <c r="Q241">
        <v>1.2591362172093392</v>
      </c>
      <c r="R241">
        <v>43.597209399999997</v>
      </c>
      <c r="S241">
        <v>780.06375600000001</v>
      </c>
      <c r="T241">
        <v>1.8048238799999999E-10</v>
      </c>
      <c r="U241">
        <v>19.438917814218513</v>
      </c>
      <c r="V241">
        <v>100.934</v>
      </c>
      <c r="W241">
        <v>-230.58099302129611</v>
      </c>
      <c r="X241">
        <v>62.7770224</v>
      </c>
      <c r="Y241">
        <v>92.982045099999993</v>
      </c>
      <c r="Z241">
        <v>165.7</v>
      </c>
      <c r="AA241">
        <v>235.28563199999999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1.2591362172093392</v>
      </c>
    </row>
    <row r="242" spans="1:41" x14ac:dyDescent="0.3">
      <c r="A242">
        <v>930.64957580591135</v>
      </c>
      <c r="B242">
        <v>27</v>
      </c>
      <c r="C242">
        <v>10</v>
      </c>
      <c r="D242">
        <v>15</v>
      </c>
      <c r="E242">
        <v>10</v>
      </c>
      <c r="F242">
        <v>8</v>
      </c>
      <c r="G242">
        <v>0.3</v>
      </c>
      <c r="H242">
        <v>20</v>
      </c>
      <c r="I242">
        <v>7</v>
      </c>
      <c r="J242">
        <v>0.3</v>
      </c>
      <c r="K242">
        <v>510531972.60660917</v>
      </c>
      <c r="L242">
        <v>54463800</v>
      </c>
      <c r="M242">
        <v>79696019.155645415</v>
      </c>
      <c r="N242">
        <v>68607400</v>
      </c>
      <c r="O242">
        <v>15892297.52</v>
      </c>
      <c r="P242">
        <v>213.085722</v>
      </c>
      <c r="Q242">
        <v>1.3334660574134853</v>
      </c>
      <c r="R242">
        <v>43.3365127</v>
      </c>
      <c r="S242">
        <v>782.48690600000009</v>
      </c>
      <c r="T242">
        <v>8.3164463700000002E-11</v>
      </c>
      <c r="U242">
        <v>19.07307170188276</v>
      </c>
      <c r="V242">
        <v>100.934</v>
      </c>
      <c r="W242">
        <v>-241.41905997122481</v>
      </c>
      <c r="X242">
        <v>62.8503039</v>
      </c>
      <c r="Y242">
        <v>92.425190900000004</v>
      </c>
      <c r="Z242">
        <v>100.934</v>
      </c>
      <c r="AA242">
        <v>226.97277099999999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1.3334660574134853</v>
      </c>
    </row>
    <row r="243" spans="1:41" x14ac:dyDescent="0.3">
      <c r="A243">
        <v>910</v>
      </c>
      <c r="B243">
        <v>39</v>
      </c>
      <c r="C243">
        <v>19</v>
      </c>
      <c r="D243">
        <v>1</v>
      </c>
      <c r="E243">
        <v>20</v>
      </c>
      <c r="F243">
        <v>14</v>
      </c>
      <c r="G243">
        <v>1.2</v>
      </c>
      <c r="H243">
        <v>10</v>
      </c>
      <c r="I243">
        <v>7</v>
      </c>
      <c r="J243">
        <v>0.3</v>
      </c>
      <c r="K243">
        <v>508371772.93791294</v>
      </c>
      <c r="L243">
        <v>54437800</v>
      </c>
      <c r="M243">
        <v>79688461.262292579</v>
      </c>
      <c r="N243">
        <v>72402900</v>
      </c>
      <c r="O243">
        <v>15893732.720000001</v>
      </c>
      <c r="P243">
        <v>205.634648</v>
      </c>
      <c r="Q243">
        <v>1.2926163706479956</v>
      </c>
      <c r="R243">
        <v>43.600499999999997</v>
      </c>
      <c r="S243">
        <v>781.19152800000006</v>
      </c>
      <c r="T243">
        <v>5.1132412699999998E-13</v>
      </c>
      <c r="U243">
        <v>19.522416252208796</v>
      </c>
      <c r="V243">
        <v>80.72</v>
      </c>
      <c r="W243">
        <v>-147.13527144287127</v>
      </c>
      <c r="X243">
        <v>63.054060499999999</v>
      </c>
      <c r="Y243">
        <v>94.8131427</v>
      </c>
      <c r="Z243">
        <v>180.98100000000002</v>
      </c>
      <c r="AA243">
        <v>236.23804699999999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1.2926163706479956</v>
      </c>
    </row>
    <row r="244" spans="1:41" x14ac:dyDescent="0.3">
      <c r="A244">
        <v>910</v>
      </c>
      <c r="B244">
        <v>30</v>
      </c>
      <c r="C244">
        <v>19</v>
      </c>
      <c r="D244">
        <v>15</v>
      </c>
      <c r="E244">
        <v>24</v>
      </c>
      <c r="F244">
        <v>14</v>
      </c>
      <c r="G244">
        <v>0.3</v>
      </c>
      <c r="H244">
        <v>21</v>
      </c>
      <c r="I244">
        <v>7</v>
      </c>
      <c r="J244">
        <v>1.4</v>
      </c>
      <c r="K244">
        <v>510670334.8569752</v>
      </c>
      <c r="L244">
        <v>54457200</v>
      </c>
      <c r="M244">
        <v>79674245.76687713</v>
      </c>
      <c r="N244">
        <v>71193900</v>
      </c>
      <c r="O244">
        <v>15896742</v>
      </c>
      <c r="P244">
        <v>209.82704799999999</v>
      </c>
      <c r="Q244">
        <v>1.3000691832169928</v>
      </c>
      <c r="R244">
        <v>43.6159526</v>
      </c>
      <c r="S244">
        <v>779.853475</v>
      </c>
      <c r="T244">
        <v>4.1534447600000001E-16</v>
      </c>
      <c r="U244">
        <v>19.565858530418005</v>
      </c>
      <c r="V244">
        <v>100.934</v>
      </c>
      <c r="W244">
        <v>-239.9122438517096</v>
      </c>
      <c r="X244">
        <v>62.864387200000003</v>
      </c>
      <c r="Y244">
        <v>92.354379300000005</v>
      </c>
      <c r="Z244">
        <v>177.97</v>
      </c>
      <c r="AA244">
        <v>231.058404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1.3000691832169928</v>
      </c>
    </row>
    <row r="245" spans="1:41" x14ac:dyDescent="0.3">
      <c r="A245">
        <v>940.83160173026681</v>
      </c>
      <c r="B245">
        <v>38</v>
      </c>
      <c r="C245">
        <v>19</v>
      </c>
      <c r="D245">
        <v>15</v>
      </c>
      <c r="E245">
        <v>21</v>
      </c>
      <c r="F245">
        <v>14</v>
      </c>
      <c r="G245">
        <v>0.3</v>
      </c>
      <c r="H245">
        <v>16</v>
      </c>
      <c r="I245">
        <v>14</v>
      </c>
      <c r="J245">
        <v>1.4</v>
      </c>
      <c r="K245">
        <v>511033903.85193783</v>
      </c>
      <c r="L245">
        <v>54523400</v>
      </c>
      <c r="M245">
        <v>79708200.793911964</v>
      </c>
      <c r="N245">
        <v>71640100</v>
      </c>
      <c r="O245">
        <v>15896774</v>
      </c>
      <c r="P245">
        <v>212.407837</v>
      </c>
      <c r="Q245">
        <v>1.2775377970441417</v>
      </c>
      <c r="R245">
        <v>43.572885499999998</v>
      </c>
      <c r="S245">
        <v>779.89511000000005</v>
      </c>
      <c r="T245">
        <v>5.9144806799999999E-16</v>
      </c>
      <c r="U245">
        <v>19.468145687833008</v>
      </c>
      <c r="V245">
        <v>100.934</v>
      </c>
      <c r="W245">
        <v>-241.98606454755841</v>
      </c>
      <c r="X245">
        <v>62.849112099999999</v>
      </c>
      <c r="Y245">
        <v>92.115465299999997</v>
      </c>
      <c r="Z245">
        <v>144.29</v>
      </c>
      <c r="AA245">
        <v>231.87747999999999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1.2775377970441417</v>
      </c>
    </row>
    <row r="246" spans="1:41" x14ac:dyDescent="0.3">
      <c r="A246">
        <v>927.95791221959951</v>
      </c>
      <c r="B246">
        <v>27</v>
      </c>
      <c r="C246">
        <v>19</v>
      </c>
      <c r="D246">
        <v>11.904352167081424</v>
      </c>
      <c r="E246">
        <v>13</v>
      </c>
      <c r="F246">
        <v>11</v>
      </c>
      <c r="G246">
        <v>0.40398315268776952</v>
      </c>
      <c r="H246">
        <v>12</v>
      </c>
      <c r="I246">
        <v>7</v>
      </c>
      <c r="J246">
        <v>0.3</v>
      </c>
      <c r="K246">
        <v>509698634.1699183</v>
      </c>
      <c r="L246">
        <v>54426700</v>
      </c>
      <c r="M246">
        <v>79694224.956282526</v>
      </c>
      <c r="N246">
        <v>69146600</v>
      </c>
      <c r="O246">
        <v>15890440.880000001</v>
      </c>
      <c r="P246">
        <v>213.23085699999999</v>
      </c>
      <c r="Q246">
        <v>1.3179747106172017</v>
      </c>
      <c r="R246">
        <v>43.365535899999998</v>
      </c>
      <c r="S246">
        <v>781.20670500000006</v>
      </c>
      <c r="T246">
        <v>2.5745960600000002E-12</v>
      </c>
      <c r="U246">
        <v>18.795202375250355</v>
      </c>
      <c r="V246">
        <v>91.850000000000009</v>
      </c>
      <c r="W246">
        <v>-242.85782569700265</v>
      </c>
      <c r="X246">
        <v>62.894648599999996</v>
      </c>
      <c r="Y246">
        <v>92.506383299999996</v>
      </c>
      <c r="Z246">
        <v>100.934</v>
      </c>
      <c r="AA246">
        <v>230.67700199999999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1.3179747106172017</v>
      </c>
    </row>
    <row r="247" spans="1:41" x14ac:dyDescent="0.3">
      <c r="A247">
        <v>943.15216380714662</v>
      </c>
      <c r="B247">
        <v>36</v>
      </c>
      <c r="C247">
        <v>14</v>
      </c>
      <c r="D247">
        <v>15</v>
      </c>
      <c r="E247">
        <v>29</v>
      </c>
      <c r="F247">
        <v>8</v>
      </c>
      <c r="G247">
        <v>0.3</v>
      </c>
      <c r="H247">
        <v>19</v>
      </c>
      <c r="I247">
        <v>7</v>
      </c>
      <c r="J247">
        <v>1.4</v>
      </c>
      <c r="K247">
        <v>511375615.15714204</v>
      </c>
      <c r="L247">
        <v>54544500</v>
      </c>
      <c r="M247">
        <v>79711597.021186605</v>
      </c>
      <c r="N247">
        <v>72429700</v>
      </c>
      <c r="O247">
        <v>15897750.24</v>
      </c>
      <c r="P247">
        <v>211.72127599999999</v>
      </c>
      <c r="Q247">
        <v>1.2667531432809971</v>
      </c>
      <c r="R247">
        <v>43.661680599999997</v>
      </c>
      <c r="S247">
        <v>780.00895000000003</v>
      </c>
      <c r="T247">
        <v>1.8665668699999999E-11</v>
      </c>
      <c r="U247">
        <v>19.677394130897863</v>
      </c>
      <c r="V247">
        <v>100.934</v>
      </c>
      <c r="W247">
        <v>-237.56377754508455</v>
      </c>
      <c r="X247">
        <v>62.816870000000002</v>
      </c>
      <c r="Y247">
        <v>92.146530299999995</v>
      </c>
      <c r="Z247">
        <v>180.98100000000002</v>
      </c>
      <c r="AA247">
        <v>231.79798299999999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1.2667531432809971</v>
      </c>
    </row>
    <row r="248" spans="1:41" x14ac:dyDescent="0.3">
      <c r="A248">
        <v>936.65315345933652</v>
      </c>
      <c r="B248">
        <v>34</v>
      </c>
      <c r="C248">
        <v>14</v>
      </c>
      <c r="D248">
        <v>8.6988768620855019</v>
      </c>
      <c r="E248">
        <v>29</v>
      </c>
      <c r="F248">
        <v>14</v>
      </c>
      <c r="G248">
        <v>0.3</v>
      </c>
      <c r="H248">
        <v>29</v>
      </c>
      <c r="I248">
        <v>14</v>
      </c>
      <c r="J248">
        <v>1.4</v>
      </c>
      <c r="K248">
        <v>510117506.26989609</v>
      </c>
      <c r="L248">
        <v>54502200</v>
      </c>
      <c r="M248">
        <v>79703207.960939646</v>
      </c>
      <c r="N248">
        <v>72134000</v>
      </c>
      <c r="O248">
        <v>15891054.08</v>
      </c>
      <c r="P248">
        <v>211.34428399999999</v>
      </c>
      <c r="Q248">
        <v>1.2702643621874645</v>
      </c>
      <c r="R248">
        <v>43.647845599999997</v>
      </c>
      <c r="S248">
        <v>779.84151999999995</v>
      </c>
      <c r="T248">
        <v>3.1910005999999999E-16</v>
      </c>
      <c r="U248">
        <v>19.600976153164005</v>
      </c>
      <c r="V248">
        <v>100.934</v>
      </c>
      <c r="W248">
        <v>-238.03740457607509</v>
      </c>
      <c r="X248">
        <v>62.827886200000002</v>
      </c>
      <c r="Y248">
        <v>92.304734100000005</v>
      </c>
      <c r="Z248">
        <v>177.97</v>
      </c>
      <c r="AA248">
        <v>230.98650900000001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1.2702643621874645</v>
      </c>
    </row>
    <row r="249" spans="1:41" x14ac:dyDescent="0.3">
      <c r="A249">
        <v>910</v>
      </c>
      <c r="B249">
        <v>27</v>
      </c>
      <c r="C249">
        <v>11</v>
      </c>
      <c r="D249">
        <v>1</v>
      </c>
      <c r="E249">
        <v>10</v>
      </c>
      <c r="F249">
        <v>5</v>
      </c>
      <c r="G249">
        <v>0.3</v>
      </c>
      <c r="H249">
        <v>10</v>
      </c>
      <c r="I249">
        <v>8</v>
      </c>
      <c r="J249">
        <v>0.3</v>
      </c>
      <c r="K249">
        <v>507645808.96977681</v>
      </c>
      <c r="L249">
        <v>54385700</v>
      </c>
      <c r="M249">
        <v>79687961.129372001</v>
      </c>
      <c r="N249">
        <v>71424000</v>
      </c>
      <c r="O249">
        <v>15894397.92</v>
      </c>
      <c r="P249">
        <v>206.72493800000001</v>
      </c>
      <c r="Q249">
        <v>1.3032056098099054</v>
      </c>
      <c r="R249">
        <v>43.485987299999998</v>
      </c>
      <c r="S249">
        <v>780.87962600000003</v>
      </c>
      <c r="T249">
        <v>5.7345907300000003E-9</v>
      </c>
      <c r="U249">
        <v>19.575388842780526</v>
      </c>
      <c r="V249">
        <v>80.72</v>
      </c>
      <c r="W249">
        <v>-154.56026489290119</v>
      </c>
      <c r="X249">
        <v>63.120266999999998</v>
      </c>
      <c r="Y249">
        <v>94.936263600000004</v>
      </c>
      <c r="Z249">
        <v>144.29</v>
      </c>
      <c r="AA249">
        <v>235.73973899999999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1.3032056098099054</v>
      </c>
    </row>
    <row r="250" spans="1:41" x14ac:dyDescent="0.3">
      <c r="A250">
        <v>920.19525769458699</v>
      </c>
      <c r="B250">
        <v>27</v>
      </c>
      <c r="C250">
        <v>19</v>
      </c>
      <c r="D250">
        <v>15</v>
      </c>
      <c r="E250">
        <v>29</v>
      </c>
      <c r="F250">
        <v>5</v>
      </c>
      <c r="G250">
        <v>0.3</v>
      </c>
      <c r="H250">
        <v>22</v>
      </c>
      <c r="I250">
        <v>7</v>
      </c>
      <c r="J250">
        <v>1.4</v>
      </c>
      <c r="K250">
        <v>510855736.66445982</v>
      </c>
      <c r="L250">
        <v>54470400</v>
      </c>
      <c r="M250">
        <v>79686430.045270741</v>
      </c>
      <c r="N250">
        <v>71875600</v>
      </c>
      <c r="O250">
        <v>15899343.52</v>
      </c>
      <c r="P250">
        <v>210.079995</v>
      </c>
      <c r="Q250">
        <v>1.2850559768135785</v>
      </c>
      <c r="R250">
        <v>43.670648499999999</v>
      </c>
      <c r="S250">
        <v>780.27117700000008</v>
      </c>
      <c r="T250">
        <v>4.6990050700000001E-9</v>
      </c>
      <c r="U250">
        <v>19.828640650823932</v>
      </c>
      <c r="V250">
        <v>91.850000000000009</v>
      </c>
      <c r="W250">
        <v>-238.11767572143165</v>
      </c>
      <c r="X250">
        <v>62.848609699999997</v>
      </c>
      <c r="Y250">
        <v>92.447098999999994</v>
      </c>
      <c r="Z250">
        <v>180.98100000000002</v>
      </c>
      <c r="AA250">
        <v>231.54122599999999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1.2850559768135785</v>
      </c>
    </row>
    <row r="251" spans="1:41" x14ac:dyDescent="0.3">
      <c r="A251">
        <v>914.73824911660404</v>
      </c>
      <c r="B251">
        <v>36</v>
      </c>
      <c r="C251">
        <v>19</v>
      </c>
      <c r="D251">
        <v>15</v>
      </c>
      <c r="E251">
        <v>29</v>
      </c>
      <c r="F251">
        <v>5</v>
      </c>
      <c r="G251">
        <v>0.3</v>
      </c>
      <c r="H251">
        <v>20</v>
      </c>
      <c r="I251">
        <v>14</v>
      </c>
      <c r="J251">
        <v>1.4</v>
      </c>
      <c r="K251">
        <v>511134003.07629609</v>
      </c>
      <c r="L251">
        <v>54498900</v>
      </c>
      <c r="M251">
        <v>79679938.585674003</v>
      </c>
      <c r="N251">
        <v>71734200</v>
      </c>
      <c r="O251">
        <v>15897837.040000001</v>
      </c>
      <c r="P251">
        <v>209.76076</v>
      </c>
      <c r="Q251">
        <v>1.2914877512440603</v>
      </c>
      <c r="R251">
        <v>43.670983900000003</v>
      </c>
      <c r="S251">
        <v>780.267201</v>
      </c>
      <c r="T251">
        <v>4.7249231200000001E-9</v>
      </c>
      <c r="U251">
        <v>19.823191679370879</v>
      </c>
      <c r="V251">
        <v>100.934</v>
      </c>
      <c r="W251">
        <v>-237.44882474960224</v>
      </c>
      <c r="X251">
        <v>62.857737800000002</v>
      </c>
      <c r="Y251">
        <v>92.171112500000007</v>
      </c>
      <c r="Z251">
        <v>180.98100000000002</v>
      </c>
      <c r="AA251">
        <v>232.000947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1.2914877512440603</v>
      </c>
    </row>
    <row r="252" spans="1:41" x14ac:dyDescent="0.3">
      <c r="A252">
        <v>916.18052946062323</v>
      </c>
      <c r="B252">
        <v>39</v>
      </c>
      <c r="C252">
        <v>10</v>
      </c>
      <c r="D252">
        <v>1</v>
      </c>
      <c r="E252">
        <v>22</v>
      </c>
      <c r="F252">
        <v>14</v>
      </c>
      <c r="G252">
        <v>1.2</v>
      </c>
      <c r="H252">
        <v>19</v>
      </c>
      <c r="I252">
        <v>7</v>
      </c>
      <c r="J252">
        <v>1.4</v>
      </c>
      <c r="K252">
        <v>508919391.30592144</v>
      </c>
      <c r="L252">
        <v>54447800</v>
      </c>
      <c r="M252">
        <v>79681436.244053245</v>
      </c>
      <c r="N252">
        <v>72119000</v>
      </c>
      <c r="O252">
        <v>15890873.279999999</v>
      </c>
      <c r="P252">
        <v>207.112754</v>
      </c>
      <c r="Q252">
        <v>1.2914503595249103</v>
      </c>
      <c r="R252">
        <v>43.588445900000004</v>
      </c>
      <c r="S252">
        <v>781.45116099999996</v>
      </c>
      <c r="T252">
        <v>1.98067384E-18</v>
      </c>
      <c r="U252">
        <v>19.14062672206969</v>
      </c>
      <c r="V252">
        <v>80.72</v>
      </c>
      <c r="W252">
        <v>-139.66781424087429</v>
      </c>
      <c r="X252">
        <v>63.105497200000002</v>
      </c>
      <c r="Y252">
        <v>94.868905799999993</v>
      </c>
      <c r="Z252">
        <v>177.97</v>
      </c>
      <c r="AA252">
        <v>231.03928300000001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1.2914503595249103</v>
      </c>
    </row>
    <row r="253" spans="1:41" x14ac:dyDescent="0.3">
      <c r="A253">
        <v>923.7399956680124</v>
      </c>
      <c r="B253">
        <v>27</v>
      </c>
      <c r="C253">
        <v>19</v>
      </c>
      <c r="D253">
        <v>1</v>
      </c>
      <c r="E253">
        <v>29</v>
      </c>
      <c r="F253">
        <v>5</v>
      </c>
      <c r="G253">
        <v>1.2</v>
      </c>
      <c r="H253">
        <v>10</v>
      </c>
      <c r="I253">
        <v>7</v>
      </c>
      <c r="J253">
        <v>0.3</v>
      </c>
      <c r="K253">
        <v>508129699.06974208</v>
      </c>
      <c r="L253">
        <v>54437000</v>
      </c>
      <c r="M253">
        <v>79704139.058600038</v>
      </c>
      <c r="N253">
        <v>73593600</v>
      </c>
      <c r="O253">
        <v>15897018.879999999</v>
      </c>
      <c r="P253">
        <v>203.84657200000001</v>
      </c>
      <c r="Q253">
        <v>1.2773464371160503</v>
      </c>
      <c r="R253">
        <v>43.6813456</v>
      </c>
      <c r="S253">
        <v>780.04021899999998</v>
      </c>
      <c r="T253">
        <v>2.5813045700000001E-9</v>
      </c>
      <c r="U253">
        <v>19.84191988883266</v>
      </c>
      <c r="V253">
        <v>68.709999999999994</v>
      </c>
      <c r="W253">
        <v>-167.08998736225789</v>
      </c>
      <c r="X253">
        <v>63.042120699999998</v>
      </c>
      <c r="Y253">
        <v>95.060552599999994</v>
      </c>
      <c r="Z253">
        <v>203.285</v>
      </c>
      <c r="AA253">
        <v>235.42309599999999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1.2773464371160503</v>
      </c>
    </row>
    <row r="254" spans="1:41" x14ac:dyDescent="0.3">
      <c r="A254">
        <v>947.91620221482697</v>
      </c>
      <c r="B254">
        <v>39</v>
      </c>
      <c r="C254">
        <v>18</v>
      </c>
      <c r="D254">
        <v>5.6932517563544485</v>
      </c>
      <c r="E254">
        <v>14</v>
      </c>
      <c r="F254">
        <v>12</v>
      </c>
      <c r="G254">
        <v>0.3667674375877471</v>
      </c>
      <c r="H254">
        <v>16</v>
      </c>
      <c r="I254">
        <v>7</v>
      </c>
      <c r="J254">
        <v>0.3</v>
      </c>
      <c r="K254">
        <v>509804347.76877087</v>
      </c>
      <c r="L254">
        <v>54480500</v>
      </c>
      <c r="M254">
        <v>79718890.736735061</v>
      </c>
      <c r="N254">
        <v>69446600</v>
      </c>
      <c r="O254">
        <v>15896514.960000001</v>
      </c>
      <c r="P254">
        <v>214.460048</v>
      </c>
      <c r="Q254">
        <v>1.305687624442184</v>
      </c>
      <c r="R254">
        <v>43.353616899999999</v>
      </c>
      <c r="S254">
        <v>781.67029099999991</v>
      </c>
      <c r="T254">
        <v>3.2185838999999998E-14</v>
      </c>
      <c r="U254">
        <v>18.888240993861483</v>
      </c>
      <c r="V254">
        <v>100.934</v>
      </c>
      <c r="W254">
        <v>-241.60834940548057</v>
      </c>
      <c r="X254">
        <v>62.827189400000002</v>
      </c>
      <c r="Y254">
        <v>92.3342241</v>
      </c>
      <c r="Z254">
        <v>100.934</v>
      </c>
      <c r="AA254">
        <v>228.66225499999999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1.305687624442184</v>
      </c>
    </row>
    <row r="255" spans="1:41" x14ac:dyDescent="0.3">
      <c r="A255">
        <v>935.3159750092301</v>
      </c>
      <c r="B255">
        <v>27</v>
      </c>
      <c r="C255">
        <v>19</v>
      </c>
      <c r="D255">
        <v>7.6564684144879607</v>
      </c>
      <c r="E255">
        <v>17</v>
      </c>
      <c r="F255">
        <v>5</v>
      </c>
      <c r="G255">
        <v>1.2</v>
      </c>
      <c r="H255">
        <v>10</v>
      </c>
      <c r="I255">
        <v>7</v>
      </c>
      <c r="J255">
        <v>1.4</v>
      </c>
      <c r="K255">
        <v>509444622.98217994</v>
      </c>
      <c r="L255">
        <v>54446300</v>
      </c>
      <c r="M255">
        <v>79701510.232915774</v>
      </c>
      <c r="N255">
        <v>72096700</v>
      </c>
      <c r="O255">
        <v>15889996.719999999</v>
      </c>
      <c r="P255">
        <v>211.21950699999999</v>
      </c>
      <c r="Q255">
        <v>1.2684634052978414</v>
      </c>
      <c r="R255">
        <v>43.643277900000001</v>
      </c>
      <c r="S255">
        <v>780.01342399999999</v>
      </c>
      <c r="T255">
        <v>5.4172880300000001E-10</v>
      </c>
      <c r="U255">
        <v>19.336951868085343</v>
      </c>
      <c r="V255">
        <v>91.850000000000009</v>
      </c>
      <c r="W255">
        <v>-239.56500382214168</v>
      </c>
      <c r="X255">
        <v>62.8409032</v>
      </c>
      <c r="Y255">
        <v>92.565499000000003</v>
      </c>
      <c r="Z255">
        <v>180.98100000000002</v>
      </c>
      <c r="AA255">
        <v>233.259274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1.2684634052978414</v>
      </c>
    </row>
    <row r="256" spans="1:41" x14ac:dyDescent="0.3">
      <c r="A256">
        <v>910</v>
      </c>
      <c r="B256">
        <v>35</v>
      </c>
      <c r="C256">
        <v>16</v>
      </c>
      <c r="D256">
        <v>15</v>
      </c>
      <c r="E256">
        <v>10</v>
      </c>
      <c r="F256">
        <v>8</v>
      </c>
      <c r="G256">
        <v>0.3</v>
      </c>
      <c r="H256">
        <v>29</v>
      </c>
      <c r="I256">
        <v>14</v>
      </c>
      <c r="J256">
        <v>0.3</v>
      </c>
      <c r="K256">
        <v>511077563.11491317</v>
      </c>
      <c r="L256">
        <v>54476100</v>
      </c>
      <c r="M256">
        <v>79674647.076360434</v>
      </c>
      <c r="N256">
        <v>68103900</v>
      </c>
      <c r="O256">
        <v>15897222.16</v>
      </c>
      <c r="P256">
        <v>211.68206499999999</v>
      </c>
      <c r="Q256">
        <v>1.3548142182081377</v>
      </c>
      <c r="R256">
        <v>43.337486499999997</v>
      </c>
      <c r="S256">
        <v>782.48707999999999</v>
      </c>
      <c r="T256">
        <v>8.3848907799999996E-11</v>
      </c>
      <c r="U256">
        <v>19.080154424387811</v>
      </c>
      <c r="V256">
        <v>100.934</v>
      </c>
      <c r="W256">
        <v>-241.26364035620884</v>
      </c>
      <c r="X256">
        <v>62.860295700000002</v>
      </c>
      <c r="Y256">
        <v>92.192674699999998</v>
      </c>
      <c r="Z256">
        <v>100.934</v>
      </c>
      <c r="AA256">
        <v>226.89520099999999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1.3548142182081377</v>
      </c>
    </row>
    <row r="257" spans="1:41" x14ac:dyDescent="0.3">
      <c r="A257">
        <v>918.75733074755021</v>
      </c>
      <c r="B257">
        <v>29</v>
      </c>
      <c r="C257">
        <v>19</v>
      </c>
      <c r="D257">
        <v>9.5273831085101737</v>
      </c>
      <c r="E257">
        <v>29</v>
      </c>
      <c r="F257">
        <v>5</v>
      </c>
      <c r="G257">
        <v>1.1979056024074179</v>
      </c>
      <c r="H257">
        <v>16</v>
      </c>
      <c r="I257">
        <v>14</v>
      </c>
      <c r="J257">
        <v>0.3</v>
      </c>
      <c r="K257">
        <v>510086715.52980936</v>
      </c>
      <c r="L257">
        <v>54476600</v>
      </c>
      <c r="M257">
        <v>79707657.342060328</v>
      </c>
      <c r="N257">
        <v>71861000</v>
      </c>
      <c r="O257">
        <v>15902988.32</v>
      </c>
      <c r="P257">
        <v>209.197396</v>
      </c>
      <c r="Q257">
        <v>1.2884209970321743</v>
      </c>
      <c r="R257">
        <v>43.642172100000003</v>
      </c>
      <c r="S257">
        <v>780.70401800000002</v>
      </c>
      <c r="T257">
        <v>4.6902554400000005E-10</v>
      </c>
      <c r="U257">
        <v>19.394923532827839</v>
      </c>
      <c r="V257">
        <v>91.850000000000009</v>
      </c>
      <c r="W257">
        <v>-237.10015996635403</v>
      </c>
      <c r="X257">
        <v>62.763627499999998</v>
      </c>
      <c r="Y257">
        <v>92.405980999999997</v>
      </c>
      <c r="Z257">
        <v>203.285</v>
      </c>
      <c r="AA257">
        <v>240.842668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1.2884209970321743</v>
      </c>
    </row>
    <row r="258" spans="1:41" x14ac:dyDescent="0.3">
      <c r="A258">
        <v>942.7259487904854</v>
      </c>
      <c r="B258">
        <v>27</v>
      </c>
      <c r="C258">
        <v>10</v>
      </c>
      <c r="D258">
        <v>15</v>
      </c>
      <c r="E258">
        <v>29</v>
      </c>
      <c r="F258">
        <v>14</v>
      </c>
      <c r="G258">
        <v>1.2</v>
      </c>
      <c r="H258">
        <v>18</v>
      </c>
      <c r="I258">
        <v>14</v>
      </c>
      <c r="J258">
        <v>0.3</v>
      </c>
      <c r="K258">
        <v>511213596.96315575</v>
      </c>
      <c r="L258">
        <v>54518500</v>
      </c>
      <c r="M258">
        <v>79721008.732782871</v>
      </c>
      <c r="N258">
        <v>72275900</v>
      </c>
      <c r="O258">
        <v>15900508.560000001</v>
      </c>
      <c r="P258">
        <v>211.02636100000001</v>
      </c>
      <c r="Q258">
        <v>1.273076768453973</v>
      </c>
      <c r="R258">
        <v>43.6393214</v>
      </c>
      <c r="S258">
        <v>781.338752</v>
      </c>
      <c r="T258">
        <v>1.4113272400000001E-18</v>
      </c>
      <c r="U258">
        <v>19.192135934235413</v>
      </c>
      <c r="V258">
        <v>100.934</v>
      </c>
      <c r="W258">
        <v>-238.20882376707118</v>
      </c>
      <c r="X258">
        <v>62.776790900000002</v>
      </c>
      <c r="Y258">
        <v>92.388025200000001</v>
      </c>
      <c r="Z258">
        <v>203.285</v>
      </c>
      <c r="AA258">
        <v>234.97897699999999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1.273076768453973</v>
      </c>
    </row>
    <row r="259" spans="1:41" x14ac:dyDescent="0.3">
      <c r="A259">
        <v>926.95832139274933</v>
      </c>
      <c r="B259">
        <v>39</v>
      </c>
      <c r="C259">
        <v>10</v>
      </c>
      <c r="D259">
        <v>15</v>
      </c>
      <c r="E259">
        <v>22</v>
      </c>
      <c r="F259">
        <v>14</v>
      </c>
      <c r="G259">
        <v>0.3</v>
      </c>
      <c r="H259">
        <v>21</v>
      </c>
      <c r="I259">
        <v>7</v>
      </c>
      <c r="J259">
        <v>0.3</v>
      </c>
      <c r="K259">
        <v>510795460.2668395</v>
      </c>
      <c r="L259">
        <v>54501600</v>
      </c>
      <c r="M259">
        <v>79698932.414831519</v>
      </c>
      <c r="N259">
        <v>71407900</v>
      </c>
      <c r="O259">
        <v>15892286</v>
      </c>
      <c r="P259">
        <v>210.40115499999999</v>
      </c>
      <c r="Q259">
        <v>1.2933671812278085</v>
      </c>
      <c r="R259">
        <v>43.586618799999997</v>
      </c>
      <c r="S259">
        <v>780.10171600000001</v>
      </c>
      <c r="T259">
        <v>5.20953829E-16</v>
      </c>
      <c r="U259">
        <v>19.581578736558004</v>
      </c>
      <c r="V259">
        <v>100.934</v>
      </c>
      <c r="W259">
        <v>-239.44965043186988</v>
      </c>
      <c r="X259">
        <v>62.783869000000003</v>
      </c>
      <c r="Y259">
        <v>92.056482299999999</v>
      </c>
      <c r="Z259">
        <v>165.7</v>
      </c>
      <c r="AA259">
        <v>234.73815999999999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1.2933671812278085</v>
      </c>
    </row>
    <row r="260" spans="1:41" x14ac:dyDescent="0.3">
      <c r="A260">
        <v>910</v>
      </c>
      <c r="B260">
        <v>33</v>
      </c>
      <c r="C260">
        <v>10</v>
      </c>
      <c r="D260">
        <v>1</v>
      </c>
      <c r="E260">
        <v>29</v>
      </c>
      <c r="F260">
        <v>5</v>
      </c>
      <c r="G260">
        <v>0.3</v>
      </c>
      <c r="H260">
        <v>10</v>
      </c>
      <c r="I260">
        <v>7</v>
      </c>
      <c r="J260">
        <v>1.4</v>
      </c>
      <c r="K260">
        <v>508197847.19980359</v>
      </c>
      <c r="L260">
        <v>54405800</v>
      </c>
      <c r="M260">
        <v>79674445.93328464</v>
      </c>
      <c r="N260">
        <v>72512800</v>
      </c>
      <c r="O260">
        <v>15889587.600000001</v>
      </c>
      <c r="P260">
        <v>206.435271</v>
      </c>
      <c r="Q260">
        <v>1.2839968954102128</v>
      </c>
      <c r="R260">
        <v>43.632986099999997</v>
      </c>
      <c r="S260">
        <v>780.68859099999997</v>
      </c>
      <c r="T260">
        <v>3.9437787699999999E-9</v>
      </c>
      <c r="U260">
        <v>19.78034781402528</v>
      </c>
      <c r="V260">
        <v>80.72</v>
      </c>
      <c r="W260">
        <v>-140.73320640002839</v>
      </c>
      <c r="X260">
        <v>63.123082099999998</v>
      </c>
      <c r="Y260">
        <v>94.902733799999993</v>
      </c>
      <c r="Z260">
        <v>180.98100000000002</v>
      </c>
      <c r="AA260">
        <v>233.31212300000001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1.2839968954102128</v>
      </c>
    </row>
    <row r="261" spans="1:41" x14ac:dyDescent="0.3">
      <c r="A261">
        <v>938.02255216901722</v>
      </c>
      <c r="B261">
        <v>28</v>
      </c>
      <c r="C261">
        <v>10</v>
      </c>
      <c r="D261">
        <v>15</v>
      </c>
      <c r="E261">
        <v>17</v>
      </c>
      <c r="F261">
        <v>14</v>
      </c>
      <c r="G261">
        <v>1.2</v>
      </c>
      <c r="H261">
        <v>15</v>
      </c>
      <c r="I261">
        <v>13</v>
      </c>
      <c r="J261">
        <v>1.4</v>
      </c>
      <c r="K261">
        <v>510779865.14720643</v>
      </c>
      <c r="L261">
        <v>54471200</v>
      </c>
      <c r="M261">
        <v>79704505.482289493</v>
      </c>
      <c r="N261">
        <v>71320400</v>
      </c>
      <c r="O261">
        <v>15895032.639999999</v>
      </c>
      <c r="P261">
        <v>211.963829</v>
      </c>
      <c r="Q261">
        <v>1.2849712239866011</v>
      </c>
      <c r="R261">
        <v>43.5554676</v>
      </c>
      <c r="S261">
        <v>780.23511399999995</v>
      </c>
      <c r="T261">
        <v>7.9753470700000004E-18</v>
      </c>
      <c r="U261">
        <v>18.9493363509294</v>
      </c>
      <c r="V261">
        <v>100.934</v>
      </c>
      <c r="W261">
        <v>-240.08576298865597</v>
      </c>
      <c r="X261">
        <v>62.827602900000002</v>
      </c>
      <c r="Y261">
        <v>92.384777200000002</v>
      </c>
      <c r="Z261">
        <v>121.52199999999999</v>
      </c>
      <c r="AA261">
        <v>230.786134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1.2849712239866011</v>
      </c>
    </row>
    <row r="262" spans="1:41" x14ac:dyDescent="0.3">
      <c r="A262">
        <v>923.72686159293323</v>
      </c>
      <c r="B262">
        <v>27</v>
      </c>
      <c r="C262">
        <v>19</v>
      </c>
      <c r="D262">
        <v>1</v>
      </c>
      <c r="E262">
        <v>29</v>
      </c>
      <c r="F262">
        <v>5</v>
      </c>
      <c r="G262">
        <v>0.3</v>
      </c>
      <c r="H262">
        <v>29</v>
      </c>
      <c r="I262">
        <v>14</v>
      </c>
      <c r="J262">
        <v>1.4</v>
      </c>
      <c r="K262">
        <v>508356742.74351108</v>
      </c>
      <c r="L262">
        <v>54440800</v>
      </c>
      <c r="M262">
        <v>79690624.282229394</v>
      </c>
      <c r="N262">
        <v>73336200</v>
      </c>
      <c r="O262">
        <v>15892905.199999999</v>
      </c>
      <c r="P262">
        <v>204.38783900000001</v>
      </c>
      <c r="Q262">
        <v>1.2803591900072033</v>
      </c>
      <c r="R262">
        <v>43.6778032</v>
      </c>
      <c r="S262">
        <v>779.88020599999993</v>
      </c>
      <c r="T262">
        <v>5.4472015100000003E-9</v>
      </c>
      <c r="U262">
        <v>20.200493507050489</v>
      </c>
      <c r="V262">
        <v>68.709999999999994</v>
      </c>
      <c r="W262">
        <v>-168.10463010675744</v>
      </c>
      <c r="X262">
        <v>63.095689700000001</v>
      </c>
      <c r="Y262">
        <v>95.091663699999998</v>
      </c>
      <c r="Z262">
        <v>177.97</v>
      </c>
      <c r="AA262">
        <v>229.80263400000001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1.2803591900072033</v>
      </c>
    </row>
    <row r="263" spans="1:41" x14ac:dyDescent="0.3">
      <c r="A263">
        <v>914.77984837171346</v>
      </c>
      <c r="B263">
        <v>39</v>
      </c>
      <c r="C263">
        <v>19</v>
      </c>
      <c r="D263">
        <v>1</v>
      </c>
      <c r="E263">
        <v>29</v>
      </c>
      <c r="F263">
        <v>5</v>
      </c>
      <c r="G263">
        <v>0.3</v>
      </c>
      <c r="H263">
        <v>19</v>
      </c>
      <c r="I263">
        <v>7</v>
      </c>
      <c r="J263">
        <v>1.4</v>
      </c>
      <c r="K263">
        <v>508744259.78878844</v>
      </c>
      <c r="L263">
        <v>54447100</v>
      </c>
      <c r="M263">
        <v>79679938.515002161</v>
      </c>
      <c r="N263">
        <v>72586900</v>
      </c>
      <c r="O263">
        <v>15890529.52</v>
      </c>
      <c r="P263">
        <v>206.43918400000001</v>
      </c>
      <c r="Q263">
        <v>1.2850680115118278</v>
      </c>
      <c r="R263">
        <v>43.629512099999999</v>
      </c>
      <c r="S263">
        <v>780.83609999999999</v>
      </c>
      <c r="T263">
        <v>3.8856350500000003E-9</v>
      </c>
      <c r="U263">
        <v>20.034995085098508</v>
      </c>
      <c r="V263">
        <v>80.72</v>
      </c>
      <c r="W263">
        <v>-145.78389768242354</v>
      </c>
      <c r="X263">
        <v>63.105184800000004</v>
      </c>
      <c r="Y263">
        <v>94.842811999999995</v>
      </c>
      <c r="Z263">
        <v>180.98100000000002</v>
      </c>
      <c r="AA263">
        <v>231.423992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1.2850680115118278</v>
      </c>
    </row>
    <row r="264" spans="1:41" x14ac:dyDescent="0.3">
      <c r="A264">
        <v>932.6936153739432</v>
      </c>
      <c r="B264">
        <v>27</v>
      </c>
      <c r="C264">
        <v>10</v>
      </c>
      <c r="D264">
        <v>3.1965132199790478</v>
      </c>
      <c r="E264">
        <v>16</v>
      </c>
      <c r="F264">
        <v>14</v>
      </c>
      <c r="G264">
        <v>1.2</v>
      </c>
      <c r="H264">
        <v>23</v>
      </c>
      <c r="I264">
        <v>7</v>
      </c>
      <c r="J264">
        <v>1.3129143310304303</v>
      </c>
      <c r="K264">
        <v>508832634.09927428</v>
      </c>
      <c r="L264">
        <v>54428800</v>
      </c>
      <c r="M264">
        <v>79697614.184785992</v>
      </c>
      <c r="N264">
        <v>70585300</v>
      </c>
      <c r="O264">
        <v>15885586.24</v>
      </c>
      <c r="P264">
        <v>212.003345</v>
      </c>
      <c r="Q264">
        <v>1.2929199147933754</v>
      </c>
      <c r="R264">
        <v>43.490258099999998</v>
      </c>
      <c r="S264">
        <v>780.328845</v>
      </c>
      <c r="T264">
        <v>1.2551626599999999E-17</v>
      </c>
      <c r="U264">
        <v>18.748532115172711</v>
      </c>
      <c r="V264">
        <v>100.934</v>
      </c>
      <c r="W264">
        <v>-236.60370829432949</v>
      </c>
      <c r="X264">
        <v>62.844382000000003</v>
      </c>
      <c r="Y264">
        <v>92.820463599999997</v>
      </c>
      <c r="Z264">
        <v>100.934</v>
      </c>
      <c r="AA264">
        <v>229.81738799999999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1.2929199147933754</v>
      </c>
    </row>
    <row r="265" spans="1:41" x14ac:dyDescent="0.3">
      <c r="A265">
        <v>939.23761817088473</v>
      </c>
      <c r="B265">
        <v>38</v>
      </c>
      <c r="C265">
        <v>10</v>
      </c>
      <c r="D265">
        <v>2.2575281623010657</v>
      </c>
      <c r="E265">
        <v>21</v>
      </c>
      <c r="F265">
        <v>14</v>
      </c>
      <c r="G265">
        <v>0.3</v>
      </c>
      <c r="H265">
        <v>29</v>
      </c>
      <c r="I265">
        <v>7</v>
      </c>
      <c r="J265">
        <v>1.4</v>
      </c>
      <c r="K265">
        <v>509015800.091308</v>
      </c>
      <c r="L265">
        <v>54486000</v>
      </c>
      <c r="M265">
        <v>79706203.468347728</v>
      </c>
      <c r="N265">
        <v>71534000</v>
      </c>
      <c r="O265">
        <v>15888909.040000001</v>
      </c>
      <c r="P265">
        <v>211.82543699999999</v>
      </c>
      <c r="Q265">
        <v>1.2760143876275305</v>
      </c>
      <c r="R265">
        <v>43.560131699999999</v>
      </c>
      <c r="S265">
        <v>780.10701000000006</v>
      </c>
      <c r="T265">
        <v>5.8230229299999996E-16</v>
      </c>
      <c r="U265">
        <v>19.504259935063008</v>
      </c>
      <c r="V265">
        <v>100.934</v>
      </c>
      <c r="W265">
        <v>-231.04862953879373</v>
      </c>
      <c r="X265">
        <v>62.8479964</v>
      </c>
      <c r="Y265">
        <v>93.324575100000004</v>
      </c>
      <c r="Z265">
        <v>144.29</v>
      </c>
      <c r="AA265">
        <v>230.39564200000001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1.2760143876275305</v>
      </c>
    </row>
    <row r="266" spans="1:41" x14ac:dyDescent="0.3">
      <c r="A266">
        <v>947.04265461568798</v>
      </c>
      <c r="B266">
        <v>35</v>
      </c>
      <c r="C266">
        <v>19</v>
      </c>
      <c r="D266">
        <v>4.6139099924186135</v>
      </c>
      <c r="E266">
        <v>17</v>
      </c>
      <c r="F266">
        <v>6</v>
      </c>
      <c r="G266">
        <v>0.3</v>
      </c>
      <c r="H266">
        <v>17</v>
      </c>
      <c r="I266">
        <v>8</v>
      </c>
      <c r="J266">
        <v>0.38297199987033437</v>
      </c>
      <c r="K266">
        <v>509317826.45890582</v>
      </c>
      <c r="L266">
        <v>54480400</v>
      </c>
      <c r="M266">
        <v>79717991.808728144</v>
      </c>
      <c r="N266">
        <v>72362200</v>
      </c>
      <c r="O266">
        <v>15894905.039999999</v>
      </c>
      <c r="P266">
        <v>212.02275299999999</v>
      </c>
      <c r="Q266">
        <v>1.2584340899933122</v>
      </c>
      <c r="R266">
        <v>43.6289011</v>
      </c>
      <c r="S266">
        <v>780.31460900000002</v>
      </c>
      <c r="T266">
        <v>8.2248781899999998E-10</v>
      </c>
      <c r="U266">
        <v>19.751954233884216</v>
      </c>
      <c r="V266">
        <v>100.934</v>
      </c>
      <c r="W266">
        <v>-239.68100687253096</v>
      </c>
      <c r="X266">
        <v>62.802772900000001</v>
      </c>
      <c r="Y266">
        <v>92.488795300000007</v>
      </c>
      <c r="Z266">
        <v>177.97</v>
      </c>
      <c r="AA266">
        <v>233.97529399999999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1.2584340899933122</v>
      </c>
    </row>
    <row r="267" spans="1:41" x14ac:dyDescent="0.3">
      <c r="A267">
        <v>917.1732381632421</v>
      </c>
      <c r="B267">
        <v>39</v>
      </c>
      <c r="C267">
        <v>19</v>
      </c>
      <c r="D267">
        <v>15</v>
      </c>
      <c r="E267">
        <v>29</v>
      </c>
      <c r="F267">
        <v>14</v>
      </c>
      <c r="G267">
        <v>0.3</v>
      </c>
      <c r="H267">
        <v>29</v>
      </c>
      <c r="I267">
        <v>14</v>
      </c>
      <c r="J267">
        <v>1.4</v>
      </c>
      <c r="K267">
        <v>511552485.96712297</v>
      </c>
      <c r="L267">
        <v>54519600</v>
      </c>
      <c r="M267">
        <v>79682734.764669925</v>
      </c>
      <c r="N267">
        <v>71667000</v>
      </c>
      <c r="O267">
        <v>15898460.24</v>
      </c>
      <c r="P267">
        <v>210.16179</v>
      </c>
      <c r="Q267">
        <v>1.2922213977396444</v>
      </c>
      <c r="R267">
        <v>43.6495861</v>
      </c>
      <c r="S267">
        <v>779.79306199999996</v>
      </c>
      <c r="T267">
        <v>3.21236583E-16</v>
      </c>
      <c r="U267">
        <v>19.594323239429006</v>
      </c>
      <c r="V267">
        <v>100.934</v>
      </c>
      <c r="W267">
        <v>-237.98941762476275</v>
      </c>
      <c r="X267">
        <v>62.852851600000001</v>
      </c>
      <c r="Y267">
        <v>92.0838234</v>
      </c>
      <c r="Z267">
        <v>177.97</v>
      </c>
      <c r="AA267">
        <v>230.987854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1.2922213977396444</v>
      </c>
    </row>
    <row r="268" spans="1:41" x14ac:dyDescent="0.3">
      <c r="A268">
        <v>940.51444398451611</v>
      </c>
      <c r="B268">
        <v>27</v>
      </c>
      <c r="C268">
        <v>14</v>
      </c>
      <c r="D268">
        <v>8.0020960598375677</v>
      </c>
      <c r="E268">
        <v>29</v>
      </c>
      <c r="F268">
        <v>5</v>
      </c>
      <c r="G268">
        <v>0.3</v>
      </c>
      <c r="H268">
        <v>23</v>
      </c>
      <c r="I268">
        <v>9</v>
      </c>
      <c r="J268">
        <v>0.3</v>
      </c>
      <c r="K268">
        <v>509587681.47916722</v>
      </c>
      <c r="L268">
        <v>54510100</v>
      </c>
      <c r="M268">
        <v>79716310.357002363</v>
      </c>
      <c r="N268">
        <v>72465200</v>
      </c>
      <c r="O268">
        <v>15894810.880000001</v>
      </c>
      <c r="P268">
        <v>210.774225</v>
      </c>
      <c r="Q268">
        <v>1.2652224508301804</v>
      </c>
      <c r="R268">
        <v>43.666256799999999</v>
      </c>
      <c r="S268">
        <v>780.51143100000002</v>
      </c>
      <c r="T268">
        <v>4.7028422199999998E-9</v>
      </c>
      <c r="U268">
        <v>19.890987309244608</v>
      </c>
      <c r="V268">
        <v>100.934</v>
      </c>
      <c r="W268">
        <v>-236.65071924872288</v>
      </c>
      <c r="X268">
        <v>62.762376400000001</v>
      </c>
      <c r="Y268">
        <v>92.4690121</v>
      </c>
      <c r="Z268">
        <v>180.98100000000002</v>
      </c>
      <c r="AA268">
        <v>235.724707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1.2652224508301804</v>
      </c>
    </row>
    <row r="269" spans="1:41" x14ac:dyDescent="0.3">
      <c r="A269">
        <v>916.76699083262906</v>
      </c>
      <c r="B269">
        <v>27</v>
      </c>
      <c r="C269">
        <v>10</v>
      </c>
      <c r="D269">
        <v>7.6914437368797426</v>
      </c>
      <c r="E269">
        <v>10</v>
      </c>
      <c r="F269">
        <v>8</v>
      </c>
      <c r="G269">
        <v>0.3</v>
      </c>
      <c r="H269">
        <v>21</v>
      </c>
      <c r="I269">
        <v>14</v>
      </c>
      <c r="J269">
        <v>0.3</v>
      </c>
      <c r="K269">
        <v>509541221.47522855</v>
      </c>
      <c r="L269">
        <v>54426400</v>
      </c>
      <c r="M269">
        <v>79680934.902931973</v>
      </c>
      <c r="N269">
        <v>68439700</v>
      </c>
      <c r="O269">
        <v>15893888.880000001</v>
      </c>
      <c r="P269">
        <v>212.80551800000001</v>
      </c>
      <c r="Q269">
        <v>1.3347642127650399</v>
      </c>
      <c r="R269">
        <v>43.339174</v>
      </c>
      <c r="S269">
        <v>782.31079699999998</v>
      </c>
      <c r="T269">
        <v>8.2851285899999999E-11</v>
      </c>
      <c r="U269">
        <v>19.023804999105142</v>
      </c>
      <c r="V269">
        <v>100.934</v>
      </c>
      <c r="W269">
        <v>-241.83393340808732</v>
      </c>
      <c r="X269">
        <v>62.921199600000001</v>
      </c>
      <c r="Y269">
        <v>92.562493399999994</v>
      </c>
      <c r="Z269">
        <v>100.934</v>
      </c>
      <c r="AA269">
        <v>228.23937699999999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1.3347642127650399</v>
      </c>
    </row>
    <row r="270" spans="1:41" x14ac:dyDescent="0.3">
      <c r="A270">
        <v>927.90913713948191</v>
      </c>
      <c r="B270">
        <v>35</v>
      </c>
      <c r="C270">
        <v>10</v>
      </c>
      <c r="D270">
        <v>6.1579421887170653</v>
      </c>
      <c r="E270">
        <v>29</v>
      </c>
      <c r="F270">
        <v>5</v>
      </c>
      <c r="G270">
        <v>0.3</v>
      </c>
      <c r="H270">
        <v>29</v>
      </c>
      <c r="I270">
        <v>7</v>
      </c>
      <c r="J270">
        <v>1.4</v>
      </c>
      <c r="K270">
        <v>509562609.37329698</v>
      </c>
      <c r="L270">
        <v>54475100</v>
      </c>
      <c r="M270">
        <v>79692322.296843976</v>
      </c>
      <c r="N270">
        <v>71992400</v>
      </c>
      <c r="O270">
        <v>15885919.680000002</v>
      </c>
      <c r="P270">
        <v>210.454882</v>
      </c>
      <c r="Q270">
        <v>1.2762443758135125</v>
      </c>
      <c r="R270">
        <v>43.668574200000002</v>
      </c>
      <c r="S270">
        <v>780.31497000000002</v>
      </c>
      <c r="T270">
        <v>4.7057302099999999E-9</v>
      </c>
      <c r="U270">
        <v>19.829231255008111</v>
      </c>
      <c r="V270">
        <v>100.934</v>
      </c>
      <c r="W270">
        <v>-236.37633546190497</v>
      </c>
      <c r="X270">
        <v>62.843915000000003</v>
      </c>
      <c r="Y270">
        <v>92.408775500000004</v>
      </c>
      <c r="Z270">
        <v>180.98100000000002</v>
      </c>
      <c r="AA270">
        <v>231.23565600000001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1.2762443758135125</v>
      </c>
    </row>
    <row r="271" spans="1:41" x14ac:dyDescent="0.3">
      <c r="A271">
        <v>927.71519730216778</v>
      </c>
      <c r="B271">
        <v>27</v>
      </c>
      <c r="C271">
        <v>10</v>
      </c>
      <c r="D271">
        <v>1</v>
      </c>
      <c r="E271">
        <v>10</v>
      </c>
      <c r="F271">
        <v>5</v>
      </c>
      <c r="G271">
        <v>0.3</v>
      </c>
      <c r="H271">
        <v>29</v>
      </c>
      <c r="I271">
        <v>14</v>
      </c>
      <c r="J271">
        <v>1.4</v>
      </c>
      <c r="K271">
        <v>508139766.79972547</v>
      </c>
      <c r="L271">
        <v>54423900</v>
      </c>
      <c r="M271">
        <v>79691422.219598025</v>
      </c>
      <c r="N271">
        <v>71405900</v>
      </c>
      <c r="O271">
        <v>15883066.479999999</v>
      </c>
      <c r="P271">
        <v>207.72908200000001</v>
      </c>
      <c r="Q271">
        <v>1.2997166764973354</v>
      </c>
      <c r="R271">
        <v>43.4849186</v>
      </c>
      <c r="S271">
        <v>780.93955699999992</v>
      </c>
      <c r="T271">
        <v>5.7490669700000002E-9</v>
      </c>
      <c r="U271">
        <v>19.531743656909654</v>
      </c>
      <c r="V271">
        <v>80.72</v>
      </c>
      <c r="W271">
        <v>-152.34626924852421</v>
      </c>
      <c r="X271">
        <v>63.0832488</v>
      </c>
      <c r="Y271">
        <v>94.928438400000005</v>
      </c>
      <c r="Z271">
        <v>144.29</v>
      </c>
      <c r="AA271">
        <v>228.65110300000001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1.2997166764973354</v>
      </c>
    </row>
    <row r="272" spans="1:41" x14ac:dyDescent="0.3">
      <c r="A272">
        <v>915.28430160874552</v>
      </c>
      <c r="B272">
        <v>27</v>
      </c>
      <c r="C272">
        <v>19</v>
      </c>
      <c r="D272">
        <v>1</v>
      </c>
      <c r="E272">
        <v>10</v>
      </c>
      <c r="F272">
        <v>5</v>
      </c>
      <c r="G272">
        <v>0.3</v>
      </c>
      <c r="H272">
        <v>10</v>
      </c>
      <c r="I272">
        <v>7</v>
      </c>
      <c r="J272">
        <v>1.4</v>
      </c>
      <c r="K272">
        <v>507904498.44504905</v>
      </c>
      <c r="L272">
        <v>54376100</v>
      </c>
      <c r="M272">
        <v>79679737.328167364</v>
      </c>
      <c r="N272">
        <v>71606700</v>
      </c>
      <c r="O272">
        <v>15890854.960000001</v>
      </c>
      <c r="P272">
        <v>205.10011800000001</v>
      </c>
      <c r="Q272">
        <v>1.3102470953569605</v>
      </c>
      <c r="R272">
        <v>43.511426299999997</v>
      </c>
      <c r="S272">
        <v>780.27749199999994</v>
      </c>
      <c r="T272">
        <v>7.3533992600000003E-9</v>
      </c>
      <c r="U272">
        <v>19.796624961823554</v>
      </c>
      <c r="V272">
        <v>68.709999999999994</v>
      </c>
      <c r="W272">
        <v>-173.21987046325088</v>
      </c>
      <c r="X272">
        <v>63.138513699999997</v>
      </c>
      <c r="Y272">
        <v>95.116439400000004</v>
      </c>
      <c r="Z272">
        <v>144.29</v>
      </c>
      <c r="AA272">
        <v>229.19322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1.3102470953569605</v>
      </c>
    </row>
    <row r="273" spans="1:41" x14ac:dyDescent="0.3">
      <c r="A273">
        <v>921.30702662222961</v>
      </c>
      <c r="B273">
        <v>35</v>
      </c>
      <c r="C273">
        <v>19</v>
      </c>
      <c r="D273">
        <v>12.90151395520509</v>
      </c>
      <c r="E273">
        <v>22</v>
      </c>
      <c r="F273">
        <v>14</v>
      </c>
      <c r="G273">
        <v>0.3</v>
      </c>
      <c r="H273">
        <v>17</v>
      </c>
      <c r="I273">
        <v>14</v>
      </c>
      <c r="J273">
        <v>1.4</v>
      </c>
      <c r="K273">
        <v>510612755.60768276</v>
      </c>
      <c r="L273">
        <v>54471700</v>
      </c>
      <c r="M273">
        <v>79687728.281762019</v>
      </c>
      <c r="N273">
        <v>71851600</v>
      </c>
      <c r="O273">
        <v>15897315.360000001</v>
      </c>
      <c r="P273">
        <v>210.23547600000001</v>
      </c>
      <c r="Q273">
        <v>1.2838522413108495</v>
      </c>
      <c r="R273">
        <v>43.663862600000002</v>
      </c>
      <c r="S273">
        <v>780.30555400000003</v>
      </c>
      <c r="T273">
        <v>4.7923433000000002E-9</v>
      </c>
      <c r="U273">
        <v>19.828485087165728</v>
      </c>
      <c r="V273">
        <v>100.934</v>
      </c>
      <c r="W273">
        <v>-237.93250570633018</v>
      </c>
      <c r="X273">
        <v>62.846881799999998</v>
      </c>
      <c r="Y273">
        <v>92.222126399999993</v>
      </c>
      <c r="Z273">
        <v>180.98100000000002</v>
      </c>
      <c r="AA273">
        <v>231.83178100000001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1.2838522413108495</v>
      </c>
    </row>
    <row r="274" spans="1:41" x14ac:dyDescent="0.3">
      <c r="A274">
        <v>916.13235981592038</v>
      </c>
      <c r="B274">
        <v>34</v>
      </c>
      <c r="C274">
        <v>19</v>
      </c>
      <c r="D274">
        <v>1</v>
      </c>
      <c r="E274">
        <v>29</v>
      </c>
      <c r="F274">
        <v>5</v>
      </c>
      <c r="G274">
        <v>1.2</v>
      </c>
      <c r="H274">
        <v>24</v>
      </c>
      <c r="I274">
        <v>14</v>
      </c>
      <c r="J274">
        <v>1.4</v>
      </c>
      <c r="K274">
        <v>508956263.39764941</v>
      </c>
      <c r="L274">
        <v>54447800</v>
      </c>
      <c r="M274">
        <v>79681436.330338627</v>
      </c>
      <c r="N274">
        <v>72554100</v>
      </c>
      <c r="O274">
        <v>15890857.439999999</v>
      </c>
      <c r="P274">
        <v>205.925478</v>
      </c>
      <c r="Q274">
        <v>1.2896907872046659</v>
      </c>
      <c r="R274">
        <v>43.6265286</v>
      </c>
      <c r="S274">
        <v>780.76448099999993</v>
      </c>
      <c r="T274">
        <v>3.6812304499999998E-10</v>
      </c>
      <c r="U274">
        <v>19.62198999905673</v>
      </c>
      <c r="V274">
        <v>80.72</v>
      </c>
      <c r="W274">
        <v>-152.69406094711175</v>
      </c>
      <c r="X274">
        <v>63.097270600000002</v>
      </c>
      <c r="Y274">
        <v>94.892940899999999</v>
      </c>
      <c r="Z274">
        <v>203.285</v>
      </c>
      <c r="AA274">
        <v>230.54376500000001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1.2896907872046659</v>
      </c>
    </row>
    <row r="275" spans="1:41" x14ac:dyDescent="0.3">
      <c r="A275">
        <v>922.17886835010415</v>
      </c>
      <c r="B275">
        <v>27</v>
      </c>
      <c r="C275">
        <v>12</v>
      </c>
      <c r="D275">
        <v>1</v>
      </c>
      <c r="E275">
        <v>22</v>
      </c>
      <c r="F275">
        <v>13</v>
      </c>
      <c r="G275">
        <v>1.2</v>
      </c>
      <c r="H275">
        <v>16</v>
      </c>
      <c r="I275">
        <v>14</v>
      </c>
      <c r="J275">
        <v>0.30718394423307971</v>
      </c>
      <c r="K275">
        <v>507951912.23687613</v>
      </c>
      <c r="L275">
        <v>54424100</v>
      </c>
      <c r="M275">
        <v>79708848.757281736</v>
      </c>
      <c r="N275">
        <v>72934100</v>
      </c>
      <c r="O275">
        <v>15898774.560000001</v>
      </c>
      <c r="P275">
        <v>205.615005</v>
      </c>
      <c r="Q275">
        <v>1.2796552157967105</v>
      </c>
      <c r="R275">
        <v>43.621471499999998</v>
      </c>
      <c r="S275">
        <v>781.29504500000007</v>
      </c>
      <c r="T275">
        <v>9.806396390000001E-13</v>
      </c>
      <c r="U275">
        <v>19.419826205199143</v>
      </c>
      <c r="V275">
        <v>80.72</v>
      </c>
      <c r="W275">
        <v>-152.62821662459882</v>
      </c>
      <c r="X275">
        <v>63.017125800000002</v>
      </c>
      <c r="Y275">
        <v>94.875662800000001</v>
      </c>
      <c r="Z275">
        <v>177.97</v>
      </c>
      <c r="AA275">
        <v>239.210508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1.2796552157967105</v>
      </c>
    </row>
    <row r="276" spans="1:41" x14ac:dyDescent="0.3">
      <c r="A276">
        <v>910</v>
      </c>
      <c r="B276">
        <v>39</v>
      </c>
      <c r="C276">
        <v>19</v>
      </c>
      <c r="D276">
        <v>7.9030908332782177</v>
      </c>
      <c r="E276">
        <v>19</v>
      </c>
      <c r="F276">
        <v>14</v>
      </c>
      <c r="G276">
        <v>1.2</v>
      </c>
      <c r="H276">
        <v>19</v>
      </c>
      <c r="I276">
        <v>7</v>
      </c>
      <c r="J276">
        <v>1.4</v>
      </c>
      <c r="K276">
        <v>509907366.00862455</v>
      </c>
      <c r="L276">
        <v>54440700</v>
      </c>
      <c r="M276">
        <v>79674145.731746659</v>
      </c>
      <c r="N276">
        <v>71060000</v>
      </c>
      <c r="O276">
        <v>15893060.4</v>
      </c>
      <c r="P276">
        <v>209.74527699999999</v>
      </c>
      <c r="Q276">
        <v>1.3005774484504311</v>
      </c>
      <c r="R276">
        <v>43.608863700000001</v>
      </c>
      <c r="S276">
        <v>780.34216100000003</v>
      </c>
      <c r="T276">
        <v>4.7659856100000004E-18</v>
      </c>
      <c r="U276">
        <v>19.088973172035111</v>
      </c>
      <c r="V276">
        <v>100.934</v>
      </c>
      <c r="W276">
        <v>-239.51945300650252</v>
      </c>
      <c r="X276">
        <v>62.8643395</v>
      </c>
      <c r="Y276">
        <v>92.239839700000005</v>
      </c>
      <c r="Z276">
        <v>144.29</v>
      </c>
      <c r="AA276">
        <v>231.052932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1.3005774484504311</v>
      </c>
    </row>
    <row r="277" spans="1:41" x14ac:dyDescent="0.3">
      <c r="A277">
        <v>919.20922584942707</v>
      </c>
      <c r="B277">
        <v>39</v>
      </c>
      <c r="C277">
        <v>10</v>
      </c>
      <c r="D277">
        <v>15</v>
      </c>
      <c r="E277">
        <v>26</v>
      </c>
      <c r="F277">
        <v>10</v>
      </c>
      <c r="G277">
        <v>0.3</v>
      </c>
      <c r="H277">
        <v>29</v>
      </c>
      <c r="I277">
        <v>7</v>
      </c>
      <c r="J277">
        <v>1.4</v>
      </c>
      <c r="K277">
        <v>511374730.53020406</v>
      </c>
      <c r="L277">
        <v>54504500</v>
      </c>
      <c r="M277">
        <v>79685231.583204851</v>
      </c>
      <c r="N277">
        <v>71751000</v>
      </c>
      <c r="O277">
        <v>15899042.719999999</v>
      </c>
      <c r="P277">
        <v>210.25322800000001</v>
      </c>
      <c r="Q277">
        <v>1.2890048502958671</v>
      </c>
      <c r="R277">
        <v>43.653684900000002</v>
      </c>
      <c r="S277">
        <v>779.88347799999997</v>
      </c>
      <c r="T277">
        <v>4.9213483100000001E-13</v>
      </c>
      <c r="U277">
        <v>19.63036529476916</v>
      </c>
      <c r="V277">
        <v>100.934</v>
      </c>
      <c r="W277">
        <v>-237.55038993125376</v>
      </c>
      <c r="X277">
        <v>62.850275199999999</v>
      </c>
      <c r="Y277">
        <v>92.093365599999998</v>
      </c>
      <c r="Z277">
        <v>177.97</v>
      </c>
      <c r="AA277">
        <v>231.229984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1.2890048502958671</v>
      </c>
    </row>
    <row r="278" spans="1:41" x14ac:dyDescent="0.3">
      <c r="A278">
        <v>910</v>
      </c>
      <c r="B278">
        <v>27</v>
      </c>
      <c r="C278">
        <v>19</v>
      </c>
      <c r="D278">
        <v>11.57793260078738</v>
      </c>
      <c r="E278">
        <v>10</v>
      </c>
      <c r="F278">
        <v>8</v>
      </c>
      <c r="G278">
        <v>0.3</v>
      </c>
      <c r="H278">
        <v>12</v>
      </c>
      <c r="I278">
        <v>9</v>
      </c>
      <c r="J278">
        <v>0.3</v>
      </c>
      <c r="K278">
        <v>509653372.50771046</v>
      </c>
      <c r="L278">
        <v>54409200</v>
      </c>
      <c r="M278">
        <v>79675147.608659029</v>
      </c>
      <c r="N278">
        <v>68445500</v>
      </c>
      <c r="O278">
        <v>15896814</v>
      </c>
      <c r="P278">
        <v>212.82173</v>
      </c>
      <c r="Q278">
        <v>1.3345432074744639</v>
      </c>
      <c r="R278">
        <v>43.344084000000002</v>
      </c>
      <c r="S278">
        <v>782.10092499999996</v>
      </c>
      <c r="T278">
        <v>8.4879690300000001E-11</v>
      </c>
      <c r="U278">
        <v>18.974478733016365</v>
      </c>
      <c r="V278">
        <v>91.850000000000009</v>
      </c>
      <c r="W278">
        <v>-244.2746554817725</v>
      </c>
      <c r="X278">
        <v>62.982173099999997</v>
      </c>
      <c r="Y278">
        <v>92.555055600000003</v>
      </c>
      <c r="Z278">
        <v>100.934</v>
      </c>
      <c r="AA278">
        <v>231.600551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1.3345432074744639</v>
      </c>
    </row>
    <row r="279" spans="1:41" x14ac:dyDescent="0.3">
      <c r="A279">
        <v>919.28416904244818</v>
      </c>
      <c r="B279">
        <v>27</v>
      </c>
      <c r="C279">
        <v>13</v>
      </c>
      <c r="D279">
        <v>15</v>
      </c>
      <c r="E279">
        <v>10</v>
      </c>
      <c r="F279">
        <v>8</v>
      </c>
      <c r="G279">
        <v>0.3</v>
      </c>
      <c r="H279">
        <v>23</v>
      </c>
      <c r="I279">
        <v>7</v>
      </c>
      <c r="J279">
        <v>0.3</v>
      </c>
      <c r="K279">
        <v>510647429.86985296</v>
      </c>
      <c r="L279">
        <v>54452400</v>
      </c>
      <c r="M279">
        <v>79685632.722582698</v>
      </c>
      <c r="N279">
        <v>68360300</v>
      </c>
      <c r="O279">
        <v>15899618.560000001</v>
      </c>
      <c r="P279">
        <v>212.38801799999999</v>
      </c>
      <c r="Q279">
        <v>1.3431144521598715</v>
      </c>
      <c r="R279">
        <v>43.336460799999998</v>
      </c>
      <c r="S279">
        <v>782.49257499999999</v>
      </c>
      <c r="T279">
        <v>8.3463100399999995E-11</v>
      </c>
      <c r="U279">
        <v>19.077335483754151</v>
      </c>
      <c r="V279">
        <v>100.934</v>
      </c>
      <c r="W279">
        <v>-241.49898120660325</v>
      </c>
      <c r="X279">
        <v>62.854135399999997</v>
      </c>
      <c r="Y279">
        <v>92.422430300000002</v>
      </c>
      <c r="Z279">
        <v>100.934</v>
      </c>
      <c r="AA279">
        <v>226.92783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1.3431144521598715</v>
      </c>
    </row>
    <row r="280" spans="1:41" x14ac:dyDescent="0.3">
      <c r="A280">
        <v>938.28854390472998</v>
      </c>
      <c r="B280">
        <v>35</v>
      </c>
      <c r="C280">
        <v>14</v>
      </c>
      <c r="D280">
        <v>15</v>
      </c>
      <c r="E280">
        <v>10</v>
      </c>
      <c r="F280">
        <v>8</v>
      </c>
      <c r="G280">
        <v>0.3</v>
      </c>
      <c r="H280">
        <v>22</v>
      </c>
      <c r="I280">
        <v>7</v>
      </c>
      <c r="J280">
        <v>1.4</v>
      </c>
      <c r="K280">
        <v>510990739.95380509</v>
      </c>
      <c r="L280">
        <v>54500500</v>
      </c>
      <c r="M280">
        <v>79703804.455288082</v>
      </c>
      <c r="N280">
        <v>68678400</v>
      </c>
      <c r="O280">
        <v>15895082.560000001</v>
      </c>
      <c r="P280">
        <v>213.5521</v>
      </c>
      <c r="Q280">
        <v>1.3313032383569705</v>
      </c>
      <c r="R280">
        <v>43.337021200000002</v>
      </c>
      <c r="S280">
        <v>782.52416700000003</v>
      </c>
      <c r="T280">
        <v>8.3162927199999997E-11</v>
      </c>
      <c r="U280">
        <v>19.085142059706495</v>
      </c>
      <c r="V280">
        <v>100.934</v>
      </c>
      <c r="W280">
        <v>-241.48703504549783</v>
      </c>
      <c r="X280">
        <v>62.826077099999999</v>
      </c>
      <c r="Y280">
        <v>92.178723899999994</v>
      </c>
      <c r="Z280">
        <v>100.934</v>
      </c>
      <c r="AA280">
        <v>226.75841700000001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1.3313032383569705</v>
      </c>
    </row>
    <row r="281" spans="1:41" x14ac:dyDescent="0.3">
      <c r="A281">
        <v>913.85306191455732</v>
      </c>
      <c r="B281">
        <v>39</v>
      </c>
      <c r="C281">
        <v>10</v>
      </c>
      <c r="D281">
        <v>1</v>
      </c>
      <c r="E281">
        <v>10</v>
      </c>
      <c r="F281">
        <v>5</v>
      </c>
      <c r="G281">
        <v>0.3</v>
      </c>
      <c r="H281">
        <v>29</v>
      </c>
      <c r="I281">
        <v>7</v>
      </c>
      <c r="J281">
        <v>0.3</v>
      </c>
      <c r="K281">
        <v>508606277.89791</v>
      </c>
      <c r="L281">
        <v>54451900</v>
      </c>
      <c r="M281">
        <v>79684146.024911493</v>
      </c>
      <c r="N281">
        <v>71053600</v>
      </c>
      <c r="O281">
        <v>15891830.560000001</v>
      </c>
      <c r="P281">
        <v>207.40763999999999</v>
      </c>
      <c r="Q281">
        <v>1.3113519793658341</v>
      </c>
      <c r="R281">
        <v>43.467577499999997</v>
      </c>
      <c r="S281">
        <v>781.40978900000005</v>
      </c>
      <c r="T281">
        <v>6.0697278699999997E-9</v>
      </c>
      <c r="U281">
        <v>19.551111396993985</v>
      </c>
      <c r="V281">
        <v>80.72</v>
      </c>
      <c r="W281">
        <v>-142.60663267690802</v>
      </c>
      <c r="X281">
        <v>63.062851999999999</v>
      </c>
      <c r="Y281">
        <v>94.844035199999993</v>
      </c>
      <c r="Z281">
        <v>144.29</v>
      </c>
      <c r="AA281">
        <v>232.25633400000001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1.3113519793658341</v>
      </c>
    </row>
    <row r="282" spans="1:41" x14ac:dyDescent="0.3">
      <c r="A282">
        <v>910</v>
      </c>
      <c r="B282">
        <v>27</v>
      </c>
      <c r="C282">
        <v>19</v>
      </c>
      <c r="D282">
        <v>1</v>
      </c>
      <c r="E282">
        <v>29</v>
      </c>
      <c r="F282">
        <v>14</v>
      </c>
      <c r="G282">
        <v>1.2</v>
      </c>
      <c r="H282">
        <v>29</v>
      </c>
      <c r="I282">
        <v>7</v>
      </c>
      <c r="J282">
        <v>1.4</v>
      </c>
      <c r="K282">
        <v>508655099.21919167</v>
      </c>
      <c r="L282">
        <v>54422300</v>
      </c>
      <c r="M282">
        <v>79674245.776738316</v>
      </c>
      <c r="N282">
        <v>72965300</v>
      </c>
      <c r="O282">
        <v>15889451.92</v>
      </c>
      <c r="P282">
        <v>203.4248</v>
      </c>
      <c r="Q282">
        <v>1.2950633474394284</v>
      </c>
      <c r="R282">
        <v>43.682935200000003</v>
      </c>
      <c r="S282">
        <v>779.888555</v>
      </c>
      <c r="T282">
        <v>2.5671319000000002E-9</v>
      </c>
      <c r="U282">
        <v>19.787587372134265</v>
      </c>
      <c r="V282">
        <v>68.709999999999994</v>
      </c>
      <c r="W282">
        <v>-167.17069563959603</v>
      </c>
      <c r="X282">
        <v>63.118468100000001</v>
      </c>
      <c r="Y282">
        <v>95.104556099999996</v>
      </c>
      <c r="Z282">
        <v>203.285</v>
      </c>
      <c r="AA282">
        <v>230.37343200000001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1.2950633474394284</v>
      </c>
    </row>
    <row r="283" spans="1:41" x14ac:dyDescent="0.3">
      <c r="A283">
        <v>910</v>
      </c>
      <c r="B283">
        <v>39</v>
      </c>
      <c r="C283">
        <v>19</v>
      </c>
      <c r="D283">
        <v>1</v>
      </c>
      <c r="E283">
        <v>21</v>
      </c>
      <c r="F283">
        <v>5</v>
      </c>
      <c r="G283">
        <v>1.2</v>
      </c>
      <c r="H283">
        <v>23</v>
      </c>
      <c r="I283">
        <v>14</v>
      </c>
      <c r="J283">
        <v>0.3</v>
      </c>
      <c r="K283">
        <v>508606564.60502326</v>
      </c>
      <c r="L283">
        <v>54447800</v>
      </c>
      <c r="M283">
        <v>79681253.40662542</v>
      </c>
      <c r="N283">
        <v>72364900</v>
      </c>
      <c r="O283">
        <v>15891349.76</v>
      </c>
      <c r="P283">
        <v>205.730445</v>
      </c>
      <c r="Q283">
        <v>1.2938191537591843</v>
      </c>
      <c r="R283">
        <v>43.605577599999997</v>
      </c>
      <c r="S283">
        <v>780.95563300000003</v>
      </c>
      <c r="T283">
        <v>4.2524638800000001E-10</v>
      </c>
      <c r="U283">
        <v>19.626098728001086</v>
      </c>
      <c r="V283">
        <v>80.72</v>
      </c>
      <c r="W283">
        <v>-146.59002589334264</v>
      </c>
      <c r="X283">
        <v>63.060570400000003</v>
      </c>
      <c r="Y283">
        <v>94.816881800000004</v>
      </c>
      <c r="Z283">
        <v>180.98100000000002</v>
      </c>
      <c r="AA283">
        <v>235.300591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1.2938191537591843</v>
      </c>
    </row>
    <row r="284" spans="1:41" x14ac:dyDescent="0.3">
      <c r="A284">
        <v>910</v>
      </c>
      <c r="B284">
        <v>27</v>
      </c>
      <c r="C284">
        <v>10</v>
      </c>
      <c r="D284">
        <v>1</v>
      </c>
      <c r="E284">
        <v>20</v>
      </c>
      <c r="F284">
        <v>5</v>
      </c>
      <c r="G284">
        <v>0.3</v>
      </c>
      <c r="H284">
        <v>16</v>
      </c>
      <c r="I284">
        <v>7</v>
      </c>
      <c r="J284">
        <v>1.4</v>
      </c>
      <c r="K284">
        <v>507877788.77556705</v>
      </c>
      <c r="L284">
        <v>54387800</v>
      </c>
      <c r="M284">
        <v>79674345.81926468</v>
      </c>
      <c r="N284">
        <v>72413700</v>
      </c>
      <c r="O284">
        <v>15889464.48</v>
      </c>
      <c r="P284">
        <v>205.816406</v>
      </c>
      <c r="Q284">
        <v>1.288541481911613</v>
      </c>
      <c r="R284">
        <v>43.629684599999997</v>
      </c>
      <c r="S284">
        <v>780.52430900000002</v>
      </c>
      <c r="T284">
        <v>3.9260447099999999E-9</v>
      </c>
      <c r="U284">
        <v>19.817925294660007</v>
      </c>
      <c r="V284">
        <v>80.72</v>
      </c>
      <c r="W284">
        <v>-147.61113760498844</v>
      </c>
      <c r="X284">
        <v>63.106759699999998</v>
      </c>
      <c r="Y284">
        <v>94.941329300000007</v>
      </c>
      <c r="Z284">
        <v>177.97</v>
      </c>
      <c r="AA284">
        <v>231.252465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1.288541481911613</v>
      </c>
    </row>
    <row r="285" spans="1:41" x14ac:dyDescent="0.3">
      <c r="A285">
        <v>917.56060151684324</v>
      </c>
      <c r="B285">
        <v>39</v>
      </c>
      <c r="C285">
        <v>19</v>
      </c>
      <c r="D285">
        <v>1</v>
      </c>
      <c r="E285">
        <v>29</v>
      </c>
      <c r="F285">
        <v>14</v>
      </c>
      <c r="G285">
        <v>0.3</v>
      </c>
      <c r="H285">
        <v>10</v>
      </c>
      <c r="I285">
        <v>7</v>
      </c>
      <c r="J285">
        <v>1.4</v>
      </c>
      <c r="K285">
        <v>508515341.91709268</v>
      </c>
      <c r="L285">
        <v>54433100</v>
      </c>
      <c r="M285">
        <v>79683334.242437959</v>
      </c>
      <c r="N285">
        <v>72628300</v>
      </c>
      <c r="O285">
        <v>15890111.039999999</v>
      </c>
      <c r="P285">
        <v>206.990082</v>
      </c>
      <c r="Q285">
        <v>1.2797155911145954</v>
      </c>
      <c r="R285">
        <v>43.603977100000002</v>
      </c>
      <c r="S285">
        <v>780.34763100000009</v>
      </c>
      <c r="T285">
        <v>1.84967925E-16</v>
      </c>
      <c r="U285">
        <v>19.781747259202998</v>
      </c>
      <c r="V285">
        <v>80.72</v>
      </c>
      <c r="W285">
        <v>-146.92440290311791</v>
      </c>
      <c r="X285">
        <v>63.111919200000003</v>
      </c>
      <c r="Y285">
        <v>94.846786399999999</v>
      </c>
      <c r="Z285">
        <v>177.97</v>
      </c>
      <c r="AA285">
        <v>233.176072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1.2797155911145954</v>
      </c>
    </row>
    <row r="286" spans="1:41" x14ac:dyDescent="0.3">
      <c r="A286">
        <v>939.45619692997479</v>
      </c>
      <c r="B286">
        <v>39</v>
      </c>
      <c r="C286">
        <v>19</v>
      </c>
      <c r="D286">
        <v>15</v>
      </c>
      <c r="E286">
        <v>29</v>
      </c>
      <c r="F286">
        <v>14</v>
      </c>
      <c r="G286">
        <v>1.2</v>
      </c>
      <c r="H286">
        <v>20</v>
      </c>
      <c r="I286">
        <v>7</v>
      </c>
      <c r="J286">
        <v>0.3</v>
      </c>
      <c r="K286">
        <v>511366978.54335064</v>
      </c>
      <c r="L286">
        <v>54547600</v>
      </c>
      <c r="M286">
        <v>79715412.743820205</v>
      </c>
      <c r="N286">
        <v>72052100</v>
      </c>
      <c r="O286">
        <v>15898083.92</v>
      </c>
      <c r="P286">
        <v>210.57587899999999</v>
      </c>
      <c r="Q286">
        <v>1.2815963044403444</v>
      </c>
      <c r="R286">
        <v>43.640343299999998</v>
      </c>
      <c r="S286">
        <v>781.37723100000005</v>
      </c>
      <c r="T286">
        <v>1.42241024E-18</v>
      </c>
      <c r="U286">
        <v>19.209808436932363</v>
      </c>
      <c r="V286">
        <v>100.934</v>
      </c>
      <c r="W286">
        <v>-238.02072535082982</v>
      </c>
      <c r="X286">
        <v>62.758402500000003</v>
      </c>
      <c r="Y286">
        <v>92.034713600000003</v>
      </c>
      <c r="Z286">
        <v>203.285</v>
      </c>
      <c r="AA286">
        <v>235.267438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1.2815963044403444</v>
      </c>
    </row>
    <row r="287" spans="1:41" x14ac:dyDescent="0.3">
      <c r="A287">
        <v>924.14659329402662</v>
      </c>
      <c r="B287">
        <v>30</v>
      </c>
      <c r="C287">
        <v>19</v>
      </c>
      <c r="D287">
        <v>10.477659775467039</v>
      </c>
      <c r="E287">
        <v>21</v>
      </c>
      <c r="F287">
        <v>14</v>
      </c>
      <c r="G287">
        <v>0.3</v>
      </c>
      <c r="H287">
        <v>17</v>
      </c>
      <c r="I287">
        <v>7</v>
      </c>
      <c r="J287">
        <v>0.3</v>
      </c>
      <c r="K287">
        <v>509630732.05341339</v>
      </c>
      <c r="L287">
        <v>54450400</v>
      </c>
      <c r="M287">
        <v>79698531.906364128</v>
      </c>
      <c r="N287">
        <v>71244200</v>
      </c>
      <c r="O287">
        <v>15900060.880000001</v>
      </c>
      <c r="P287">
        <v>210.54677899999999</v>
      </c>
      <c r="Q287">
        <v>1.2910759388631095</v>
      </c>
      <c r="R287">
        <v>43.567695399999998</v>
      </c>
      <c r="S287">
        <v>780.12242099999992</v>
      </c>
      <c r="T287">
        <v>2.98977776E-14</v>
      </c>
      <c r="U287">
        <v>19.540878473912006</v>
      </c>
      <c r="V287">
        <v>100.934</v>
      </c>
      <c r="W287">
        <v>-240.76270466329754</v>
      </c>
      <c r="X287">
        <v>62.788455599999999</v>
      </c>
      <c r="Y287">
        <v>92.371429800000001</v>
      </c>
      <c r="Z287">
        <v>144.29</v>
      </c>
      <c r="AA287">
        <v>234.46445800000001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1.2910759388631095</v>
      </c>
    </row>
    <row r="288" spans="1:41" x14ac:dyDescent="0.3">
      <c r="A288">
        <v>938.48475617529186</v>
      </c>
      <c r="B288">
        <v>39</v>
      </c>
      <c r="C288">
        <v>17</v>
      </c>
      <c r="D288">
        <v>15</v>
      </c>
      <c r="E288">
        <v>16</v>
      </c>
      <c r="F288">
        <v>14</v>
      </c>
      <c r="G288">
        <v>0.82567012857858246</v>
      </c>
      <c r="H288">
        <v>29</v>
      </c>
      <c r="I288">
        <v>14</v>
      </c>
      <c r="J288">
        <v>0.3</v>
      </c>
      <c r="K288">
        <v>511378505.76630306</v>
      </c>
      <c r="L288">
        <v>54538900</v>
      </c>
      <c r="M288">
        <v>79706806.750889957</v>
      </c>
      <c r="N288">
        <v>70382000</v>
      </c>
      <c r="O288">
        <v>15895783.279999999</v>
      </c>
      <c r="P288">
        <v>212.904133</v>
      </c>
      <c r="Q288">
        <v>1.302065278007658</v>
      </c>
      <c r="R288">
        <v>43.442368199999997</v>
      </c>
      <c r="S288">
        <v>780.10010399999999</v>
      </c>
      <c r="T288">
        <v>2.8042684500000002E-17</v>
      </c>
      <c r="U288">
        <v>18.630545960843197</v>
      </c>
      <c r="V288">
        <v>100.934</v>
      </c>
      <c r="W288">
        <v>-240.24169178366751</v>
      </c>
      <c r="X288">
        <v>62.8106437</v>
      </c>
      <c r="Y288">
        <v>92.060840600000006</v>
      </c>
      <c r="Z288">
        <v>100.934</v>
      </c>
      <c r="AA288">
        <v>231.77184399999999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1.302065278007658</v>
      </c>
    </row>
    <row r="289" spans="1:41" x14ac:dyDescent="0.3">
      <c r="A289">
        <v>910</v>
      </c>
      <c r="B289">
        <v>33</v>
      </c>
      <c r="C289">
        <v>10</v>
      </c>
      <c r="D289">
        <v>15</v>
      </c>
      <c r="E289">
        <v>19</v>
      </c>
      <c r="F289">
        <v>14</v>
      </c>
      <c r="G289">
        <v>1.2</v>
      </c>
      <c r="H289">
        <v>29</v>
      </c>
      <c r="I289">
        <v>7</v>
      </c>
      <c r="J289">
        <v>1.4</v>
      </c>
      <c r="K289">
        <v>511159140.12682623</v>
      </c>
      <c r="L289">
        <v>54491700</v>
      </c>
      <c r="M289">
        <v>79674145.733184755</v>
      </c>
      <c r="N289">
        <v>71053400</v>
      </c>
      <c r="O289">
        <v>15896737.199999999</v>
      </c>
      <c r="P289">
        <v>209.741028</v>
      </c>
      <c r="Q289">
        <v>1.3058676172678954</v>
      </c>
      <c r="R289">
        <v>43.6085256</v>
      </c>
      <c r="S289">
        <v>780.34651399999996</v>
      </c>
      <c r="T289">
        <v>4.7667205800000001E-18</v>
      </c>
      <c r="U289">
        <v>19.089307422856631</v>
      </c>
      <c r="V289">
        <v>100.934</v>
      </c>
      <c r="W289">
        <v>-239.21107639558906</v>
      </c>
      <c r="X289">
        <v>62.8649694</v>
      </c>
      <c r="Y289">
        <v>92.260712999999996</v>
      </c>
      <c r="Z289">
        <v>144.29</v>
      </c>
      <c r="AA289">
        <v>230.78315799999999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1.3058676172678954</v>
      </c>
    </row>
    <row r="290" spans="1:41" x14ac:dyDescent="0.3">
      <c r="A290">
        <v>910</v>
      </c>
      <c r="B290">
        <v>27</v>
      </c>
      <c r="C290">
        <v>19</v>
      </c>
      <c r="D290">
        <v>12.298271372837657</v>
      </c>
      <c r="E290">
        <v>29</v>
      </c>
      <c r="F290">
        <v>5</v>
      </c>
      <c r="G290">
        <v>0.3</v>
      </c>
      <c r="H290">
        <v>10</v>
      </c>
      <c r="I290">
        <v>7</v>
      </c>
      <c r="J290">
        <v>1.4</v>
      </c>
      <c r="K290">
        <v>509778689.74505216</v>
      </c>
      <c r="L290">
        <v>54439800</v>
      </c>
      <c r="M290">
        <v>79674545.955266878</v>
      </c>
      <c r="N290">
        <v>71707900</v>
      </c>
      <c r="O290">
        <v>15895484.08</v>
      </c>
      <c r="P290">
        <v>209.46355500000001</v>
      </c>
      <c r="Q290">
        <v>1.2882365166620677</v>
      </c>
      <c r="R290">
        <v>43.671492800000003</v>
      </c>
      <c r="S290">
        <v>780.21628200000009</v>
      </c>
      <c r="T290">
        <v>4.7066406099999998E-9</v>
      </c>
      <c r="U290">
        <v>19.816266867897514</v>
      </c>
      <c r="V290">
        <v>91.850000000000009</v>
      </c>
      <c r="W290">
        <v>-238.3861857160247</v>
      </c>
      <c r="X290">
        <v>62.873798800000003</v>
      </c>
      <c r="Y290">
        <v>92.486471300000005</v>
      </c>
      <c r="Z290">
        <v>180.98100000000002</v>
      </c>
      <c r="AA290">
        <v>233.62989999999999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1.2882365166620677</v>
      </c>
    </row>
    <row r="291" spans="1:41" x14ac:dyDescent="0.3">
      <c r="A291">
        <v>935.8523360571877</v>
      </c>
      <c r="B291">
        <v>33</v>
      </c>
      <c r="C291">
        <v>19</v>
      </c>
      <c r="D291">
        <v>15</v>
      </c>
      <c r="E291">
        <v>29</v>
      </c>
      <c r="F291">
        <v>14</v>
      </c>
      <c r="G291">
        <v>0.3</v>
      </c>
      <c r="H291">
        <v>29</v>
      </c>
      <c r="I291">
        <v>7</v>
      </c>
      <c r="J291">
        <v>0.3</v>
      </c>
      <c r="K291">
        <v>511224805.15648997</v>
      </c>
      <c r="L291">
        <v>54532600</v>
      </c>
      <c r="M291">
        <v>79711319.205156788</v>
      </c>
      <c r="N291">
        <v>72207700</v>
      </c>
      <c r="O291">
        <v>15896376</v>
      </c>
      <c r="P291">
        <v>210.612694</v>
      </c>
      <c r="Q291">
        <v>1.2773383293393381</v>
      </c>
      <c r="R291">
        <v>43.645190800000002</v>
      </c>
      <c r="S291">
        <v>780.03900899999996</v>
      </c>
      <c r="T291">
        <v>3.22623913E-16</v>
      </c>
      <c r="U291">
        <v>19.664610009697999</v>
      </c>
      <c r="V291">
        <v>100.934</v>
      </c>
      <c r="W291">
        <v>-236.9674402355389</v>
      </c>
      <c r="X291">
        <v>62.761481699999997</v>
      </c>
      <c r="Y291">
        <v>92.212425400000001</v>
      </c>
      <c r="Z291">
        <v>177.97</v>
      </c>
      <c r="AA291">
        <v>235.740487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1.2773383293393381</v>
      </c>
    </row>
    <row r="292" spans="1:41" x14ac:dyDescent="0.3">
      <c r="A292">
        <v>910</v>
      </c>
      <c r="B292">
        <v>27</v>
      </c>
      <c r="C292">
        <v>14</v>
      </c>
      <c r="D292">
        <v>15</v>
      </c>
      <c r="E292">
        <v>20</v>
      </c>
      <c r="F292">
        <v>7</v>
      </c>
      <c r="G292">
        <v>0.3</v>
      </c>
      <c r="H292">
        <v>21</v>
      </c>
      <c r="I292">
        <v>7</v>
      </c>
      <c r="J292">
        <v>1.4</v>
      </c>
      <c r="K292">
        <v>510443744.09341621</v>
      </c>
      <c r="L292">
        <v>54439500</v>
      </c>
      <c r="M292">
        <v>79674345.816799387</v>
      </c>
      <c r="N292">
        <v>71401900</v>
      </c>
      <c r="O292">
        <v>15896750.24</v>
      </c>
      <c r="P292">
        <v>209.60799700000001</v>
      </c>
      <c r="Q292">
        <v>1.2959407266087746</v>
      </c>
      <c r="R292">
        <v>43.643602799999996</v>
      </c>
      <c r="S292">
        <v>780.07610499999998</v>
      </c>
      <c r="T292">
        <v>1.2726242500000001E-10</v>
      </c>
      <c r="U292">
        <v>19.696265876924461</v>
      </c>
      <c r="V292">
        <v>100.934</v>
      </c>
      <c r="W292">
        <v>-238.69325059120303</v>
      </c>
      <c r="X292">
        <v>62.864678400000003</v>
      </c>
      <c r="Y292">
        <v>92.427785</v>
      </c>
      <c r="Z292">
        <v>177.97</v>
      </c>
      <c r="AA292">
        <v>231.31864400000001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1.2959407266087746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E6D2-BBE6-4542-95CF-90EDC2673397}">
  <dimension ref="A1:AO380"/>
  <sheetViews>
    <sheetView topLeftCell="Q1" workbookViewId="0">
      <selection activeCell="H173" sqref="H173"/>
    </sheetView>
  </sheetViews>
  <sheetFormatPr defaultRowHeight="16.5" x14ac:dyDescent="0.3"/>
  <sheetData>
    <row r="1" spans="1:41" x14ac:dyDescent="0.3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155</v>
      </c>
      <c r="Q1" t="s">
        <v>208</v>
      </c>
      <c r="R1" t="s">
        <v>185</v>
      </c>
      <c r="S1" t="s">
        <v>186</v>
      </c>
      <c r="T1" t="s">
        <v>187</v>
      </c>
      <c r="U1" t="s">
        <v>188</v>
      </c>
      <c r="V1" t="s">
        <v>209</v>
      </c>
      <c r="W1" t="s">
        <v>210</v>
      </c>
      <c r="X1" t="s">
        <v>355</v>
      </c>
      <c r="Y1" t="s">
        <v>356</v>
      </c>
      <c r="Z1" t="s">
        <v>357</v>
      </c>
      <c r="AA1" t="s">
        <v>358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359</v>
      </c>
      <c r="AL1" t="s">
        <v>360</v>
      </c>
      <c r="AM1" t="s">
        <v>361</v>
      </c>
      <c r="AN1" t="s">
        <v>362</v>
      </c>
      <c r="AO1" t="s">
        <v>389</v>
      </c>
    </row>
    <row r="2" spans="1:41" x14ac:dyDescent="0.3">
      <c r="A2">
        <v>930</v>
      </c>
      <c r="B2">
        <v>30</v>
      </c>
      <c r="C2">
        <v>18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508166017.46283531</v>
      </c>
      <c r="L2">
        <v>54419900</v>
      </c>
      <c r="M2">
        <v>79688418.946506098</v>
      </c>
      <c r="N2">
        <v>73518900</v>
      </c>
      <c r="O2">
        <v>15884331.280000001</v>
      </c>
      <c r="P2">
        <v>211.77717200000001</v>
      </c>
      <c r="Q2">
        <v>1.2308296071141789</v>
      </c>
      <c r="R2">
        <v>43.784977599999998</v>
      </c>
      <c r="S2">
        <v>782.81606499999998</v>
      </c>
      <c r="T2">
        <v>1.4197115700000001E-13</v>
      </c>
      <c r="U2">
        <v>23.541010259878107</v>
      </c>
      <c r="V2">
        <v>91.850000000000009</v>
      </c>
      <c r="W2">
        <v>-240.83121034818575</v>
      </c>
      <c r="X2">
        <v>62.892317499999997</v>
      </c>
      <c r="Y2">
        <v>92.825612100000001</v>
      </c>
      <c r="Z2">
        <v>165.7</v>
      </c>
      <c r="AA2">
        <v>236.15088299999999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1.2308296071141789</v>
      </c>
    </row>
    <row r="3" spans="1:41" x14ac:dyDescent="0.3">
      <c r="A3">
        <v>958.19892971420518</v>
      </c>
      <c r="B3">
        <v>30</v>
      </c>
      <c r="C3">
        <v>18</v>
      </c>
      <c r="D3">
        <v>13.51033002555344</v>
      </c>
      <c r="E3">
        <v>26</v>
      </c>
      <c r="F3">
        <v>12</v>
      </c>
      <c r="G3">
        <v>1.1830322365303134</v>
      </c>
      <c r="H3">
        <v>15</v>
      </c>
      <c r="I3">
        <v>12</v>
      </c>
      <c r="J3">
        <v>1.3838868681178214</v>
      </c>
      <c r="K3">
        <v>503601352.94126981</v>
      </c>
      <c r="L3">
        <v>54419900</v>
      </c>
      <c r="M3">
        <v>79688504.862087622</v>
      </c>
      <c r="N3">
        <v>73518900</v>
      </c>
      <c r="O3">
        <v>16382712.719999999</v>
      </c>
      <c r="P3">
        <v>204.42932999999999</v>
      </c>
      <c r="Q3">
        <v>1.2599115181296776</v>
      </c>
      <c r="R3">
        <v>43.936530900000001</v>
      </c>
      <c r="S3">
        <v>783.52019299999995</v>
      </c>
      <c r="T3">
        <v>1.0593880800000001E-18</v>
      </c>
      <c r="U3">
        <v>24.993104872496197</v>
      </c>
      <c r="V3">
        <v>100.934</v>
      </c>
      <c r="W3">
        <v>-234.45895637413483</v>
      </c>
      <c r="X3">
        <v>62.947320699999999</v>
      </c>
      <c r="Y3">
        <v>92.412745700000002</v>
      </c>
      <c r="Z3">
        <v>180.98100000000002</v>
      </c>
      <c r="AA3">
        <v>254.31637499999999</v>
      </c>
      <c r="AB3">
        <v>100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101.25991151812968</v>
      </c>
    </row>
    <row r="4" spans="1:41" x14ac:dyDescent="0.3">
      <c r="A4">
        <v>919.87192284011235</v>
      </c>
      <c r="B4">
        <v>28</v>
      </c>
      <c r="C4">
        <v>17</v>
      </c>
      <c r="D4">
        <v>3.0957244696099107</v>
      </c>
      <c r="E4">
        <v>22</v>
      </c>
      <c r="F4">
        <v>13</v>
      </c>
      <c r="G4">
        <v>0.80041560607653195</v>
      </c>
      <c r="H4">
        <v>21</v>
      </c>
      <c r="I4">
        <v>8</v>
      </c>
      <c r="J4">
        <v>0.52990854023026557</v>
      </c>
      <c r="K4">
        <v>342709000</v>
      </c>
      <c r="L4">
        <v>54419900</v>
      </c>
      <c r="M4">
        <v>79654400</v>
      </c>
      <c r="N4">
        <v>73518900</v>
      </c>
      <c r="O4">
        <v>0</v>
      </c>
      <c r="P4">
        <v>0</v>
      </c>
      <c r="Q4">
        <v>100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99</v>
      </c>
      <c r="AC4">
        <v>100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299</v>
      </c>
    </row>
    <row r="5" spans="1:41" x14ac:dyDescent="0.3">
      <c r="A5">
        <v>928.08617422964892</v>
      </c>
      <c r="B5">
        <v>31</v>
      </c>
      <c r="C5">
        <v>19</v>
      </c>
      <c r="D5">
        <v>3.9184950317009228</v>
      </c>
      <c r="E5">
        <v>21</v>
      </c>
      <c r="F5">
        <v>11</v>
      </c>
      <c r="G5">
        <v>0.46561984734991957</v>
      </c>
      <c r="H5">
        <v>13</v>
      </c>
      <c r="I5">
        <v>11</v>
      </c>
      <c r="J5">
        <v>1.2231086814485463</v>
      </c>
      <c r="K5">
        <v>508067842.07391787</v>
      </c>
      <c r="L5">
        <v>54416600</v>
      </c>
      <c r="M5">
        <v>79686222.324373126</v>
      </c>
      <c r="N5">
        <v>73366400</v>
      </c>
      <c r="O5">
        <v>15884294.720000001</v>
      </c>
      <c r="P5">
        <v>212.088718</v>
      </c>
      <c r="Q5">
        <v>1.2318127462148636</v>
      </c>
      <c r="R5">
        <v>43.7664191</v>
      </c>
      <c r="S5">
        <v>782.28320799999995</v>
      </c>
      <c r="T5">
        <v>6.1531368899999994E-14</v>
      </c>
      <c r="U5">
        <v>23.276641650557977</v>
      </c>
      <c r="V5">
        <v>91.850000000000009</v>
      </c>
      <c r="W5">
        <v>-240.32629050404597</v>
      </c>
      <c r="X5">
        <v>62.906775099999997</v>
      </c>
      <c r="Y5">
        <v>92.706407900000002</v>
      </c>
      <c r="Z5">
        <v>177.97</v>
      </c>
      <c r="AA5">
        <v>237.732551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1.2318127462148636</v>
      </c>
    </row>
    <row r="6" spans="1:41" x14ac:dyDescent="0.3">
      <c r="A6">
        <v>946.19910337002386</v>
      </c>
      <c r="B6">
        <v>35</v>
      </c>
      <c r="C6">
        <v>17</v>
      </c>
      <c r="D6">
        <v>11.313189161099835</v>
      </c>
      <c r="E6">
        <v>15</v>
      </c>
      <c r="F6">
        <v>5</v>
      </c>
      <c r="G6">
        <v>0.61634016542092518</v>
      </c>
      <c r="H6">
        <v>19</v>
      </c>
      <c r="I6">
        <v>7</v>
      </c>
      <c r="J6">
        <v>0.43501342424180567</v>
      </c>
      <c r="K6">
        <v>510109917.22643316</v>
      </c>
      <c r="L6">
        <v>54504700</v>
      </c>
      <c r="M6">
        <v>79710693.685845941</v>
      </c>
      <c r="N6">
        <v>73765400</v>
      </c>
      <c r="O6">
        <v>15896704.32</v>
      </c>
      <c r="P6">
        <v>213.18000900000001</v>
      </c>
      <c r="Q6">
        <v>1.2255719571116799</v>
      </c>
      <c r="R6">
        <v>43.776488499999999</v>
      </c>
      <c r="S6">
        <v>782.49102299999993</v>
      </c>
      <c r="T6">
        <v>7.87724786E-10</v>
      </c>
      <c r="U6">
        <v>23.459219518896923</v>
      </c>
      <c r="V6">
        <v>100.934</v>
      </c>
      <c r="W6">
        <v>-238.75238660184638</v>
      </c>
      <c r="X6">
        <v>62.8530199</v>
      </c>
      <c r="Y6">
        <v>92.267910000000001</v>
      </c>
      <c r="Z6">
        <v>177.97</v>
      </c>
      <c r="AA6">
        <v>235.41870900000001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1.2255719571116799</v>
      </c>
    </row>
    <row r="7" spans="1:41" x14ac:dyDescent="0.3">
      <c r="A7">
        <v>957.01082844560619</v>
      </c>
      <c r="B7">
        <v>31</v>
      </c>
      <c r="C7">
        <v>11</v>
      </c>
      <c r="D7">
        <v>7.0621530726435964</v>
      </c>
      <c r="E7">
        <v>19</v>
      </c>
      <c r="F7">
        <v>7</v>
      </c>
      <c r="G7">
        <v>0.81622372146529032</v>
      </c>
      <c r="H7">
        <v>18</v>
      </c>
      <c r="I7">
        <v>10</v>
      </c>
      <c r="J7">
        <v>1.3178786019050284</v>
      </c>
      <c r="K7">
        <v>504984521.67197573</v>
      </c>
      <c r="L7">
        <v>54504700</v>
      </c>
      <c r="M7">
        <v>79710803.123642743</v>
      </c>
      <c r="N7">
        <v>73765400</v>
      </c>
      <c r="O7">
        <v>16378975.6</v>
      </c>
      <c r="P7">
        <v>205.23243199999999</v>
      </c>
      <c r="Q7">
        <v>1.2560784730875112</v>
      </c>
      <c r="R7">
        <v>43.856968600000002</v>
      </c>
      <c r="S7">
        <v>782.99427600000001</v>
      </c>
      <c r="T7">
        <v>2.4844945599999999E-12</v>
      </c>
      <c r="U7">
        <v>24.085985102715647</v>
      </c>
      <c r="V7">
        <v>100.934</v>
      </c>
      <c r="W7">
        <v>-235.21767045842435</v>
      </c>
      <c r="X7">
        <v>62.957504100000001</v>
      </c>
      <c r="Y7">
        <v>92.502034600000002</v>
      </c>
      <c r="Z7">
        <v>177.97</v>
      </c>
      <c r="AA7">
        <v>241.85795899999999</v>
      </c>
      <c r="AB7">
        <v>100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101.25607847308751</v>
      </c>
    </row>
    <row r="8" spans="1:41" x14ac:dyDescent="0.3">
      <c r="A8">
        <v>934.30070179719291</v>
      </c>
      <c r="B8">
        <v>37</v>
      </c>
      <c r="C8">
        <v>18</v>
      </c>
      <c r="D8">
        <v>8.1863402733200257</v>
      </c>
      <c r="E8">
        <v>17</v>
      </c>
      <c r="F8">
        <v>7</v>
      </c>
      <c r="G8">
        <v>0.82554100996715907</v>
      </c>
      <c r="H8">
        <v>10</v>
      </c>
      <c r="I8">
        <v>8</v>
      </c>
      <c r="J8">
        <v>1.2820137322088889</v>
      </c>
      <c r="K8">
        <v>509061945.83003491</v>
      </c>
      <c r="L8">
        <v>54459500</v>
      </c>
      <c r="M8">
        <v>79697415.648555756</v>
      </c>
      <c r="N8">
        <v>74467600</v>
      </c>
      <c r="O8">
        <v>15889264.4</v>
      </c>
      <c r="P8">
        <v>211.63953799999999</v>
      </c>
      <c r="Q8">
        <v>1.2155419746208294</v>
      </c>
      <c r="R8">
        <v>43.842218199999998</v>
      </c>
      <c r="S8">
        <v>782.96919400000002</v>
      </c>
      <c r="T8">
        <v>2.7775813700000001E-12</v>
      </c>
      <c r="U8">
        <v>23.99180277096416</v>
      </c>
      <c r="V8">
        <v>100.934</v>
      </c>
      <c r="W8">
        <v>-237.59107463692442</v>
      </c>
      <c r="X8">
        <v>62.8710722</v>
      </c>
      <c r="Y8">
        <v>92.300038400000005</v>
      </c>
      <c r="Z8">
        <v>177.97</v>
      </c>
      <c r="AA8">
        <v>243.20169200000001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1.2155419746208294</v>
      </c>
    </row>
    <row r="9" spans="1:41" x14ac:dyDescent="0.3">
      <c r="A9">
        <v>939.24902453522964</v>
      </c>
      <c r="B9">
        <v>39</v>
      </c>
      <c r="C9">
        <v>19</v>
      </c>
      <c r="D9">
        <v>15</v>
      </c>
      <c r="E9">
        <v>10</v>
      </c>
      <c r="F9">
        <v>5</v>
      </c>
      <c r="G9">
        <v>0.3</v>
      </c>
      <c r="H9">
        <v>29</v>
      </c>
      <c r="I9">
        <v>14</v>
      </c>
      <c r="J9">
        <v>0.3</v>
      </c>
      <c r="K9">
        <v>510706482.9204306</v>
      </c>
      <c r="L9">
        <v>54536600</v>
      </c>
      <c r="M9">
        <v>79703908.613010556</v>
      </c>
      <c r="N9">
        <v>71320200</v>
      </c>
      <c r="O9">
        <v>15896199.76</v>
      </c>
      <c r="P9">
        <v>213.86465999999999</v>
      </c>
      <c r="Q9">
        <v>1.27467149380349</v>
      </c>
      <c r="R9">
        <v>43.587275900000002</v>
      </c>
      <c r="S9">
        <v>782.4368310000001</v>
      </c>
      <c r="T9">
        <v>5.5606567800000002E-9</v>
      </c>
      <c r="U9">
        <v>22.830360251695893</v>
      </c>
      <c r="V9">
        <v>100.934</v>
      </c>
      <c r="W9">
        <v>-241.63642541333633</v>
      </c>
      <c r="X9">
        <v>62.840210200000001</v>
      </c>
      <c r="Y9">
        <v>92.103592399999997</v>
      </c>
      <c r="Z9">
        <v>144.29</v>
      </c>
      <c r="AA9">
        <v>233.40978000000001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1.27467149380349</v>
      </c>
    </row>
    <row r="10" spans="1:41" x14ac:dyDescent="0.3">
      <c r="A10">
        <v>942.58147391354976</v>
      </c>
      <c r="B10">
        <v>39</v>
      </c>
      <c r="C10">
        <v>19</v>
      </c>
      <c r="D10">
        <v>1</v>
      </c>
      <c r="E10">
        <v>10</v>
      </c>
      <c r="F10">
        <v>5</v>
      </c>
      <c r="G10">
        <v>1.2</v>
      </c>
      <c r="H10">
        <v>29</v>
      </c>
      <c r="I10">
        <v>7</v>
      </c>
      <c r="J10">
        <v>1.4</v>
      </c>
      <c r="K10">
        <v>508632390.19617021</v>
      </c>
      <c r="L10">
        <v>54483600</v>
      </c>
      <c r="M10">
        <v>79703897.801658377</v>
      </c>
      <c r="N10">
        <v>74074700</v>
      </c>
      <c r="O10">
        <v>15889289.84</v>
      </c>
      <c r="P10">
        <v>209.73189300000001</v>
      </c>
      <c r="Q10">
        <v>1.2339845514915646</v>
      </c>
      <c r="R10">
        <v>43.694556200000001</v>
      </c>
      <c r="S10">
        <v>783.32664399999999</v>
      </c>
      <c r="T10">
        <v>3.1248749900000001E-10</v>
      </c>
      <c r="U10">
        <v>23.588130381101159</v>
      </c>
      <c r="V10">
        <v>80.72</v>
      </c>
      <c r="W10">
        <v>-148.24437629831269</v>
      </c>
      <c r="X10">
        <v>63.127682900000003</v>
      </c>
      <c r="Y10">
        <v>94.926406900000003</v>
      </c>
      <c r="Z10">
        <v>144.29</v>
      </c>
      <c r="AA10">
        <v>234.99131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1.2339845514915646</v>
      </c>
    </row>
    <row r="11" spans="1:41" x14ac:dyDescent="0.3">
      <c r="A11">
        <v>935.72384224607902</v>
      </c>
      <c r="B11">
        <v>35</v>
      </c>
      <c r="C11">
        <v>19</v>
      </c>
      <c r="D11">
        <v>2.1477342561904305</v>
      </c>
      <c r="E11">
        <v>26</v>
      </c>
      <c r="F11">
        <v>10</v>
      </c>
      <c r="G11">
        <v>0.76719923423207115</v>
      </c>
      <c r="H11">
        <v>13</v>
      </c>
      <c r="I11">
        <v>11</v>
      </c>
      <c r="J11">
        <v>0.72898123394475478</v>
      </c>
      <c r="K11">
        <v>507974688.57146072</v>
      </c>
      <c r="L11">
        <v>54457500</v>
      </c>
      <c r="M11">
        <v>79707922.588159844</v>
      </c>
      <c r="N11">
        <v>75187100</v>
      </c>
      <c r="O11">
        <v>15889737.68</v>
      </c>
      <c r="P11">
        <v>210.64057399999999</v>
      </c>
      <c r="Q11">
        <v>1.2026823712620103</v>
      </c>
      <c r="R11">
        <v>43.8922642</v>
      </c>
      <c r="S11">
        <v>783.44007199999999</v>
      </c>
      <c r="T11">
        <v>1.1185596E-15</v>
      </c>
      <c r="U11">
        <v>24.532578021152155</v>
      </c>
      <c r="V11">
        <v>91.850000000000009</v>
      </c>
      <c r="W11">
        <v>-235.6307356537024</v>
      </c>
      <c r="X11">
        <v>62.814859300000002</v>
      </c>
      <c r="Y11">
        <v>92.896078599999996</v>
      </c>
      <c r="Z11">
        <v>180.98100000000002</v>
      </c>
      <c r="AA11">
        <v>253.76104000000001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1.2026823712620103</v>
      </c>
    </row>
    <row r="12" spans="1:41" x14ac:dyDescent="0.3">
      <c r="A12">
        <v>938.02329670554172</v>
      </c>
      <c r="B12">
        <v>28</v>
      </c>
      <c r="C12">
        <v>18</v>
      </c>
      <c r="D12">
        <v>1.1742861245355618</v>
      </c>
      <c r="E12">
        <v>11</v>
      </c>
      <c r="F12">
        <v>8</v>
      </c>
      <c r="G12">
        <v>0.3</v>
      </c>
      <c r="H12">
        <v>11</v>
      </c>
      <c r="I12">
        <v>9</v>
      </c>
      <c r="J12">
        <v>1.3481922090449372</v>
      </c>
      <c r="K12">
        <v>507533448.65192235</v>
      </c>
      <c r="L12">
        <v>54394700</v>
      </c>
      <c r="M12">
        <v>79696604.778036475</v>
      </c>
      <c r="N12">
        <v>70905700</v>
      </c>
      <c r="O12">
        <v>15887349.76</v>
      </c>
      <c r="P12">
        <v>212.264577</v>
      </c>
      <c r="Q12">
        <v>1.2798014070522161</v>
      </c>
      <c r="R12">
        <v>43.464540399999997</v>
      </c>
      <c r="S12">
        <v>782.49665199999993</v>
      </c>
      <c r="T12">
        <v>1.3178687900000001E-10</v>
      </c>
      <c r="U12">
        <v>22.571618385410027</v>
      </c>
      <c r="V12">
        <v>80.72</v>
      </c>
      <c r="W12">
        <v>-184.63732232601572</v>
      </c>
      <c r="X12">
        <v>63.095768900000003</v>
      </c>
      <c r="Y12">
        <v>94.550060999999999</v>
      </c>
      <c r="Z12">
        <v>100.934</v>
      </c>
      <c r="AA12">
        <v>229.26854599999999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1.2798014070522161</v>
      </c>
    </row>
    <row r="13" spans="1:41" x14ac:dyDescent="0.3">
      <c r="A13">
        <v>938.88670574229047</v>
      </c>
      <c r="B13">
        <v>39</v>
      </c>
      <c r="C13">
        <v>10</v>
      </c>
      <c r="D13">
        <v>15</v>
      </c>
      <c r="E13">
        <v>29</v>
      </c>
      <c r="F13">
        <v>5</v>
      </c>
      <c r="G13">
        <v>0.3</v>
      </c>
      <c r="H13">
        <v>29</v>
      </c>
      <c r="I13">
        <v>14</v>
      </c>
      <c r="J13">
        <v>1.4</v>
      </c>
      <c r="K13">
        <v>510998909.29251742</v>
      </c>
      <c r="L13">
        <v>54548700</v>
      </c>
      <c r="M13">
        <v>79698903.904910639</v>
      </c>
      <c r="N13">
        <v>72496700</v>
      </c>
      <c r="O13">
        <v>15894694.159999998</v>
      </c>
      <c r="P13">
        <v>213.50385600000001</v>
      </c>
      <c r="Q13">
        <v>1.2536806013296351</v>
      </c>
      <c r="R13">
        <v>43.717824200000003</v>
      </c>
      <c r="S13">
        <v>781.85393999999997</v>
      </c>
      <c r="T13">
        <v>3.9991782600000004E-9</v>
      </c>
      <c r="U13">
        <v>22.547031235380203</v>
      </c>
      <c r="V13">
        <v>100.934</v>
      </c>
      <c r="W13">
        <v>-238.13190654882615</v>
      </c>
      <c r="X13">
        <v>62.878784699999997</v>
      </c>
      <c r="Y13">
        <v>92.134697200000005</v>
      </c>
      <c r="Z13">
        <v>177.97</v>
      </c>
      <c r="AA13">
        <v>233.17557600000001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1.2536806013296351</v>
      </c>
    </row>
    <row r="14" spans="1:41" x14ac:dyDescent="0.3">
      <c r="A14">
        <v>934.51551024118135</v>
      </c>
      <c r="B14">
        <v>27</v>
      </c>
      <c r="C14">
        <v>19</v>
      </c>
      <c r="D14">
        <v>15</v>
      </c>
      <c r="E14">
        <v>10</v>
      </c>
      <c r="F14">
        <v>5</v>
      </c>
      <c r="G14">
        <v>0.3</v>
      </c>
      <c r="H14">
        <v>10</v>
      </c>
      <c r="I14">
        <v>8</v>
      </c>
      <c r="J14">
        <v>1.4</v>
      </c>
      <c r="K14">
        <v>509912321.96899593</v>
      </c>
      <c r="L14">
        <v>54442100</v>
      </c>
      <c r="M14">
        <v>79692810.939428642</v>
      </c>
      <c r="N14">
        <v>71222700</v>
      </c>
      <c r="O14">
        <v>15892825.92</v>
      </c>
      <c r="P14">
        <v>214.13168099999999</v>
      </c>
      <c r="Q14">
        <v>1.2706261266633476</v>
      </c>
      <c r="R14">
        <v>43.589785800000001</v>
      </c>
      <c r="S14">
        <v>782.21597399999996</v>
      </c>
      <c r="T14">
        <v>5.5213449299999997E-9</v>
      </c>
      <c r="U14">
        <v>22.757025483169482</v>
      </c>
      <c r="V14">
        <v>91.850000000000009</v>
      </c>
      <c r="W14">
        <v>-243.46782666336662</v>
      </c>
      <c r="X14">
        <v>62.915351399999999</v>
      </c>
      <c r="Y14">
        <v>92.505046100000001</v>
      </c>
      <c r="Z14">
        <v>144.29</v>
      </c>
      <c r="AA14">
        <v>232.086882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1.2706261266633476</v>
      </c>
    </row>
    <row r="15" spans="1:41" x14ac:dyDescent="0.3">
      <c r="A15">
        <v>934.70946631969161</v>
      </c>
      <c r="B15">
        <v>35</v>
      </c>
      <c r="C15">
        <v>10</v>
      </c>
      <c r="D15">
        <v>13.805515515623757</v>
      </c>
      <c r="E15">
        <v>24</v>
      </c>
      <c r="F15">
        <v>14</v>
      </c>
      <c r="G15">
        <v>0.35173694411725137</v>
      </c>
      <c r="H15">
        <v>10</v>
      </c>
      <c r="I15">
        <v>8</v>
      </c>
      <c r="J15">
        <v>0.49336245628554976</v>
      </c>
      <c r="K15">
        <v>510116380.57078701</v>
      </c>
      <c r="L15">
        <v>54487900</v>
      </c>
      <c r="M15">
        <v>79702120.05794391</v>
      </c>
      <c r="N15">
        <v>73019500</v>
      </c>
      <c r="O15">
        <v>15894696</v>
      </c>
      <c r="P15">
        <v>212.82415599999999</v>
      </c>
      <c r="Q15">
        <v>1.2427645866272206</v>
      </c>
      <c r="R15">
        <v>43.735075500000001</v>
      </c>
      <c r="S15">
        <v>782.01601300000004</v>
      </c>
      <c r="T15">
        <v>2.65557121E-9</v>
      </c>
      <c r="U15">
        <v>22.812212710125106</v>
      </c>
      <c r="V15">
        <v>100.934</v>
      </c>
      <c r="W15">
        <v>-237.80824540152102</v>
      </c>
      <c r="X15">
        <v>62.869935099999999</v>
      </c>
      <c r="Y15">
        <v>92.247567599999996</v>
      </c>
      <c r="Z15">
        <v>177.97</v>
      </c>
      <c r="AA15">
        <v>240.01320100000001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1.2427645866272206</v>
      </c>
    </row>
    <row r="16" spans="1:41" x14ac:dyDescent="0.3">
      <c r="A16">
        <v>935.76395871822979</v>
      </c>
      <c r="B16">
        <v>39</v>
      </c>
      <c r="C16">
        <v>10</v>
      </c>
      <c r="D16">
        <v>15</v>
      </c>
      <c r="E16">
        <v>10</v>
      </c>
      <c r="F16">
        <v>7</v>
      </c>
      <c r="G16">
        <v>0.79508275515475368</v>
      </c>
      <c r="H16">
        <v>16</v>
      </c>
      <c r="I16">
        <v>14</v>
      </c>
      <c r="J16">
        <v>0.3</v>
      </c>
      <c r="K16">
        <v>510394590.52877384</v>
      </c>
      <c r="L16">
        <v>54486000</v>
      </c>
      <c r="M16">
        <v>79701616.450187996</v>
      </c>
      <c r="N16">
        <v>72188100</v>
      </c>
      <c r="O16">
        <v>15894946.24</v>
      </c>
      <c r="P16">
        <v>212.85226599999999</v>
      </c>
      <c r="Q16">
        <v>1.260690755538451</v>
      </c>
      <c r="R16">
        <v>43.655987099999997</v>
      </c>
      <c r="S16">
        <v>782.87775899999997</v>
      </c>
      <c r="T16">
        <v>1.0695711E-11</v>
      </c>
      <c r="U16">
        <v>23.144416316089053</v>
      </c>
      <c r="V16">
        <v>100.934</v>
      </c>
      <c r="W16">
        <v>-239.21210482457934</v>
      </c>
      <c r="X16">
        <v>62.836094199999998</v>
      </c>
      <c r="Y16">
        <v>92.109333800000002</v>
      </c>
      <c r="Z16">
        <v>121.52199999999999</v>
      </c>
      <c r="AA16">
        <v>236.02568199999999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1.260690755538451</v>
      </c>
    </row>
    <row r="17" spans="1:41" x14ac:dyDescent="0.3">
      <c r="A17">
        <v>941.5143985200134</v>
      </c>
      <c r="B17">
        <v>27</v>
      </c>
      <c r="C17">
        <v>10</v>
      </c>
      <c r="D17">
        <v>15</v>
      </c>
      <c r="E17">
        <v>10</v>
      </c>
      <c r="F17">
        <v>5</v>
      </c>
      <c r="G17">
        <v>0.3</v>
      </c>
      <c r="H17">
        <v>29</v>
      </c>
      <c r="I17">
        <v>7</v>
      </c>
      <c r="J17">
        <v>1.4</v>
      </c>
      <c r="K17">
        <v>510765584.15920907</v>
      </c>
      <c r="L17">
        <v>54486000</v>
      </c>
      <c r="M17">
        <v>79701597.263607427</v>
      </c>
      <c r="N17">
        <v>72188100</v>
      </c>
      <c r="O17">
        <v>15897658.16</v>
      </c>
      <c r="P17">
        <v>214.53314800000001</v>
      </c>
      <c r="Q17">
        <v>1.251987105360777</v>
      </c>
      <c r="R17">
        <v>43.587262799999998</v>
      </c>
      <c r="S17">
        <v>782.34713399999998</v>
      </c>
      <c r="T17">
        <v>5.5282048999999999E-9</v>
      </c>
      <c r="U17">
        <v>22.794097513899096</v>
      </c>
      <c r="V17">
        <v>100.934</v>
      </c>
      <c r="W17">
        <v>-242.09152233023212</v>
      </c>
      <c r="X17">
        <v>62.873102500000002</v>
      </c>
      <c r="Y17">
        <v>92.458858699999993</v>
      </c>
      <c r="Z17">
        <v>144.29</v>
      </c>
      <c r="AA17">
        <v>229.84520900000001</v>
      </c>
      <c r="AB17">
        <v>100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101.25198710536078</v>
      </c>
    </row>
    <row r="18" spans="1:41" x14ac:dyDescent="0.3">
      <c r="A18">
        <v>936.32743637485601</v>
      </c>
      <c r="B18">
        <v>39</v>
      </c>
      <c r="C18">
        <v>19</v>
      </c>
      <c r="D18">
        <v>5.6617359505730454</v>
      </c>
      <c r="E18">
        <v>11</v>
      </c>
      <c r="F18">
        <v>9</v>
      </c>
      <c r="G18">
        <v>1.0070572030675287</v>
      </c>
      <c r="H18">
        <v>18</v>
      </c>
      <c r="I18">
        <v>14</v>
      </c>
      <c r="J18">
        <v>0.86627427073704766</v>
      </c>
      <c r="K18">
        <v>508767392.64036822</v>
      </c>
      <c r="L18">
        <v>54442600</v>
      </c>
      <c r="M18">
        <v>79695408.08769697</v>
      </c>
      <c r="N18">
        <v>71953300</v>
      </c>
      <c r="O18">
        <v>15888566.880000001</v>
      </c>
      <c r="P18">
        <v>213.48920799999999</v>
      </c>
      <c r="Q18">
        <v>1.2557129220764089</v>
      </c>
      <c r="R18">
        <v>43.639806999999998</v>
      </c>
      <c r="S18">
        <v>783.33416699999998</v>
      </c>
      <c r="T18">
        <v>1.23795028E-13</v>
      </c>
      <c r="U18">
        <v>23.127389518305105</v>
      </c>
      <c r="V18">
        <v>100.934</v>
      </c>
      <c r="W18">
        <v>-239.74272185457451</v>
      </c>
      <c r="X18">
        <v>62.889521799999997</v>
      </c>
      <c r="Y18">
        <v>92.3913668</v>
      </c>
      <c r="Z18">
        <v>100.934</v>
      </c>
      <c r="AA18">
        <v>233.29091700000001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1.2557129220764089</v>
      </c>
    </row>
    <row r="19" spans="1:41" x14ac:dyDescent="0.3">
      <c r="A19">
        <v>944.70258848929086</v>
      </c>
      <c r="B19">
        <v>39</v>
      </c>
      <c r="C19">
        <v>19</v>
      </c>
      <c r="D19">
        <v>15</v>
      </c>
      <c r="E19">
        <v>10</v>
      </c>
      <c r="F19">
        <v>5</v>
      </c>
      <c r="G19">
        <v>0.40700500298021963</v>
      </c>
      <c r="H19">
        <v>12</v>
      </c>
      <c r="I19">
        <v>10</v>
      </c>
      <c r="J19">
        <v>0.3</v>
      </c>
      <c r="K19">
        <v>510665191.18728703</v>
      </c>
      <c r="L19">
        <v>54525800</v>
      </c>
      <c r="M19">
        <v>79727116.773347273</v>
      </c>
      <c r="N19">
        <v>72194700</v>
      </c>
      <c r="O19">
        <v>15904233.76</v>
      </c>
      <c r="P19">
        <v>213.657498</v>
      </c>
      <c r="Q19">
        <v>1.2574851868438863</v>
      </c>
      <c r="R19">
        <v>43.625531799999997</v>
      </c>
      <c r="S19">
        <v>782.46435099999997</v>
      </c>
      <c r="T19">
        <v>2.6662132199999999E-9</v>
      </c>
      <c r="U19">
        <v>22.964072843210861</v>
      </c>
      <c r="V19">
        <v>100.934</v>
      </c>
      <c r="W19">
        <v>-240.56884283881249</v>
      </c>
      <c r="X19">
        <v>62.799821199999997</v>
      </c>
      <c r="Y19">
        <v>92.0819312</v>
      </c>
      <c r="Z19">
        <v>144.29</v>
      </c>
      <c r="AA19">
        <v>239.74378400000001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1.2574851868438863</v>
      </c>
    </row>
    <row r="20" spans="1:41" x14ac:dyDescent="0.3">
      <c r="A20">
        <v>932.50380392171951</v>
      </c>
      <c r="B20">
        <v>30</v>
      </c>
      <c r="C20">
        <v>19</v>
      </c>
      <c r="D20">
        <v>8.3832717417832416</v>
      </c>
      <c r="E20">
        <v>20</v>
      </c>
      <c r="F20">
        <v>14</v>
      </c>
      <c r="G20">
        <v>0.33259258522546253</v>
      </c>
      <c r="H20">
        <v>11</v>
      </c>
      <c r="I20">
        <v>9</v>
      </c>
      <c r="J20">
        <v>1.2707650858649504</v>
      </c>
      <c r="K20">
        <v>508881940.46024311</v>
      </c>
      <c r="L20">
        <v>54436200</v>
      </c>
      <c r="M20">
        <v>79691014.684624851</v>
      </c>
      <c r="N20">
        <v>72559300</v>
      </c>
      <c r="O20">
        <v>15888410.959999999</v>
      </c>
      <c r="P20">
        <v>213.04926699999999</v>
      </c>
      <c r="Q20">
        <v>1.2459821154809219</v>
      </c>
      <c r="R20">
        <v>43.716567499999996</v>
      </c>
      <c r="S20">
        <v>781.97989800000005</v>
      </c>
      <c r="T20">
        <v>3.1310476100000002E-9</v>
      </c>
      <c r="U20">
        <v>22.815113828583801</v>
      </c>
      <c r="V20">
        <v>100.934</v>
      </c>
      <c r="W20">
        <v>-240.34131793636161</v>
      </c>
      <c r="X20">
        <v>62.905997800000002</v>
      </c>
      <c r="Y20">
        <v>92.501759699999994</v>
      </c>
      <c r="Z20">
        <v>177.97</v>
      </c>
      <c r="AA20">
        <v>236.02318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1.2459821154809219</v>
      </c>
    </row>
    <row r="21" spans="1:41" x14ac:dyDescent="0.3">
      <c r="A21">
        <v>935.76982055812289</v>
      </c>
      <c r="B21">
        <v>39</v>
      </c>
      <c r="C21">
        <v>19</v>
      </c>
      <c r="D21">
        <v>15</v>
      </c>
      <c r="E21">
        <v>24</v>
      </c>
      <c r="F21">
        <v>5</v>
      </c>
      <c r="G21">
        <v>0.3</v>
      </c>
      <c r="H21">
        <v>16</v>
      </c>
      <c r="I21">
        <v>14</v>
      </c>
      <c r="J21">
        <v>0.3</v>
      </c>
      <c r="K21">
        <v>510494995.49018091</v>
      </c>
      <c r="L21">
        <v>54506100</v>
      </c>
      <c r="M21">
        <v>79702917.828699589</v>
      </c>
      <c r="N21">
        <v>72438200</v>
      </c>
      <c r="O21">
        <v>15895291.279999999</v>
      </c>
      <c r="P21">
        <v>212.713109</v>
      </c>
      <c r="Q21">
        <v>1.2570628457379276</v>
      </c>
      <c r="R21">
        <v>43.707699599999998</v>
      </c>
      <c r="S21">
        <v>782.11454100000003</v>
      </c>
      <c r="T21">
        <v>4.0789917799999999E-9</v>
      </c>
      <c r="U21">
        <v>22.712884113385062</v>
      </c>
      <c r="V21">
        <v>100.934</v>
      </c>
      <c r="W21">
        <v>-238.27335407856884</v>
      </c>
      <c r="X21">
        <v>62.827457299999999</v>
      </c>
      <c r="Y21">
        <v>92.095172199999993</v>
      </c>
      <c r="Z21">
        <v>177.97</v>
      </c>
      <c r="AA21">
        <v>234.23720700000001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1.2570628457379276</v>
      </c>
    </row>
    <row r="22" spans="1:41" x14ac:dyDescent="0.3">
      <c r="A22">
        <v>956.33546341378099</v>
      </c>
      <c r="B22">
        <v>39</v>
      </c>
      <c r="C22">
        <v>19</v>
      </c>
      <c r="D22">
        <v>15</v>
      </c>
      <c r="E22">
        <v>10</v>
      </c>
      <c r="F22">
        <v>5</v>
      </c>
      <c r="G22">
        <v>0.3</v>
      </c>
      <c r="H22">
        <v>29</v>
      </c>
      <c r="I22">
        <v>7</v>
      </c>
      <c r="J22">
        <v>0.3</v>
      </c>
      <c r="K22">
        <v>505971981.09465921</v>
      </c>
      <c r="L22">
        <v>54506100</v>
      </c>
      <c r="M22">
        <v>79703008.097789228</v>
      </c>
      <c r="N22">
        <v>72438200</v>
      </c>
      <c r="O22">
        <v>16384346.239999998</v>
      </c>
      <c r="P22">
        <v>206.988643</v>
      </c>
      <c r="Q22">
        <v>1.2769940939647901</v>
      </c>
      <c r="R22">
        <v>43.586589799999999</v>
      </c>
      <c r="S22">
        <v>782.48308300000008</v>
      </c>
      <c r="T22">
        <v>5.5059478800000001E-9</v>
      </c>
      <c r="U22">
        <v>22.826316698891656</v>
      </c>
      <c r="V22">
        <v>100.934</v>
      </c>
      <c r="W22">
        <v>-240.01639271211917</v>
      </c>
      <c r="X22">
        <v>62.915521599999998</v>
      </c>
      <c r="Y22">
        <v>92.121775600000007</v>
      </c>
      <c r="Z22">
        <v>144.29</v>
      </c>
      <c r="AA22">
        <v>233.40610000000001</v>
      </c>
      <c r="AB22">
        <v>100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101.27699409396479</v>
      </c>
    </row>
    <row r="23" spans="1:41" x14ac:dyDescent="0.3">
      <c r="A23">
        <v>936.98470949164437</v>
      </c>
      <c r="B23">
        <v>27</v>
      </c>
      <c r="C23">
        <v>14</v>
      </c>
      <c r="D23">
        <v>13.825886125706019</v>
      </c>
      <c r="E23">
        <v>29</v>
      </c>
      <c r="F23">
        <v>5</v>
      </c>
      <c r="G23">
        <v>0.75336999393486781</v>
      </c>
      <c r="H23">
        <v>10</v>
      </c>
      <c r="I23">
        <v>8</v>
      </c>
      <c r="J23">
        <v>1.4</v>
      </c>
      <c r="K23">
        <v>509925999.99372607</v>
      </c>
      <c r="L23">
        <v>54467000</v>
      </c>
      <c r="M23">
        <v>79700611.060228169</v>
      </c>
      <c r="N23">
        <v>74597100</v>
      </c>
      <c r="O23">
        <v>15893467.84</v>
      </c>
      <c r="P23">
        <v>211.907107</v>
      </c>
      <c r="Q23">
        <v>1.2142337442737479</v>
      </c>
      <c r="R23">
        <v>43.8516543</v>
      </c>
      <c r="S23">
        <v>782.61060499999996</v>
      </c>
      <c r="T23">
        <v>4.39392033E-10</v>
      </c>
      <c r="U23">
        <v>23.925300101203163</v>
      </c>
      <c r="V23">
        <v>100.934</v>
      </c>
      <c r="W23">
        <v>-236.1595203975383</v>
      </c>
      <c r="X23">
        <v>62.867266700000002</v>
      </c>
      <c r="Y23">
        <v>92.462123800000001</v>
      </c>
      <c r="Z23">
        <v>180.98100000000002</v>
      </c>
      <c r="AA23">
        <v>243.300184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1.2142337442737479</v>
      </c>
    </row>
    <row r="24" spans="1:41" x14ac:dyDescent="0.3">
      <c r="A24">
        <v>942.02977774056433</v>
      </c>
      <c r="B24">
        <v>39</v>
      </c>
      <c r="C24">
        <v>10</v>
      </c>
      <c r="D24">
        <v>1</v>
      </c>
      <c r="E24">
        <v>10</v>
      </c>
      <c r="F24">
        <v>5</v>
      </c>
      <c r="G24">
        <v>0.3</v>
      </c>
      <c r="H24">
        <v>10</v>
      </c>
      <c r="I24">
        <v>7</v>
      </c>
      <c r="J24">
        <v>0.3</v>
      </c>
      <c r="K24">
        <v>508116278.61664432</v>
      </c>
      <c r="L24">
        <v>54458700</v>
      </c>
      <c r="M24">
        <v>79712309.267341316</v>
      </c>
      <c r="N24">
        <v>72243100</v>
      </c>
      <c r="O24">
        <v>15892197.039999999</v>
      </c>
      <c r="P24">
        <v>211.420233</v>
      </c>
      <c r="Q24">
        <v>1.260196038546789</v>
      </c>
      <c r="R24">
        <v>43.531387799999997</v>
      </c>
      <c r="S24">
        <v>783.031925</v>
      </c>
      <c r="T24">
        <v>4.8731409100000001E-9</v>
      </c>
      <c r="U24">
        <v>22.694337004571601</v>
      </c>
      <c r="V24">
        <v>80.72</v>
      </c>
      <c r="W24">
        <v>-142.06876182615042</v>
      </c>
      <c r="X24">
        <v>63.115647299999999</v>
      </c>
      <c r="Y24">
        <v>94.942328599999996</v>
      </c>
      <c r="Z24">
        <v>144.29</v>
      </c>
      <c r="AA24">
        <v>233.83554899999999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1.260196038546789</v>
      </c>
    </row>
    <row r="25" spans="1:41" x14ac:dyDescent="0.3">
      <c r="A25">
        <v>942.4558260470551</v>
      </c>
      <c r="B25">
        <v>39</v>
      </c>
      <c r="C25">
        <v>19</v>
      </c>
      <c r="D25">
        <v>1</v>
      </c>
      <c r="E25">
        <v>16</v>
      </c>
      <c r="F25">
        <v>5</v>
      </c>
      <c r="G25">
        <v>0.3</v>
      </c>
      <c r="H25">
        <v>20</v>
      </c>
      <c r="I25">
        <v>14</v>
      </c>
      <c r="J25">
        <v>0.3</v>
      </c>
      <c r="K25">
        <v>508232568.80942619</v>
      </c>
      <c r="L25">
        <v>54473800</v>
      </c>
      <c r="M25">
        <v>79710205.392922491</v>
      </c>
      <c r="N25">
        <v>73031400</v>
      </c>
      <c r="O25">
        <v>15890424.800000001</v>
      </c>
      <c r="P25">
        <v>209.97594900000001</v>
      </c>
      <c r="Q25">
        <v>1.2529850079822225</v>
      </c>
      <c r="R25">
        <v>43.615473399999999</v>
      </c>
      <c r="S25">
        <v>782.92190500000004</v>
      </c>
      <c r="T25">
        <v>3.7316460299999999E-9</v>
      </c>
      <c r="U25">
        <v>22.982801290831542</v>
      </c>
      <c r="V25">
        <v>80.72</v>
      </c>
      <c r="W25">
        <v>-149.31896897846485</v>
      </c>
      <c r="X25">
        <v>63.0733192</v>
      </c>
      <c r="Y25">
        <v>94.895079100000004</v>
      </c>
      <c r="Z25">
        <v>165.7</v>
      </c>
      <c r="AA25">
        <v>234.41770700000001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1.2529850079822225</v>
      </c>
    </row>
    <row r="26" spans="1:41" x14ac:dyDescent="0.3">
      <c r="A26">
        <v>941.24657534365031</v>
      </c>
      <c r="B26">
        <v>39</v>
      </c>
      <c r="C26">
        <v>19</v>
      </c>
      <c r="D26">
        <v>8.2988753103203265</v>
      </c>
      <c r="E26">
        <v>10</v>
      </c>
      <c r="F26">
        <v>5</v>
      </c>
      <c r="G26">
        <v>0.3</v>
      </c>
      <c r="H26">
        <v>19</v>
      </c>
      <c r="I26">
        <v>7</v>
      </c>
      <c r="J26">
        <v>0.3</v>
      </c>
      <c r="K26">
        <v>509553409.52517802</v>
      </c>
      <c r="L26">
        <v>54482900</v>
      </c>
      <c r="M26">
        <v>79707306.099435374</v>
      </c>
      <c r="N26">
        <v>71368000</v>
      </c>
      <c r="O26">
        <v>15893960.4</v>
      </c>
      <c r="P26">
        <v>213.96083200000001</v>
      </c>
      <c r="Q26">
        <v>1.2683459759610143</v>
      </c>
      <c r="R26">
        <v>43.586209599999997</v>
      </c>
      <c r="S26">
        <v>782.46468300000004</v>
      </c>
      <c r="T26">
        <v>5.5583250000000002E-9</v>
      </c>
      <c r="U26">
        <v>22.836845740537555</v>
      </c>
      <c r="V26">
        <v>100.934</v>
      </c>
      <c r="W26">
        <v>-241.56851369821518</v>
      </c>
      <c r="X26">
        <v>62.832172800000002</v>
      </c>
      <c r="Y26">
        <v>92.235316999999995</v>
      </c>
      <c r="Z26">
        <v>144.29</v>
      </c>
      <c r="AA26">
        <v>233.47399999999999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1.2683459759610143</v>
      </c>
    </row>
    <row r="27" spans="1:41" x14ac:dyDescent="0.3">
      <c r="A27">
        <v>933.35666121087593</v>
      </c>
      <c r="B27">
        <v>31</v>
      </c>
      <c r="C27">
        <v>17</v>
      </c>
      <c r="D27">
        <v>2.0070107563410278</v>
      </c>
      <c r="E27">
        <v>23</v>
      </c>
      <c r="F27">
        <v>5</v>
      </c>
      <c r="G27">
        <v>0.7486625739778392</v>
      </c>
      <c r="H27">
        <v>10</v>
      </c>
      <c r="I27">
        <v>8</v>
      </c>
      <c r="J27">
        <v>0.961699240661683</v>
      </c>
      <c r="K27">
        <v>507752374.74311495</v>
      </c>
      <c r="L27">
        <v>54428700</v>
      </c>
      <c r="M27">
        <v>79697518.665256858</v>
      </c>
      <c r="N27">
        <v>74419800</v>
      </c>
      <c r="O27">
        <v>15886658.48</v>
      </c>
      <c r="P27">
        <v>211.509074</v>
      </c>
      <c r="Q27">
        <v>1.2124433804506425</v>
      </c>
      <c r="R27">
        <v>43.840249200000002</v>
      </c>
      <c r="S27">
        <v>782.58671400000003</v>
      </c>
      <c r="T27">
        <v>4.5436085400000001E-10</v>
      </c>
      <c r="U27">
        <v>23.855224418806195</v>
      </c>
      <c r="V27">
        <v>91.850000000000009</v>
      </c>
      <c r="W27">
        <v>-236.29486144870327</v>
      </c>
      <c r="X27">
        <v>62.871158399999999</v>
      </c>
      <c r="Y27">
        <v>93.006107499999999</v>
      </c>
      <c r="Z27">
        <v>180.98100000000002</v>
      </c>
      <c r="AA27">
        <v>243.77155999999999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1.2124433804506425</v>
      </c>
    </row>
    <row r="28" spans="1:41" x14ac:dyDescent="0.3">
      <c r="A28">
        <v>940.20803800552505</v>
      </c>
      <c r="B28">
        <v>39</v>
      </c>
      <c r="C28">
        <v>10</v>
      </c>
      <c r="D28">
        <v>10.686239581288991</v>
      </c>
      <c r="E28">
        <v>21</v>
      </c>
      <c r="F28">
        <v>5</v>
      </c>
      <c r="G28">
        <v>0.3</v>
      </c>
      <c r="H28">
        <v>13</v>
      </c>
      <c r="I28">
        <v>11</v>
      </c>
      <c r="J28">
        <v>1.4</v>
      </c>
      <c r="K28">
        <v>509773427.00823921</v>
      </c>
      <c r="L28">
        <v>54493300</v>
      </c>
      <c r="M28">
        <v>79700501.699702963</v>
      </c>
      <c r="N28">
        <v>72546600</v>
      </c>
      <c r="O28">
        <v>15892658.08</v>
      </c>
      <c r="P28">
        <v>213.76382100000001</v>
      </c>
      <c r="Q28">
        <v>1.2460896625868632</v>
      </c>
      <c r="R28">
        <v>43.703409499999999</v>
      </c>
      <c r="S28">
        <v>781.97953499999994</v>
      </c>
      <c r="T28">
        <v>4.0990719999999998E-9</v>
      </c>
      <c r="U28">
        <v>22.721075752973206</v>
      </c>
      <c r="V28">
        <v>100.934</v>
      </c>
      <c r="W28">
        <v>-239.76923729246866</v>
      </c>
      <c r="X28">
        <v>62.894196600000001</v>
      </c>
      <c r="Y28">
        <v>92.215777299999999</v>
      </c>
      <c r="Z28">
        <v>177.97</v>
      </c>
      <c r="AA28">
        <v>234.83247600000001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1.2460896625868632</v>
      </c>
    </row>
    <row r="29" spans="1:41" x14ac:dyDescent="0.3">
      <c r="A29">
        <v>939.58398336674827</v>
      </c>
      <c r="B29">
        <v>33</v>
      </c>
      <c r="C29">
        <v>19</v>
      </c>
      <c r="D29">
        <v>12.3146391546668</v>
      </c>
      <c r="E29">
        <v>15</v>
      </c>
      <c r="F29">
        <v>5</v>
      </c>
      <c r="G29">
        <v>1.2</v>
      </c>
      <c r="H29">
        <v>16</v>
      </c>
      <c r="I29">
        <v>14</v>
      </c>
      <c r="J29">
        <v>1.4</v>
      </c>
      <c r="K29">
        <v>509711204.71235991</v>
      </c>
      <c r="L29">
        <v>54479200</v>
      </c>
      <c r="M29">
        <v>79701103.64502731</v>
      </c>
      <c r="N29">
        <v>74651300</v>
      </c>
      <c r="O29">
        <v>15893914.800000001</v>
      </c>
      <c r="P29">
        <v>212.264343</v>
      </c>
      <c r="Q29">
        <v>1.2106298173132257</v>
      </c>
      <c r="R29">
        <v>43.843082699999997</v>
      </c>
      <c r="S29">
        <v>782.812411</v>
      </c>
      <c r="T29">
        <v>2.3405825300000001E-10</v>
      </c>
      <c r="U29">
        <v>23.984958424502601</v>
      </c>
      <c r="V29">
        <v>100.934</v>
      </c>
      <c r="W29">
        <v>-237.87587653427698</v>
      </c>
      <c r="X29">
        <v>62.883445700000003</v>
      </c>
      <c r="Y29">
        <v>92.330682800000005</v>
      </c>
      <c r="Z29">
        <v>177.97</v>
      </c>
      <c r="AA29">
        <v>242.81697800000001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1.2106298173132257</v>
      </c>
    </row>
    <row r="30" spans="1:41" x14ac:dyDescent="0.3">
      <c r="A30">
        <v>930.58558363615271</v>
      </c>
      <c r="B30">
        <v>39</v>
      </c>
      <c r="C30">
        <v>10</v>
      </c>
      <c r="D30">
        <v>15</v>
      </c>
      <c r="E30">
        <v>29</v>
      </c>
      <c r="F30">
        <v>5</v>
      </c>
      <c r="G30">
        <v>0.3</v>
      </c>
      <c r="H30">
        <v>10</v>
      </c>
      <c r="I30">
        <v>8</v>
      </c>
      <c r="J30">
        <v>0.30008741795431115</v>
      </c>
      <c r="K30">
        <v>510520157.87885988</v>
      </c>
      <c r="L30">
        <v>54518800</v>
      </c>
      <c r="M30">
        <v>79715446.986582562</v>
      </c>
      <c r="N30">
        <v>72428200</v>
      </c>
      <c r="O30">
        <v>15898642.4</v>
      </c>
      <c r="P30">
        <v>211.615396</v>
      </c>
      <c r="Q30">
        <v>1.2641378573110873</v>
      </c>
      <c r="R30">
        <v>43.711422399999996</v>
      </c>
      <c r="S30">
        <v>782.23492499999998</v>
      </c>
      <c r="T30">
        <v>4.0615093400000003E-9</v>
      </c>
      <c r="U30">
        <v>22.674856784321939</v>
      </c>
      <c r="V30">
        <v>100.934</v>
      </c>
      <c r="W30">
        <v>-235.76830537770059</v>
      </c>
      <c r="X30">
        <v>62.7629065</v>
      </c>
      <c r="Y30">
        <v>92.065913899999998</v>
      </c>
      <c r="Z30">
        <v>177.97</v>
      </c>
      <c r="AA30">
        <v>242.568828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1.2641378573110873</v>
      </c>
    </row>
    <row r="31" spans="1:41" x14ac:dyDescent="0.3">
      <c r="A31">
        <v>941.8621741997008</v>
      </c>
      <c r="B31">
        <v>39</v>
      </c>
      <c r="C31">
        <v>10</v>
      </c>
      <c r="D31">
        <v>15</v>
      </c>
      <c r="E31">
        <v>10</v>
      </c>
      <c r="F31">
        <v>5</v>
      </c>
      <c r="G31">
        <v>1.2</v>
      </c>
      <c r="H31">
        <v>10</v>
      </c>
      <c r="I31">
        <v>7</v>
      </c>
      <c r="J31">
        <v>0.3</v>
      </c>
      <c r="K31">
        <v>510690723.69929552</v>
      </c>
      <c r="L31">
        <v>54521600</v>
      </c>
      <c r="M31">
        <v>79724822.654928297</v>
      </c>
      <c r="N31">
        <v>73407100</v>
      </c>
      <c r="O31">
        <v>15902275.600000001</v>
      </c>
      <c r="P31">
        <v>211.73716899999999</v>
      </c>
      <c r="Q31">
        <v>1.2436077526452411</v>
      </c>
      <c r="R31">
        <v>43.745047599999999</v>
      </c>
      <c r="S31">
        <v>783.05587000000003</v>
      </c>
      <c r="T31">
        <v>3.6698334700000001E-10</v>
      </c>
      <c r="U31">
        <v>23.609360933922744</v>
      </c>
      <c r="V31">
        <v>100.934</v>
      </c>
      <c r="W31">
        <v>-237.37455631091586</v>
      </c>
      <c r="X31">
        <v>62.739804700000001</v>
      </c>
      <c r="Y31">
        <v>92.056040800000005</v>
      </c>
      <c r="Z31">
        <v>144.29</v>
      </c>
      <c r="AA31">
        <v>241.30672100000001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1.2436077526452411</v>
      </c>
    </row>
    <row r="32" spans="1:41" x14ac:dyDescent="0.3">
      <c r="A32">
        <v>944.12669295644423</v>
      </c>
      <c r="B32">
        <v>39</v>
      </c>
      <c r="C32">
        <v>19</v>
      </c>
      <c r="D32">
        <v>15</v>
      </c>
      <c r="E32">
        <v>29</v>
      </c>
      <c r="F32">
        <v>5</v>
      </c>
      <c r="G32">
        <v>0.3</v>
      </c>
      <c r="H32">
        <v>29</v>
      </c>
      <c r="I32">
        <v>7</v>
      </c>
      <c r="J32">
        <v>0.3</v>
      </c>
      <c r="K32">
        <v>511332803.46222836</v>
      </c>
      <c r="L32">
        <v>54564900</v>
      </c>
      <c r="M32">
        <v>79714004.100079954</v>
      </c>
      <c r="N32">
        <v>72673900</v>
      </c>
      <c r="O32">
        <v>15899712.960000001</v>
      </c>
      <c r="P32">
        <v>213.29298600000001</v>
      </c>
      <c r="Q32">
        <v>1.2526506591593565</v>
      </c>
      <c r="R32">
        <v>43.714721699999998</v>
      </c>
      <c r="S32">
        <v>782.05293300000005</v>
      </c>
      <c r="T32">
        <v>4.0175643300000004E-9</v>
      </c>
      <c r="U32">
        <v>22.611041614684222</v>
      </c>
      <c r="V32">
        <v>100.934</v>
      </c>
      <c r="W32">
        <v>-237.38494447898481</v>
      </c>
      <c r="X32">
        <v>62.808211499999999</v>
      </c>
      <c r="Y32">
        <v>92.086619999999996</v>
      </c>
      <c r="Z32">
        <v>177.97</v>
      </c>
      <c r="AA32">
        <v>235.76677599999999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1.2526506591593565</v>
      </c>
    </row>
    <row r="33" spans="1:41" x14ac:dyDescent="0.3">
      <c r="A33">
        <v>942.4997755319722</v>
      </c>
      <c r="B33">
        <v>39</v>
      </c>
      <c r="C33">
        <v>10</v>
      </c>
      <c r="D33">
        <v>15</v>
      </c>
      <c r="E33">
        <v>29</v>
      </c>
      <c r="F33">
        <v>5</v>
      </c>
      <c r="G33">
        <v>0.3</v>
      </c>
      <c r="H33">
        <v>10</v>
      </c>
      <c r="I33">
        <v>7</v>
      </c>
      <c r="J33">
        <v>0.3</v>
      </c>
      <c r="K33">
        <v>510875923.76687276</v>
      </c>
      <c r="L33">
        <v>54536300</v>
      </c>
      <c r="M33">
        <v>79720716.428000316</v>
      </c>
      <c r="N33">
        <v>72746900</v>
      </c>
      <c r="O33">
        <v>15901490.48</v>
      </c>
      <c r="P33">
        <v>212.872411</v>
      </c>
      <c r="Q33">
        <v>1.2515616567127399</v>
      </c>
      <c r="R33">
        <v>43.713019799999998</v>
      </c>
      <c r="S33">
        <v>782.14374900000007</v>
      </c>
      <c r="T33">
        <v>4.0311037099999996E-9</v>
      </c>
      <c r="U33">
        <v>22.640928897533776</v>
      </c>
      <c r="V33">
        <v>100.934</v>
      </c>
      <c r="W33">
        <v>-236.54399621233333</v>
      </c>
      <c r="X33">
        <v>62.782102199999997</v>
      </c>
      <c r="Y33">
        <v>92.080410299999997</v>
      </c>
      <c r="Z33">
        <v>177.97</v>
      </c>
      <c r="AA33">
        <v>238.317735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1.2515616567127399</v>
      </c>
    </row>
    <row r="34" spans="1:41" x14ac:dyDescent="0.3">
      <c r="A34">
        <v>938.94633458787359</v>
      </c>
      <c r="B34">
        <v>39</v>
      </c>
      <c r="C34">
        <v>10</v>
      </c>
      <c r="D34">
        <v>15</v>
      </c>
      <c r="E34">
        <v>29</v>
      </c>
      <c r="F34">
        <v>14</v>
      </c>
      <c r="G34">
        <v>0.3</v>
      </c>
      <c r="H34">
        <v>16</v>
      </c>
      <c r="I34">
        <v>14</v>
      </c>
      <c r="J34">
        <v>0.3</v>
      </c>
      <c r="K34">
        <v>510515903.46728331</v>
      </c>
      <c r="L34">
        <v>54522900</v>
      </c>
      <c r="M34">
        <v>79708013.575857759</v>
      </c>
      <c r="N34">
        <v>72603700</v>
      </c>
      <c r="O34">
        <v>15897098.4</v>
      </c>
      <c r="P34">
        <v>212.92487</v>
      </c>
      <c r="Q34">
        <v>1.2527964777667722</v>
      </c>
      <c r="R34">
        <v>43.701197100000002</v>
      </c>
      <c r="S34">
        <v>781.77874899999995</v>
      </c>
      <c r="T34">
        <v>1.5921914500000001E-16</v>
      </c>
      <c r="U34">
        <v>22.722398760592998</v>
      </c>
      <c r="V34">
        <v>100.934</v>
      </c>
      <c r="W34">
        <v>-238.13442648022297</v>
      </c>
      <c r="X34">
        <v>62.813613199999999</v>
      </c>
      <c r="Y34">
        <v>92.097393199999999</v>
      </c>
      <c r="Z34">
        <v>177.97</v>
      </c>
      <c r="AA34">
        <v>234.256056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1.2527964777667722</v>
      </c>
    </row>
    <row r="35" spans="1:41" x14ac:dyDescent="0.3">
      <c r="A35">
        <v>942.53762422869829</v>
      </c>
      <c r="B35">
        <v>39</v>
      </c>
      <c r="C35">
        <v>17</v>
      </c>
      <c r="D35">
        <v>15</v>
      </c>
      <c r="E35">
        <v>19</v>
      </c>
      <c r="F35">
        <v>5</v>
      </c>
      <c r="G35">
        <v>0.3</v>
      </c>
      <c r="H35">
        <v>21</v>
      </c>
      <c r="I35">
        <v>7</v>
      </c>
      <c r="J35">
        <v>0.3</v>
      </c>
      <c r="K35">
        <v>510825374.70887077</v>
      </c>
      <c r="L35">
        <v>54527000</v>
      </c>
      <c r="M35">
        <v>79711706.537025496</v>
      </c>
      <c r="N35">
        <v>72482000</v>
      </c>
      <c r="O35">
        <v>15898153.68</v>
      </c>
      <c r="P35">
        <v>213.20281499999999</v>
      </c>
      <c r="Q35">
        <v>1.2547533077873356</v>
      </c>
      <c r="R35">
        <v>43.693188499999998</v>
      </c>
      <c r="S35">
        <v>782.262518</v>
      </c>
      <c r="T35">
        <v>4.1898670600000003E-9</v>
      </c>
      <c r="U35">
        <v>22.854023216783823</v>
      </c>
      <c r="V35">
        <v>100.934</v>
      </c>
      <c r="W35">
        <v>-239.39227398383002</v>
      </c>
      <c r="X35">
        <v>62.812609999999999</v>
      </c>
      <c r="Y35">
        <v>92.084478099999998</v>
      </c>
      <c r="Z35">
        <v>177.97</v>
      </c>
      <c r="AA35">
        <v>235.59663900000001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1.2547533077873356</v>
      </c>
    </row>
    <row r="36" spans="1:41" x14ac:dyDescent="0.3">
      <c r="A36">
        <v>943.12779374297406</v>
      </c>
      <c r="B36">
        <v>39</v>
      </c>
      <c r="C36">
        <v>19</v>
      </c>
      <c r="D36">
        <v>15</v>
      </c>
      <c r="E36">
        <v>29</v>
      </c>
      <c r="F36">
        <v>5</v>
      </c>
      <c r="G36">
        <v>0.3</v>
      </c>
      <c r="H36">
        <v>29</v>
      </c>
      <c r="I36">
        <v>14</v>
      </c>
      <c r="J36">
        <v>0.3</v>
      </c>
      <c r="K36">
        <v>511245242.61244941</v>
      </c>
      <c r="L36">
        <v>54561900</v>
      </c>
      <c r="M36">
        <v>79711003.999208227</v>
      </c>
      <c r="N36">
        <v>72682600</v>
      </c>
      <c r="O36">
        <v>15898708</v>
      </c>
      <c r="P36">
        <v>213.34406799999999</v>
      </c>
      <c r="Q36">
        <v>1.2518300278703214</v>
      </c>
      <c r="R36">
        <v>43.715411099999997</v>
      </c>
      <c r="S36">
        <v>782.01113700000008</v>
      </c>
      <c r="T36">
        <v>4.0137315E-9</v>
      </c>
      <c r="U36">
        <v>22.597614248827782</v>
      </c>
      <c r="V36">
        <v>100.934</v>
      </c>
      <c r="W36">
        <v>-237.59665035248844</v>
      </c>
      <c r="X36">
        <v>62.822531099999999</v>
      </c>
      <c r="Y36">
        <v>92.094476700000001</v>
      </c>
      <c r="Z36">
        <v>177.97</v>
      </c>
      <c r="AA36">
        <v>235.91029800000001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1.2518300278703214</v>
      </c>
    </row>
    <row r="37" spans="1:41" x14ac:dyDescent="0.3">
      <c r="A37">
        <v>938.22169563729869</v>
      </c>
      <c r="B37">
        <v>39</v>
      </c>
      <c r="C37">
        <v>11</v>
      </c>
      <c r="D37">
        <v>1</v>
      </c>
      <c r="E37">
        <v>10</v>
      </c>
      <c r="F37">
        <v>5</v>
      </c>
      <c r="G37">
        <v>0.49602550132651524</v>
      </c>
      <c r="H37">
        <v>15</v>
      </c>
      <c r="I37">
        <v>13</v>
      </c>
      <c r="J37">
        <v>1.4</v>
      </c>
      <c r="K37">
        <v>507818873.42632413</v>
      </c>
      <c r="L37">
        <v>54442700</v>
      </c>
      <c r="M37">
        <v>79697804.920201898</v>
      </c>
      <c r="N37">
        <v>72829900</v>
      </c>
      <c r="O37">
        <v>15887162.16</v>
      </c>
      <c r="P37">
        <v>210.922864</v>
      </c>
      <c r="Q37">
        <v>1.2495946411112671</v>
      </c>
      <c r="R37">
        <v>43.599054600000002</v>
      </c>
      <c r="S37">
        <v>782.94854999999995</v>
      </c>
      <c r="T37">
        <v>1.51305736E-9</v>
      </c>
      <c r="U37">
        <v>22.923018058597531</v>
      </c>
      <c r="V37">
        <v>80.72</v>
      </c>
      <c r="W37">
        <v>-142.77014652362462</v>
      </c>
      <c r="X37">
        <v>64.252822199999997</v>
      </c>
      <c r="Y37">
        <v>94.945175000000006</v>
      </c>
      <c r="Z37">
        <v>144.29</v>
      </c>
      <c r="AA37">
        <v>233.286293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1.2495946411112671</v>
      </c>
    </row>
    <row r="38" spans="1:41" x14ac:dyDescent="0.3">
      <c r="A38">
        <v>944.94073973368961</v>
      </c>
      <c r="B38">
        <v>27</v>
      </c>
      <c r="C38">
        <v>19</v>
      </c>
      <c r="D38">
        <v>15</v>
      </c>
      <c r="E38">
        <v>10</v>
      </c>
      <c r="F38">
        <v>5</v>
      </c>
      <c r="G38">
        <v>0.3</v>
      </c>
      <c r="H38">
        <v>10</v>
      </c>
      <c r="I38">
        <v>7</v>
      </c>
      <c r="J38">
        <v>0.3</v>
      </c>
      <c r="K38">
        <v>508241537.95857018</v>
      </c>
      <c r="L38">
        <v>54442700</v>
      </c>
      <c r="M38">
        <v>79697803.259824738</v>
      </c>
      <c r="N38">
        <v>72829900</v>
      </c>
      <c r="O38">
        <v>15902933.199999999</v>
      </c>
      <c r="P38">
        <v>214.53699900000001</v>
      </c>
      <c r="Q38">
        <v>1.2298811382437564</v>
      </c>
      <c r="R38">
        <v>43.586613200000002</v>
      </c>
      <c r="S38">
        <v>782.40148099999999</v>
      </c>
      <c r="T38">
        <v>5.5273304400000001E-9</v>
      </c>
      <c r="U38">
        <v>22.816024096132946</v>
      </c>
      <c r="V38">
        <v>91.850000000000009</v>
      </c>
      <c r="W38">
        <v>-242.63234842460719</v>
      </c>
      <c r="X38">
        <v>62.844231999999998</v>
      </c>
      <c r="Y38">
        <v>92.469190600000005</v>
      </c>
      <c r="Z38">
        <v>144.29</v>
      </c>
      <c r="AA38">
        <v>234.42956000000001</v>
      </c>
      <c r="AB38">
        <v>100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101.22988113824375</v>
      </c>
    </row>
    <row r="39" spans="1:41" x14ac:dyDescent="0.3">
      <c r="A39">
        <v>949.29017197100461</v>
      </c>
      <c r="B39">
        <v>39</v>
      </c>
      <c r="C39">
        <v>19</v>
      </c>
      <c r="D39">
        <v>1</v>
      </c>
      <c r="E39">
        <v>29</v>
      </c>
      <c r="F39">
        <v>5</v>
      </c>
      <c r="G39">
        <v>1.2</v>
      </c>
      <c r="H39">
        <v>29</v>
      </c>
      <c r="I39">
        <v>7</v>
      </c>
      <c r="J39">
        <v>1.4</v>
      </c>
      <c r="K39">
        <v>508090284.43325973</v>
      </c>
      <c r="L39">
        <v>54442700</v>
      </c>
      <c r="M39">
        <v>79697785.941322565</v>
      </c>
      <c r="N39">
        <v>72829900</v>
      </c>
      <c r="O39">
        <v>15895000.879999999</v>
      </c>
      <c r="P39">
        <v>209.32083600000001</v>
      </c>
      <c r="Q39">
        <v>1.2600385816101944</v>
      </c>
      <c r="R39">
        <v>43.835206999999997</v>
      </c>
      <c r="S39">
        <v>783.44409900000005</v>
      </c>
      <c r="T39">
        <v>1.6052505100000001E-10</v>
      </c>
      <c r="U39">
        <v>24.429123863220418</v>
      </c>
      <c r="V39">
        <v>80.72</v>
      </c>
      <c r="W39">
        <v>-143.47448212161348</v>
      </c>
      <c r="X39">
        <v>63.105294200000003</v>
      </c>
      <c r="Y39">
        <v>94.913771499999996</v>
      </c>
      <c r="Z39">
        <v>180.98100000000002</v>
      </c>
      <c r="AA39">
        <v>241.76504800000001</v>
      </c>
      <c r="AB39">
        <v>100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101.26003858161019</v>
      </c>
    </row>
    <row r="40" spans="1:41" x14ac:dyDescent="0.3">
      <c r="A40">
        <v>944.41952864632367</v>
      </c>
      <c r="B40">
        <v>39</v>
      </c>
      <c r="C40">
        <v>17</v>
      </c>
      <c r="D40">
        <v>8.1710911503304295</v>
      </c>
      <c r="E40">
        <v>10</v>
      </c>
      <c r="F40">
        <v>5</v>
      </c>
      <c r="G40">
        <v>1.2</v>
      </c>
      <c r="H40">
        <v>19</v>
      </c>
      <c r="I40">
        <v>14</v>
      </c>
      <c r="J40">
        <v>1.4</v>
      </c>
      <c r="K40">
        <v>509725240.19258308</v>
      </c>
      <c r="L40">
        <v>54480900</v>
      </c>
      <c r="M40">
        <v>79706394.696412057</v>
      </c>
      <c r="N40">
        <v>73454800</v>
      </c>
      <c r="O40">
        <v>15894118.720000001</v>
      </c>
      <c r="P40">
        <v>213.27361500000001</v>
      </c>
      <c r="Q40">
        <v>1.2297458068450102</v>
      </c>
      <c r="R40">
        <v>43.750595300000001</v>
      </c>
      <c r="S40">
        <v>782.64538800000003</v>
      </c>
      <c r="T40">
        <v>3.6243576200000001E-10</v>
      </c>
      <c r="U40">
        <v>23.464935778816464</v>
      </c>
      <c r="V40">
        <v>100.934</v>
      </c>
      <c r="W40">
        <v>-240.07945167467747</v>
      </c>
      <c r="X40">
        <v>62.869697799999997</v>
      </c>
      <c r="Y40">
        <v>92.255193300000002</v>
      </c>
      <c r="Z40">
        <v>144.29</v>
      </c>
      <c r="AA40">
        <v>236.645411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1.2297458068450102</v>
      </c>
    </row>
    <row r="41" spans="1:41" x14ac:dyDescent="0.3">
      <c r="A41">
        <v>928.53005875227382</v>
      </c>
      <c r="B41">
        <v>32</v>
      </c>
      <c r="C41">
        <v>19</v>
      </c>
      <c r="D41">
        <v>13.174458698987623</v>
      </c>
      <c r="E41">
        <v>11</v>
      </c>
      <c r="F41">
        <v>6</v>
      </c>
      <c r="G41">
        <v>0.53920241299147309</v>
      </c>
      <c r="H41">
        <v>11</v>
      </c>
      <c r="I41">
        <v>9</v>
      </c>
      <c r="J41">
        <v>1.316452689492654</v>
      </c>
      <c r="K41">
        <v>509642002.59185117</v>
      </c>
      <c r="L41">
        <v>54434700</v>
      </c>
      <c r="M41">
        <v>79686021.036255732</v>
      </c>
      <c r="N41">
        <v>72239200</v>
      </c>
      <c r="O41">
        <v>15889250.4</v>
      </c>
      <c r="P41">
        <v>212.89228600000001</v>
      </c>
      <c r="Q41">
        <v>1.2559306981506966</v>
      </c>
      <c r="R41">
        <v>43.679340000000003</v>
      </c>
      <c r="S41">
        <v>782.22796800000003</v>
      </c>
      <c r="T41">
        <v>1.5948851899999999E-10</v>
      </c>
      <c r="U41">
        <v>23.038431691679129</v>
      </c>
      <c r="V41">
        <v>100.934</v>
      </c>
      <c r="W41">
        <v>-241.42432458035046</v>
      </c>
      <c r="X41">
        <v>62.912785200000002</v>
      </c>
      <c r="Y41">
        <v>92.362042700000003</v>
      </c>
      <c r="Z41">
        <v>144.29</v>
      </c>
      <c r="AA41">
        <v>235.42509000000001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1.2559306981506966</v>
      </c>
    </row>
    <row r="42" spans="1:41" x14ac:dyDescent="0.3">
      <c r="A42">
        <v>937.40782978443303</v>
      </c>
      <c r="B42">
        <v>35</v>
      </c>
      <c r="C42">
        <v>14</v>
      </c>
      <c r="D42">
        <v>1.7974094305475083</v>
      </c>
      <c r="E42">
        <v>17</v>
      </c>
      <c r="F42">
        <v>10</v>
      </c>
      <c r="G42">
        <v>0.64481447219283028</v>
      </c>
      <c r="H42">
        <v>12</v>
      </c>
      <c r="I42">
        <v>10</v>
      </c>
      <c r="J42">
        <v>0.73496187658094814</v>
      </c>
      <c r="K42">
        <v>507772282.29910642</v>
      </c>
      <c r="L42">
        <v>54432400</v>
      </c>
      <c r="M42">
        <v>79700309.626041949</v>
      </c>
      <c r="N42">
        <v>74048200</v>
      </c>
      <c r="O42">
        <v>15887975.119999999</v>
      </c>
      <c r="P42">
        <v>212.23905300000001</v>
      </c>
      <c r="Q42">
        <v>1.2161427852366358</v>
      </c>
      <c r="R42">
        <v>43.777928899999999</v>
      </c>
      <c r="S42">
        <v>783.03311799999994</v>
      </c>
      <c r="T42">
        <v>6.9525992600000003E-15</v>
      </c>
      <c r="U42">
        <v>23.629768627397624</v>
      </c>
      <c r="V42">
        <v>91.850000000000009</v>
      </c>
      <c r="W42">
        <v>-231.40079558390605</v>
      </c>
      <c r="X42">
        <v>62.9047318</v>
      </c>
      <c r="Y42">
        <v>93.175030000000007</v>
      </c>
      <c r="Z42">
        <v>165.7</v>
      </c>
      <c r="AA42">
        <v>241.86040800000001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1.2161427852366358</v>
      </c>
    </row>
    <row r="43" spans="1:41" x14ac:dyDescent="0.3">
      <c r="A43">
        <v>933.27282053437568</v>
      </c>
      <c r="B43">
        <v>32</v>
      </c>
      <c r="C43">
        <v>18</v>
      </c>
      <c r="D43">
        <v>3.2732824487258894</v>
      </c>
      <c r="E43">
        <v>20</v>
      </c>
      <c r="F43">
        <v>8</v>
      </c>
      <c r="G43">
        <v>0.72961167542122896</v>
      </c>
      <c r="H43">
        <v>15</v>
      </c>
      <c r="I43">
        <v>13</v>
      </c>
      <c r="J43">
        <v>0.80781338309201067</v>
      </c>
      <c r="K43">
        <v>507995917.26013422</v>
      </c>
      <c r="L43">
        <v>54426900</v>
      </c>
      <c r="M43">
        <v>79695216.413003102</v>
      </c>
      <c r="N43">
        <v>74705900</v>
      </c>
      <c r="O43">
        <v>15886029.920000002</v>
      </c>
      <c r="P43">
        <v>211.54779500000001</v>
      </c>
      <c r="Q43">
        <v>1.2069954125605633</v>
      </c>
      <c r="R43">
        <v>43.853849099999998</v>
      </c>
      <c r="S43">
        <v>782.96436500000004</v>
      </c>
      <c r="T43">
        <v>2.8167272300000002E-13</v>
      </c>
      <c r="U43">
        <v>24.046116165055608</v>
      </c>
      <c r="V43">
        <v>91.850000000000009</v>
      </c>
      <c r="W43">
        <v>-237.9380921929625</v>
      </c>
      <c r="X43">
        <v>62.8863828</v>
      </c>
      <c r="Y43">
        <v>92.740410199999999</v>
      </c>
      <c r="Z43">
        <v>177.97</v>
      </c>
      <c r="AA43">
        <v>246.41275099999999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1.2069954125605633</v>
      </c>
    </row>
    <row r="44" spans="1:41" x14ac:dyDescent="0.3">
      <c r="A44">
        <v>941.11972910837085</v>
      </c>
      <c r="B44">
        <v>39</v>
      </c>
      <c r="C44">
        <v>19</v>
      </c>
      <c r="D44">
        <v>2.3508007149802088</v>
      </c>
      <c r="E44">
        <v>11</v>
      </c>
      <c r="F44">
        <v>6</v>
      </c>
      <c r="G44">
        <v>0.3</v>
      </c>
      <c r="H44">
        <v>11</v>
      </c>
      <c r="I44">
        <v>9</v>
      </c>
      <c r="J44">
        <v>1.4</v>
      </c>
      <c r="K44">
        <v>508463911.18175912</v>
      </c>
      <c r="L44">
        <v>54445500</v>
      </c>
      <c r="M44">
        <v>79701199.872918293</v>
      </c>
      <c r="N44">
        <v>71467700</v>
      </c>
      <c r="O44">
        <v>15889436.719999999</v>
      </c>
      <c r="P44">
        <v>214.63826299999999</v>
      </c>
      <c r="Q44">
        <v>1.258077375752678</v>
      </c>
      <c r="R44">
        <v>43.5895388</v>
      </c>
      <c r="S44">
        <v>782.13424200000009</v>
      </c>
      <c r="T44">
        <v>8.8195333500000001E-10</v>
      </c>
      <c r="U44">
        <v>22.727371543149083</v>
      </c>
      <c r="V44">
        <v>100.934</v>
      </c>
      <c r="W44">
        <v>-242.57246806376563</v>
      </c>
      <c r="X44">
        <v>62.905519400000003</v>
      </c>
      <c r="Y44">
        <v>92.8502613</v>
      </c>
      <c r="Z44">
        <v>144.29</v>
      </c>
      <c r="AA44">
        <v>232.17760200000001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1.258077375752678</v>
      </c>
    </row>
    <row r="45" spans="1:41" x14ac:dyDescent="0.3">
      <c r="A45">
        <v>941.38586722783839</v>
      </c>
      <c r="B45">
        <v>39</v>
      </c>
      <c r="C45">
        <v>19</v>
      </c>
      <c r="D45">
        <v>1</v>
      </c>
      <c r="E45">
        <v>10</v>
      </c>
      <c r="F45">
        <v>5</v>
      </c>
      <c r="G45">
        <v>0.3</v>
      </c>
      <c r="H45">
        <v>29</v>
      </c>
      <c r="I45">
        <v>14</v>
      </c>
      <c r="J45">
        <v>1.4</v>
      </c>
      <c r="K45">
        <v>508623218.11927152</v>
      </c>
      <c r="L45">
        <v>54464100</v>
      </c>
      <c r="M45">
        <v>79701299.296244353</v>
      </c>
      <c r="N45">
        <v>71986200</v>
      </c>
      <c r="O45">
        <v>15888559.279999999</v>
      </c>
      <c r="P45">
        <v>211.009918</v>
      </c>
      <c r="Q45">
        <v>1.2697647705556649</v>
      </c>
      <c r="R45">
        <v>43.528551</v>
      </c>
      <c r="S45">
        <v>783.01971000000003</v>
      </c>
      <c r="T45">
        <v>4.7869828399999998E-9</v>
      </c>
      <c r="U45">
        <v>22.900653502436516</v>
      </c>
      <c r="V45">
        <v>80.72</v>
      </c>
      <c r="W45">
        <v>-150.36580167948381</v>
      </c>
      <c r="X45">
        <v>63.1306279</v>
      </c>
      <c r="Y45">
        <v>94.928053700000007</v>
      </c>
      <c r="Z45">
        <v>144.29</v>
      </c>
      <c r="AA45">
        <v>229.14069799999999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1.2697647705556649</v>
      </c>
    </row>
    <row r="46" spans="1:41" x14ac:dyDescent="0.3">
      <c r="A46">
        <v>942.32733644409018</v>
      </c>
      <c r="B46">
        <v>39</v>
      </c>
      <c r="C46">
        <v>16</v>
      </c>
      <c r="D46">
        <v>15</v>
      </c>
      <c r="E46">
        <v>13</v>
      </c>
      <c r="F46">
        <v>5</v>
      </c>
      <c r="G46">
        <v>0.3</v>
      </c>
      <c r="H46">
        <v>15</v>
      </c>
      <c r="I46">
        <v>13</v>
      </c>
      <c r="J46">
        <v>1.4</v>
      </c>
      <c r="K46">
        <v>510751398.10142654</v>
      </c>
      <c r="L46">
        <v>54500100</v>
      </c>
      <c r="M46">
        <v>79702997.959026471</v>
      </c>
      <c r="N46">
        <v>72099700</v>
      </c>
      <c r="O46">
        <v>15896724.879999999</v>
      </c>
      <c r="P46">
        <v>214.24178599999999</v>
      </c>
      <c r="Q46">
        <v>1.2557567766089301</v>
      </c>
      <c r="R46">
        <v>43.652398300000002</v>
      </c>
      <c r="S46">
        <v>782.124594</v>
      </c>
      <c r="T46">
        <v>4.6458738000000002E-9</v>
      </c>
      <c r="U46">
        <v>22.853488255861226</v>
      </c>
      <c r="V46">
        <v>100.934</v>
      </c>
      <c r="W46">
        <v>-242.48834665371376</v>
      </c>
      <c r="X46">
        <v>62.893723700000002</v>
      </c>
      <c r="Y46">
        <v>92.130158600000001</v>
      </c>
      <c r="Z46">
        <v>144.29</v>
      </c>
      <c r="AA46">
        <v>233.24877799999999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1.2557567766089301</v>
      </c>
    </row>
    <row r="47" spans="1:41" x14ac:dyDescent="0.3">
      <c r="A47">
        <v>935.98195486966267</v>
      </c>
      <c r="B47">
        <v>39</v>
      </c>
      <c r="C47">
        <v>19</v>
      </c>
      <c r="D47">
        <v>13.501884921479537</v>
      </c>
      <c r="E47">
        <v>28</v>
      </c>
      <c r="F47">
        <v>12</v>
      </c>
      <c r="G47">
        <v>0.83901008816842226</v>
      </c>
      <c r="H47">
        <v>13</v>
      </c>
      <c r="I47">
        <v>11</v>
      </c>
      <c r="J47">
        <v>0.72579504642610781</v>
      </c>
      <c r="K47">
        <v>510035902.21859109</v>
      </c>
      <c r="L47">
        <v>54515100</v>
      </c>
      <c r="M47">
        <v>79712827.061645702</v>
      </c>
      <c r="N47">
        <v>75380200</v>
      </c>
      <c r="O47">
        <v>15896995.68</v>
      </c>
      <c r="P47">
        <v>210.19133199999999</v>
      </c>
      <c r="Q47">
        <v>1.2090642601557455</v>
      </c>
      <c r="R47">
        <v>43.914804699999998</v>
      </c>
      <c r="S47">
        <v>783.72772399999997</v>
      </c>
      <c r="T47">
        <v>3.8235481300000002E-18</v>
      </c>
      <c r="U47">
        <v>24.828073132171365</v>
      </c>
      <c r="V47">
        <v>100.934</v>
      </c>
      <c r="W47">
        <v>-234.44700712974219</v>
      </c>
      <c r="X47">
        <v>62.7780998</v>
      </c>
      <c r="Y47">
        <v>92.085405300000005</v>
      </c>
      <c r="Z47">
        <v>180.98100000000002</v>
      </c>
      <c r="AA47">
        <v>256.01900899999998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1.2090642601557455</v>
      </c>
    </row>
    <row r="48" spans="1:41" x14ac:dyDescent="0.3">
      <c r="A48">
        <v>933.75136113184499</v>
      </c>
      <c r="B48">
        <v>36</v>
      </c>
      <c r="C48">
        <v>15</v>
      </c>
      <c r="D48">
        <v>13.346702570969745</v>
      </c>
      <c r="E48">
        <v>29</v>
      </c>
      <c r="F48">
        <v>5</v>
      </c>
      <c r="G48">
        <v>0.48009134996997838</v>
      </c>
      <c r="H48">
        <v>14</v>
      </c>
      <c r="I48">
        <v>12</v>
      </c>
      <c r="J48">
        <v>0.90502842342781142</v>
      </c>
      <c r="K48">
        <v>510154959.18713039</v>
      </c>
      <c r="L48">
        <v>54496500</v>
      </c>
      <c r="M48">
        <v>79693513.373908892</v>
      </c>
      <c r="N48">
        <v>73676800</v>
      </c>
      <c r="O48">
        <v>15891729.92</v>
      </c>
      <c r="P48">
        <v>212.614295</v>
      </c>
      <c r="Q48">
        <v>1.2306459958279377</v>
      </c>
      <c r="R48">
        <v>43.791477800000003</v>
      </c>
      <c r="S48">
        <v>782.07023600000002</v>
      </c>
      <c r="T48">
        <v>1.2006812699999999E-9</v>
      </c>
      <c r="U48">
        <v>23.157877236945254</v>
      </c>
      <c r="V48">
        <v>100.934</v>
      </c>
      <c r="W48">
        <v>-237.18959713865505</v>
      </c>
      <c r="X48">
        <v>62.901374300000001</v>
      </c>
      <c r="Y48">
        <v>92.231965500000001</v>
      </c>
      <c r="Z48">
        <v>180.98100000000002</v>
      </c>
      <c r="AA48">
        <v>239.57190700000001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1.2306459958279377</v>
      </c>
    </row>
    <row r="49" spans="1:41" x14ac:dyDescent="0.3">
      <c r="A49">
        <v>933.6812277923425</v>
      </c>
      <c r="B49">
        <v>31</v>
      </c>
      <c r="C49">
        <v>19</v>
      </c>
      <c r="D49">
        <v>4.2300640418050097</v>
      </c>
      <c r="E49">
        <v>15</v>
      </c>
      <c r="F49">
        <v>10</v>
      </c>
      <c r="G49">
        <v>0.46270702813937903</v>
      </c>
      <c r="H49">
        <v>11</v>
      </c>
      <c r="I49">
        <v>9</v>
      </c>
      <c r="J49">
        <v>0.91057137751441131</v>
      </c>
      <c r="K49">
        <v>508060615.01299918</v>
      </c>
      <c r="L49">
        <v>54424000</v>
      </c>
      <c r="M49">
        <v>79692512.842021182</v>
      </c>
      <c r="N49">
        <v>72377300</v>
      </c>
      <c r="O49">
        <v>15886871.279999999</v>
      </c>
      <c r="P49">
        <v>213.44096999999999</v>
      </c>
      <c r="Q49">
        <v>1.2445950299269277</v>
      </c>
      <c r="R49">
        <v>43.664933099999999</v>
      </c>
      <c r="S49">
        <v>782.03092200000003</v>
      </c>
      <c r="T49">
        <v>1.07330684E-13</v>
      </c>
      <c r="U49">
        <v>22.894444562321052</v>
      </c>
      <c r="V49">
        <v>91.850000000000009</v>
      </c>
      <c r="W49">
        <v>-242.33987512133879</v>
      </c>
      <c r="X49">
        <v>62.913673199999998</v>
      </c>
      <c r="Y49">
        <v>92.682367900000003</v>
      </c>
      <c r="Z49">
        <v>144.29</v>
      </c>
      <c r="AA49">
        <v>236.46575999999999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1.2445950299269277</v>
      </c>
    </row>
    <row r="50" spans="1:41" x14ac:dyDescent="0.3">
      <c r="A50">
        <v>945.39065162665486</v>
      </c>
      <c r="B50">
        <v>39</v>
      </c>
      <c r="C50">
        <v>19</v>
      </c>
      <c r="D50">
        <v>9.4121116901848172</v>
      </c>
      <c r="E50">
        <v>15</v>
      </c>
      <c r="F50">
        <v>5</v>
      </c>
      <c r="G50">
        <v>1.2</v>
      </c>
      <c r="H50">
        <v>18</v>
      </c>
      <c r="I50">
        <v>7</v>
      </c>
      <c r="J50">
        <v>1.4</v>
      </c>
      <c r="K50">
        <v>509969835.59945047</v>
      </c>
      <c r="L50">
        <v>54501400</v>
      </c>
      <c r="M50">
        <v>79709094.202530995</v>
      </c>
      <c r="N50">
        <v>74697500</v>
      </c>
      <c r="O50">
        <v>15895595.119999999</v>
      </c>
      <c r="P50">
        <v>212.589924</v>
      </c>
      <c r="Q50">
        <v>1.2091032664207619</v>
      </c>
      <c r="R50">
        <v>43.842898900000002</v>
      </c>
      <c r="S50">
        <v>782.86189899999999</v>
      </c>
      <c r="T50">
        <v>2.3397581199999999E-10</v>
      </c>
      <c r="U50">
        <v>24.001167258042027</v>
      </c>
      <c r="V50">
        <v>100.934</v>
      </c>
      <c r="W50">
        <v>-237.59750980185694</v>
      </c>
      <c r="X50">
        <v>62.8615973</v>
      </c>
      <c r="Y50">
        <v>92.217328800000004</v>
      </c>
      <c r="Z50">
        <v>177.97</v>
      </c>
      <c r="AA50">
        <v>240.302592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1.2091032664207619</v>
      </c>
    </row>
    <row r="51" spans="1:41" x14ac:dyDescent="0.3">
      <c r="A51">
        <v>929.9123573481354</v>
      </c>
      <c r="B51">
        <v>39</v>
      </c>
      <c r="C51">
        <v>17</v>
      </c>
      <c r="D51">
        <v>5.2119150035264914</v>
      </c>
      <c r="E51">
        <v>27</v>
      </c>
      <c r="F51">
        <v>13</v>
      </c>
      <c r="G51">
        <v>0.98486783541936329</v>
      </c>
      <c r="H51">
        <v>11</v>
      </c>
      <c r="I51">
        <v>9</v>
      </c>
      <c r="J51">
        <v>1.3348110301057121</v>
      </c>
      <c r="K51">
        <v>508644989.50631058</v>
      </c>
      <c r="L51">
        <v>54461400</v>
      </c>
      <c r="M51">
        <v>79696327.238119841</v>
      </c>
      <c r="N51">
        <v>75432200</v>
      </c>
      <c r="O51">
        <v>15887505.119999999</v>
      </c>
      <c r="P51">
        <v>210.22079500000001</v>
      </c>
      <c r="Q51">
        <v>1.2021836531097385</v>
      </c>
      <c r="R51">
        <v>43.926166799999997</v>
      </c>
      <c r="S51">
        <v>783.62289500000009</v>
      </c>
      <c r="T51">
        <v>1.4140123E-19</v>
      </c>
      <c r="U51">
        <v>24.911970425630621</v>
      </c>
      <c r="V51">
        <v>100.934</v>
      </c>
      <c r="W51">
        <v>-235.34119462807982</v>
      </c>
      <c r="X51">
        <v>62.846987499999997</v>
      </c>
      <c r="Y51">
        <v>92.391442900000001</v>
      </c>
      <c r="Z51">
        <v>180.98100000000002</v>
      </c>
      <c r="AA51">
        <v>254.56516300000001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1.2021836531097385</v>
      </c>
    </row>
    <row r="52" spans="1:41" x14ac:dyDescent="0.3">
      <c r="A52">
        <v>939.8688942435424</v>
      </c>
      <c r="B52">
        <v>39</v>
      </c>
      <c r="C52">
        <v>16</v>
      </c>
      <c r="D52">
        <v>13.2851806124027</v>
      </c>
      <c r="E52">
        <v>17</v>
      </c>
      <c r="F52">
        <v>14</v>
      </c>
      <c r="G52">
        <v>0.94741363051582317</v>
      </c>
      <c r="H52">
        <v>13</v>
      </c>
      <c r="I52">
        <v>11</v>
      </c>
      <c r="J52">
        <v>0.81274173529816363</v>
      </c>
      <c r="K52">
        <v>510046647.84383917</v>
      </c>
      <c r="L52">
        <v>54497500</v>
      </c>
      <c r="M52">
        <v>79701103.069996908</v>
      </c>
      <c r="N52">
        <v>73386100</v>
      </c>
      <c r="O52">
        <v>15894731.359999999</v>
      </c>
      <c r="P52">
        <v>212.93492000000001</v>
      </c>
      <c r="Q52">
        <v>1.2344948693301288</v>
      </c>
      <c r="R52">
        <v>43.736293400000001</v>
      </c>
      <c r="S52">
        <v>783.84442899999999</v>
      </c>
      <c r="T52">
        <v>9.3044379800000005E-19</v>
      </c>
      <c r="U52">
        <v>23.538096316852304</v>
      </c>
      <c r="V52">
        <v>100.934</v>
      </c>
      <c r="W52">
        <v>-240.933263376181</v>
      </c>
      <c r="X52">
        <v>62.896396000000003</v>
      </c>
      <c r="Y52">
        <v>92.151965700000005</v>
      </c>
      <c r="Z52">
        <v>121.52199999999999</v>
      </c>
      <c r="AA52">
        <v>237.67427000000001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1.2344948693301288</v>
      </c>
    </row>
    <row r="53" spans="1:41" x14ac:dyDescent="0.3">
      <c r="A53">
        <v>940.66865410906644</v>
      </c>
      <c r="B53">
        <v>34</v>
      </c>
      <c r="C53">
        <v>19</v>
      </c>
      <c r="D53">
        <v>1</v>
      </c>
      <c r="E53">
        <v>10</v>
      </c>
      <c r="F53">
        <v>5</v>
      </c>
      <c r="G53">
        <v>0.3</v>
      </c>
      <c r="H53">
        <v>16</v>
      </c>
      <c r="I53">
        <v>14</v>
      </c>
      <c r="J53">
        <v>0.3</v>
      </c>
      <c r="K53">
        <v>507742181.76443839</v>
      </c>
      <c r="L53">
        <v>54444300</v>
      </c>
      <c r="M53">
        <v>79715316.724452227</v>
      </c>
      <c r="N53">
        <v>72438800</v>
      </c>
      <c r="O53">
        <v>15893206.08</v>
      </c>
      <c r="P53">
        <v>210.37247300000001</v>
      </c>
      <c r="Q53">
        <v>1.2608566405435084</v>
      </c>
      <c r="R53">
        <v>43.5355414</v>
      </c>
      <c r="S53">
        <v>782.79447599999992</v>
      </c>
      <c r="T53">
        <v>4.6643470500000002E-9</v>
      </c>
      <c r="U53">
        <v>22.873700996349942</v>
      </c>
      <c r="V53">
        <v>80.72</v>
      </c>
      <c r="W53">
        <v>-156.18207274625533</v>
      </c>
      <c r="X53">
        <v>63.126089999999998</v>
      </c>
      <c r="Y53">
        <v>94.980625799999999</v>
      </c>
      <c r="Z53">
        <v>144.29</v>
      </c>
      <c r="AA53">
        <v>236.04527400000001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1.2608566405435084</v>
      </c>
    </row>
    <row r="54" spans="1:41" x14ac:dyDescent="0.3">
      <c r="A54">
        <v>944.31267012963076</v>
      </c>
      <c r="B54">
        <v>39</v>
      </c>
      <c r="C54">
        <v>11</v>
      </c>
      <c r="D54">
        <v>6.1365548632351405</v>
      </c>
      <c r="E54">
        <v>13</v>
      </c>
      <c r="F54">
        <v>11</v>
      </c>
      <c r="G54">
        <v>0.3</v>
      </c>
      <c r="H54">
        <v>19</v>
      </c>
      <c r="I54">
        <v>11</v>
      </c>
      <c r="J54">
        <v>0.3</v>
      </c>
      <c r="K54">
        <v>508058815.78860652</v>
      </c>
      <c r="L54">
        <v>54444300</v>
      </c>
      <c r="M54">
        <v>79715292.552631348</v>
      </c>
      <c r="N54">
        <v>72438800</v>
      </c>
      <c r="O54">
        <v>15894778.32</v>
      </c>
      <c r="P54">
        <v>216.546198</v>
      </c>
      <c r="Q54">
        <v>1.2259022815963849</v>
      </c>
      <c r="R54">
        <v>43.407918100000003</v>
      </c>
      <c r="S54">
        <v>783.23367200000007</v>
      </c>
      <c r="T54">
        <v>3.8383981799999998E-13</v>
      </c>
      <c r="U54">
        <v>22.450384545623216</v>
      </c>
      <c r="V54">
        <v>100.934</v>
      </c>
      <c r="W54">
        <v>-238.07866535698628</v>
      </c>
      <c r="X54">
        <v>62.891861400000003</v>
      </c>
      <c r="Y54">
        <v>92.375726499999999</v>
      </c>
      <c r="Z54">
        <v>100.934</v>
      </c>
      <c r="AA54">
        <v>228.635797</v>
      </c>
      <c r="AB54">
        <v>100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101.22590228159639</v>
      </c>
    </row>
    <row r="55" spans="1:41" x14ac:dyDescent="0.3">
      <c r="A55">
        <v>932.9486827215519</v>
      </c>
      <c r="B55">
        <v>35</v>
      </c>
      <c r="C55">
        <v>19</v>
      </c>
      <c r="D55">
        <v>3.2175094017598287</v>
      </c>
      <c r="E55">
        <v>17</v>
      </c>
      <c r="F55">
        <v>14</v>
      </c>
      <c r="G55">
        <v>0.37065670099711512</v>
      </c>
      <c r="H55">
        <v>10</v>
      </c>
      <c r="I55">
        <v>8</v>
      </c>
      <c r="J55">
        <v>0.60614081372080464</v>
      </c>
      <c r="K55">
        <v>508220915.39288425</v>
      </c>
      <c r="L55">
        <v>54424200</v>
      </c>
      <c r="M55">
        <v>79690913.763220295</v>
      </c>
      <c r="N55">
        <v>70780500</v>
      </c>
      <c r="O55">
        <v>15886398.960000001</v>
      </c>
      <c r="P55">
        <v>215.082335</v>
      </c>
      <c r="Q55">
        <v>1.2683798189316893</v>
      </c>
      <c r="R55">
        <v>43.525290699999999</v>
      </c>
      <c r="S55">
        <v>781.81390499999998</v>
      </c>
      <c r="T55">
        <v>2.0871486799999999E-16</v>
      </c>
      <c r="U55">
        <v>22.402994416044002</v>
      </c>
      <c r="V55">
        <v>100.934</v>
      </c>
      <c r="W55">
        <v>-241.65827074053817</v>
      </c>
      <c r="X55">
        <v>62.958303100000002</v>
      </c>
      <c r="Y55">
        <v>92.746929199999997</v>
      </c>
      <c r="Z55">
        <v>121.52199999999999</v>
      </c>
      <c r="AA55">
        <v>233.78346300000001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1.2683798189316893</v>
      </c>
    </row>
    <row r="56" spans="1:41" x14ac:dyDescent="0.3">
      <c r="A56">
        <v>932.21379305108985</v>
      </c>
      <c r="B56">
        <v>39</v>
      </c>
      <c r="C56">
        <v>10</v>
      </c>
      <c r="D56">
        <v>8.1637368042178196</v>
      </c>
      <c r="E56">
        <v>11</v>
      </c>
      <c r="F56">
        <v>6</v>
      </c>
      <c r="G56">
        <v>1.056464867645067</v>
      </c>
      <c r="H56">
        <v>10</v>
      </c>
      <c r="I56">
        <v>8</v>
      </c>
      <c r="J56">
        <v>1.1437606374174294</v>
      </c>
      <c r="K56">
        <v>508976909.63442314</v>
      </c>
      <c r="L56">
        <v>54454300</v>
      </c>
      <c r="M56">
        <v>79692316.724041343</v>
      </c>
      <c r="N56">
        <v>73469700</v>
      </c>
      <c r="O56">
        <v>15888500.959999999</v>
      </c>
      <c r="P56">
        <v>212.26332300000001</v>
      </c>
      <c r="Q56">
        <v>1.2323425775649914</v>
      </c>
      <c r="R56">
        <v>43.7641311</v>
      </c>
      <c r="S56">
        <v>782.75073199999997</v>
      </c>
      <c r="T56">
        <v>3.6416474400000002E-11</v>
      </c>
      <c r="U56">
        <v>23.539909304045949</v>
      </c>
      <c r="V56">
        <v>100.934</v>
      </c>
      <c r="W56">
        <v>-239.22552096481385</v>
      </c>
      <c r="X56">
        <v>62.895788199999998</v>
      </c>
      <c r="Y56">
        <v>92.290205200000003</v>
      </c>
      <c r="Z56">
        <v>144.29</v>
      </c>
      <c r="AA56">
        <v>238.038253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1.2323425775649914</v>
      </c>
    </row>
    <row r="57" spans="1:41" x14ac:dyDescent="0.3">
      <c r="A57">
        <v>932.63562985435647</v>
      </c>
      <c r="B57">
        <v>38</v>
      </c>
      <c r="C57">
        <v>16</v>
      </c>
      <c r="D57">
        <v>12.984034919754491</v>
      </c>
      <c r="E57">
        <v>12</v>
      </c>
      <c r="F57">
        <v>6</v>
      </c>
      <c r="G57">
        <v>0.71354513517265872</v>
      </c>
      <c r="H57">
        <v>16</v>
      </c>
      <c r="I57">
        <v>14</v>
      </c>
      <c r="J57">
        <v>0.95827598139284964</v>
      </c>
      <c r="K57">
        <v>509895883.60244107</v>
      </c>
      <c r="L57">
        <v>54475400</v>
      </c>
      <c r="M57">
        <v>79691414.523764253</v>
      </c>
      <c r="N57">
        <v>73060900</v>
      </c>
      <c r="O57">
        <v>15890696.560000001</v>
      </c>
      <c r="P57">
        <v>212.44152600000001</v>
      </c>
      <c r="Q57">
        <v>1.2431783501705822</v>
      </c>
      <c r="R57">
        <v>43.7474767</v>
      </c>
      <c r="S57">
        <v>782.53826699999991</v>
      </c>
      <c r="T57">
        <v>6.9823526400000004E-11</v>
      </c>
      <c r="U57">
        <v>23.389176057317719</v>
      </c>
      <c r="V57">
        <v>100.934</v>
      </c>
      <c r="W57">
        <v>-240.05612999862868</v>
      </c>
      <c r="X57">
        <v>62.887604600000003</v>
      </c>
      <c r="Y57">
        <v>92.175267099999999</v>
      </c>
      <c r="Z57">
        <v>144.29</v>
      </c>
      <c r="AA57">
        <v>236.46977000000001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1.2431783501705822</v>
      </c>
    </row>
    <row r="58" spans="1:41" x14ac:dyDescent="0.3">
      <c r="A58">
        <v>931.35624199704398</v>
      </c>
      <c r="B58">
        <v>28</v>
      </c>
      <c r="C58">
        <v>10</v>
      </c>
      <c r="D58">
        <v>11.168989131249667</v>
      </c>
      <c r="E58">
        <v>22</v>
      </c>
      <c r="F58">
        <v>7</v>
      </c>
      <c r="G58">
        <v>0.6595021098398588</v>
      </c>
      <c r="H58">
        <v>10</v>
      </c>
      <c r="I58">
        <v>8</v>
      </c>
      <c r="J58">
        <v>1.3980646831817598</v>
      </c>
      <c r="K58">
        <v>509235840.39136755</v>
      </c>
      <c r="L58">
        <v>54443800</v>
      </c>
      <c r="M58">
        <v>79693520.311869442</v>
      </c>
      <c r="N58">
        <v>74425700</v>
      </c>
      <c r="O58">
        <v>15890150.4</v>
      </c>
      <c r="P58">
        <v>211.45120900000001</v>
      </c>
      <c r="Q58">
        <v>1.2177298398236989</v>
      </c>
      <c r="R58">
        <v>43.847051200000003</v>
      </c>
      <c r="S58">
        <v>782.77805899999998</v>
      </c>
      <c r="T58">
        <v>4.3080465799999999E-12</v>
      </c>
      <c r="U58">
        <v>23.933386080340728</v>
      </c>
      <c r="V58">
        <v>100.934</v>
      </c>
      <c r="W58">
        <v>-236.36765632479572</v>
      </c>
      <c r="X58">
        <v>62.877066300000003</v>
      </c>
      <c r="Y58">
        <v>92.466320800000005</v>
      </c>
      <c r="Z58">
        <v>177.97</v>
      </c>
      <c r="AA58">
        <v>243.28306900000001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1.2177298398236989</v>
      </c>
    </row>
    <row r="59" spans="1:41" x14ac:dyDescent="0.3">
      <c r="A59">
        <v>938.91418292134483</v>
      </c>
      <c r="B59">
        <v>37</v>
      </c>
      <c r="C59">
        <v>10</v>
      </c>
      <c r="D59">
        <v>15</v>
      </c>
      <c r="E59">
        <v>27</v>
      </c>
      <c r="F59">
        <v>5</v>
      </c>
      <c r="G59">
        <v>1.2</v>
      </c>
      <c r="H59">
        <v>16</v>
      </c>
      <c r="I59">
        <v>14</v>
      </c>
      <c r="J59">
        <v>1.4</v>
      </c>
      <c r="K59">
        <v>510514125.98369282</v>
      </c>
      <c r="L59">
        <v>54514900</v>
      </c>
      <c r="M59">
        <v>79701505.902827978</v>
      </c>
      <c r="N59">
        <v>75302400</v>
      </c>
      <c r="O59">
        <v>15895140.24</v>
      </c>
      <c r="P59">
        <v>211.63895600000001</v>
      </c>
      <c r="Q59">
        <v>1.203946710074139</v>
      </c>
      <c r="R59">
        <v>43.899480799999999</v>
      </c>
      <c r="S59">
        <v>782.92012499999998</v>
      </c>
      <c r="T59">
        <v>1.8402058199999999E-10</v>
      </c>
      <c r="U59">
        <v>24.515610979514715</v>
      </c>
      <c r="V59">
        <v>100.934</v>
      </c>
      <c r="W59">
        <v>-235.4028503441082</v>
      </c>
      <c r="X59">
        <v>62.8690809</v>
      </c>
      <c r="Y59">
        <v>92.180567300000007</v>
      </c>
      <c r="Z59">
        <v>180.98100000000002</v>
      </c>
      <c r="AA59">
        <v>245.89281800000001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1.203946710074139</v>
      </c>
    </row>
    <row r="60" spans="1:41" x14ac:dyDescent="0.3">
      <c r="A60">
        <v>930.7348337863632</v>
      </c>
      <c r="B60">
        <v>38</v>
      </c>
      <c r="C60">
        <v>19</v>
      </c>
      <c r="D60">
        <v>1.7238534735762077</v>
      </c>
      <c r="E60">
        <v>22</v>
      </c>
      <c r="F60">
        <v>10</v>
      </c>
      <c r="G60">
        <v>0.79757806105619655</v>
      </c>
      <c r="H60">
        <v>13</v>
      </c>
      <c r="I60">
        <v>11</v>
      </c>
      <c r="J60">
        <v>1.0431512267088365</v>
      </c>
      <c r="K60">
        <v>507937273.88547587</v>
      </c>
      <c r="L60">
        <v>54441400</v>
      </c>
      <c r="M60">
        <v>79692821.156028047</v>
      </c>
      <c r="N60">
        <v>74933300</v>
      </c>
      <c r="O60">
        <v>15884890.560000001</v>
      </c>
      <c r="P60">
        <v>210.93313000000001</v>
      </c>
      <c r="Q60">
        <v>1.2058683936111614</v>
      </c>
      <c r="R60">
        <v>43.875791100000001</v>
      </c>
      <c r="S60">
        <v>783.31094599999994</v>
      </c>
      <c r="T60">
        <v>1.2135634599999999E-15</v>
      </c>
      <c r="U60">
        <v>24.335465370976873</v>
      </c>
      <c r="V60">
        <v>91.850000000000009</v>
      </c>
      <c r="W60">
        <v>-234.33988745382615</v>
      </c>
      <c r="X60">
        <v>62.888878900000002</v>
      </c>
      <c r="Y60">
        <v>93.0876023</v>
      </c>
      <c r="Z60">
        <v>177.97</v>
      </c>
      <c r="AA60">
        <v>247.404965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1.2058683936111614</v>
      </c>
    </row>
    <row r="61" spans="1:41" x14ac:dyDescent="0.3">
      <c r="A61">
        <v>943.68280236901046</v>
      </c>
      <c r="B61">
        <v>31</v>
      </c>
      <c r="C61">
        <v>19</v>
      </c>
      <c r="D61">
        <v>15</v>
      </c>
      <c r="E61">
        <v>29</v>
      </c>
      <c r="F61">
        <v>5</v>
      </c>
      <c r="G61">
        <v>1.2</v>
      </c>
      <c r="H61">
        <v>24</v>
      </c>
      <c r="I61">
        <v>7</v>
      </c>
      <c r="J61">
        <v>1.4</v>
      </c>
      <c r="K61">
        <v>510844105.0991416</v>
      </c>
      <c r="L61">
        <v>54521900</v>
      </c>
      <c r="M61">
        <v>79707998.128721043</v>
      </c>
      <c r="N61">
        <v>75474800</v>
      </c>
      <c r="O61">
        <v>15897144.16</v>
      </c>
      <c r="P61">
        <v>211.95045300000001</v>
      </c>
      <c r="Q61">
        <v>1.1997893718921038</v>
      </c>
      <c r="R61">
        <v>43.900980500000003</v>
      </c>
      <c r="S61">
        <v>782.93847000000005</v>
      </c>
      <c r="T61">
        <v>1.82009697E-10</v>
      </c>
      <c r="U61">
        <v>24.544513131269273</v>
      </c>
      <c r="V61">
        <v>100.934</v>
      </c>
      <c r="W61">
        <v>-235.8107786614141</v>
      </c>
      <c r="X61">
        <v>62.859024400000003</v>
      </c>
      <c r="Y61">
        <v>92.347397000000001</v>
      </c>
      <c r="Z61">
        <v>180.98100000000002</v>
      </c>
      <c r="AA61">
        <v>246.08296300000001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1.1997893718921038</v>
      </c>
    </row>
    <row r="62" spans="1:41" x14ac:dyDescent="0.3">
      <c r="A62">
        <v>935.14827663684855</v>
      </c>
      <c r="B62">
        <v>39</v>
      </c>
      <c r="C62">
        <v>10</v>
      </c>
      <c r="D62">
        <v>14.903747112482568</v>
      </c>
      <c r="E62">
        <v>20</v>
      </c>
      <c r="F62">
        <v>8</v>
      </c>
      <c r="G62">
        <v>1.0796805092875923</v>
      </c>
      <c r="H62">
        <v>10</v>
      </c>
      <c r="I62">
        <v>8</v>
      </c>
      <c r="J62">
        <v>1.1174732402026357</v>
      </c>
      <c r="K62">
        <v>510297508.38847709</v>
      </c>
      <c r="L62">
        <v>54504900</v>
      </c>
      <c r="M62">
        <v>79703219.201664284</v>
      </c>
      <c r="N62">
        <v>75154300</v>
      </c>
      <c r="O62">
        <v>15895035.439999999</v>
      </c>
      <c r="P62">
        <v>210.90641099999999</v>
      </c>
      <c r="Q62">
        <v>1.2103216401169001</v>
      </c>
      <c r="R62">
        <v>43.894759899999997</v>
      </c>
      <c r="S62">
        <v>783.36298800000009</v>
      </c>
      <c r="T62">
        <v>8.6314337699999999E-14</v>
      </c>
      <c r="U62">
        <v>24.542815609850809</v>
      </c>
      <c r="V62">
        <v>100.934</v>
      </c>
      <c r="W62">
        <v>-235.55343935592225</v>
      </c>
      <c r="X62">
        <v>62.837243700000002</v>
      </c>
      <c r="Y62">
        <v>92.110867600000006</v>
      </c>
      <c r="Z62">
        <v>177.97</v>
      </c>
      <c r="AA62">
        <v>248.491738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1.2103216401169001</v>
      </c>
    </row>
    <row r="63" spans="1:41" x14ac:dyDescent="0.3">
      <c r="A63">
        <v>930.79061934410538</v>
      </c>
      <c r="B63">
        <v>29</v>
      </c>
      <c r="C63">
        <v>19</v>
      </c>
      <c r="D63">
        <v>11.548195715661482</v>
      </c>
      <c r="E63">
        <v>22</v>
      </c>
      <c r="F63">
        <v>5</v>
      </c>
      <c r="G63">
        <v>0.85454508121321671</v>
      </c>
      <c r="H63">
        <v>12</v>
      </c>
      <c r="I63">
        <v>10</v>
      </c>
      <c r="J63">
        <v>1.1720447289248899</v>
      </c>
      <c r="K63">
        <v>509441944.03399146</v>
      </c>
      <c r="L63">
        <v>54459900</v>
      </c>
      <c r="M63">
        <v>79691820.092868954</v>
      </c>
      <c r="N63">
        <v>74532600</v>
      </c>
      <c r="O63">
        <v>15889847.84</v>
      </c>
      <c r="P63">
        <v>211.46264099999999</v>
      </c>
      <c r="Q63">
        <v>1.2164301837745954</v>
      </c>
      <c r="R63">
        <v>43.856098000000003</v>
      </c>
      <c r="S63">
        <v>782.66033599999992</v>
      </c>
      <c r="T63">
        <v>3.55051719E-10</v>
      </c>
      <c r="U63">
        <v>24.00512998479563</v>
      </c>
      <c r="V63">
        <v>100.934</v>
      </c>
      <c r="W63">
        <v>-236.90353539707169</v>
      </c>
      <c r="X63">
        <v>62.886315199999999</v>
      </c>
      <c r="Y63">
        <v>92.459611600000002</v>
      </c>
      <c r="Z63">
        <v>180.98100000000002</v>
      </c>
      <c r="AA63">
        <v>244.367357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1.2164301837745954</v>
      </c>
    </row>
    <row r="64" spans="1:41" x14ac:dyDescent="0.3">
      <c r="A64">
        <v>935.70007120055334</v>
      </c>
      <c r="B64">
        <v>32</v>
      </c>
      <c r="C64">
        <v>10</v>
      </c>
      <c r="D64">
        <v>4.3292451872999678</v>
      </c>
      <c r="E64">
        <v>10</v>
      </c>
      <c r="F64">
        <v>6</v>
      </c>
      <c r="G64">
        <v>0.46241216311087385</v>
      </c>
      <c r="H64">
        <v>11</v>
      </c>
      <c r="I64">
        <v>9</v>
      </c>
      <c r="J64">
        <v>0.73370529487176017</v>
      </c>
      <c r="K64">
        <v>508120606.97542095</v>
      </c>
      <c r="L64">
        <v>54426500</v>
      </c>
      <c r="M64">
        <v>79694709.33554785</v>
      </c>
      <c r="N64">
        <v>71830700</v>
      </c>
      <c r="O64">
        <v>15887983.359999999</v>
      </c>
      <c r="P64">
        <v>214.139535</v>
      </c>
      <c r="Q64">
        <v>1.2520444238435751</v>
      </c>
      <c r="R64">
        <v>43.614622300000001</v>
      </c>
      <c r="S64">
        <v>782.16826300000002</v>
      </c>
      <c r="T64">
        <v>2.83079538E-10</v>
      </c>
      <c r="U64">
        <v>22.806359875857133</v>
      </c>
      <c r="V64">
        <v>100.934</v>
      </c>
      <c r="W64">
        <v>-239.85710999799571</v>
      </c>
      <c r="X64">
        <v>62.931252499999999</v>
      </c>
      <c r="Y64">
        <v>92.6654178</v>
      </c>
      <c r="Z64">
        <v>121.52199999999999</v>
      </c>
      <c r="AA64">
        <v>235.293497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1.2520444238435751</v>
      </c>
    </row>
    <row r="65" spans="1:41" x14ac:dyDescent="0.3">
      <c r="A65">
        <v>943.70962488176338</v>
      </c>
      <c r="B65">
        <v>35</v>
      </c>
      <c r="C65">
        <v>19</v>
      </c>
      <c r="D65">
        <v>12.090286715919918</v>
      </c>
      <c r="E65">
        <v>17</v>
      </c>
      <c r="F65">
        <v>5</v>
      </c>
      <c r="G65">
        <v>1.2</v>
      </c>
      <c r="H65">
        <v>22</v>
      </c>
      <c r="I65">
        <v>9</v>
      </c>
      <c r="J65">
        <v>1.4</v>
      </c>
      <c r="K65">
        <v>510181607.84011149</v>
      </c>
      <c r="L65">
        <v>54514200</v>
      </c>
      <c r="M65">
        <v>79706596.776711375</v>
      </c>
      <c r="N65">
        <v>74909500</v>
      </c>
      <c r="O65">
        <v>15895949.199999999</v>
      </c>
      <c r="P65">
        <v>212.34415100000001</v>
      </c>
      <c r="Q65">
        <v>1.2070386508500612</v>
      </c>
      <c r="R65">
        <v>43.861362100000001</v>
      </c>
      <c r="S65">
        <v>782.88023399999997</v>
      </c>
      <c r="T65">
        <v>2.1511401899999999E-10</v>
      </c>
      <c r="U65">
        <v>24.141254082443378</v>
      </c>
      <c r="V65">
        <v>100.934</v>
      </c>
      <c r="W65">
        <v>-237.05912844246618</v>
      </c>
      <c r="X65">
        <v>62.866683199999997</v>
      </c>
      <c r="Y65">
        <v>92.270834800000003</v>
      </c>
      <c r="Z65">
        <v>177.97</v>
      </c>
      <c r="AA65">
        <v>241.96202299999999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1.2070386508500612</v>
      </c>
    </row>
    <row r="66" spans="1:41" x14ac:dyDescent="0.3">
      <c r="A66">
        <v>937.20357360842661</v>
      </c>
      <c r="B66">
        <v>27</v>
      </c>
      <c r="C66">
        <v>10</v>
      </c>
      <c r="D66">
        <v>15</v>
      </c>
      <c r="E66">
        <v>29</v>
      </c>
      <c r="F66">
        <v>5</v>
      </c>
      <c r="G66">
        <v>0.3</v>
      </c>
      <c r="H66">
        <v>16</v>
      </c>
      <c r="I66">
        <v>14</v>
      </c>
      <c r="J66">
        <v>0.3</v>
      </c>
      <c r="K66">
        <v>510161855.07057214</v>
      </c>
      <c r="L66">
        <v>54509900</v>
      </c>
      <c r="M66">
        <v>79723635.975335926</v>
      </c>
      <c r="N66">
        <v>72627100</v>
      </c>
      <c r="O66">
        <v>15901647.440000001</v>
      </c>
      <c r="P66">
        <v>212.10672700000001</v>
      </c>
      <c r="Q66">
        <v>1.2557380964106448</v>
      </c>
      <c r="R66">
        <v>43.709568500000003</v>
      </c>
      <c r="S66">
        <v>782.26032099999998</v>
      </c>
      <c r="T66">
        <v>4.0491015399999998E-9</v>
      </c>
      <c r="U66">
        <v>22.675894794879685</v>
      </c>
      <c r="V66">
        <v>100.934</v>
      </c>
      <c r="W66">
        <v>-235.92112995046242</v>
      </c>
      <c r="X66">
        <v>62.755184300000003</v>
      </c>
      <c r="Y66">
        <v>92.393630099999996</v>
      </c>
      <c r="Z66">
        <v>177.97</v>
      </c>
      <c r="AA66">
        <v>242.62454299999999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1.2557380964106448</v>
      </c>
    </row>
    <row r="67" spans="1:41" x14ac:dyDescent="0.3">
      <c r="A67">
        <v>937.03753386282256</v>
      </c>
      <c r="B67">
        <v>33</v>
      </c>
      <c r="C67">
        <v>13</v>
      </c>
      <c r="D67">
        <v>10.286782541513309</v>
      </c>
      <c r="E67">
        <v>28</v>
      </c>
      <c r="F67">
        <v>11</v>
      </c>
      <c r="G67">
        <v>0.91826750639878063</v>
      </c>
      <c r="H67">
        <v>10</v>
      </c>
      <c r="I67">
        <v>8</v>
      </c>
      <c r="J67">
        <v>1.0891812029934662</v>
      </c>
      <c r="K67">
        <v>509427292.6024673</v>
      </c>
      <c r="L67">
        <v>54489900</v>
      </c>
      <c r="M67">
        <v>79709820.496355802</v>
      </c>
      <c r="N67">
        <v>75560700</v>
      </c>
      <c r="O67">
        <v>15893940.32</v>
      </c>
      <c r="P67">
        <v>210.47358299999999</v>
      </c>
      <c r="Q67">
        <v>1.2011656574375018</v>
      </c>
      <c r="R67">
        <v>43.923192399999998</v>
      </c>
      <c r="S67">
        <v>783.61945700000001</v>
      </c>
      <c r="T67">
        <v>3.43094867E-17</v>
      </c>
      <c r="U67">
        <v>24.910169608115325</v>
      </c>
      <c r="V67">
        <v>100.934</v>
      </c>
      <c r="W67">
        <v>-234.57675378856351</v>
      </c>
      <c r="X67">
        <v>62.804220100000002</v>
      </c>
      <c r="Y67">
        <v>92.300928499999998</v>
      </c>
      <c r="Z67">
        <v>180.98100000000002</v>
      </c>
      <c r="AA67">
        <v>255.02671100000001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1.2011656574375018</v>
      </c>
    </row>
    <row r="68" spans="1:41" x14ac:dyDescent="0.3">
      <c r="A68">
        <v>944.62951457606584</v>
      </c>
      <c r="B68">
        <v>35</v>
      </c>
      <c r="C68">
        <v>12</v>
      </c>
      <c r="D68">
        <v>15</v>
      </c>
      <c r="E68">
        <v>29</v>
      </c>
      <c r="F68">
        <v>5</v>
      </c>
      <c r="G68">
        <v>0.3</v>
      </c>
      <c r="H68">
        <v>22</v>
      </c>
      <c r="I68">
        <v>7</v>
      </c>
      <c r="J68">
        <v>0.3</v>
      </c>
      <c r="K68">
        <v>510967654.93857455</v>
      </c>
      <c r="L68">
        <v>54530200</v>
      </c>
      <c r="M68">
        <v>79714703.296393305</v>
      </c>
      <c r="N68">
        <v>72692700</v>
      </c>
      <c r="O68">
        <v>15900020</v>
      </c>
      <c r="P68">
        <v>213.325141</v>
      </c>
      <c r="Q68">
        <v>1.2501927718802028</v>
      </c>
      <c r="R68">
        <v>43.7140445</v>
      </c>
      <c r="S68">
        <v>782.06233099999997</v>
      </c>
      <c r="T68">
        <v>4.0159102700000002E-9</v>
      </c>
      <c r="U68">
        <v>22.612034233622026</v>
      </c>
      <c r="V68">
        <v>100.934</v>
      </c>
      <c r="W68">
        <v>-237.2675532290931</v>
      </c>
      <c r="X68">
        <v>62.807504199999997</v>
      </c>
      <c r="Y68">
        <v>92.193655699999994</v>
      </c>
      <c r="Z68">
        <v>177.97</v>
      </c>
      <c r="AA68">
        <v>235.868764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1.2501927718802028</v>
      </c>
    </row>
    <row r="69" spans="1:41" x14ac:dyDescent="0.3">
      <c r="A69">
        <v>934.52400969822088</v>
      </c>
      <c r="B69">
        <v>38</v>
      </c>
      <c r="C69">
        <v>18</v>
      </c>
      <c r="D69">
        <v>11.92569918008579</v>
      </c>
      <c r="E69">
        <v>22</v>
      </c>
      <c r="F69">
        <v>14</v>
      </c>
      <c r="G69">
        <v>0.47361951383223172</v>
      </c>
      <c r="H69">
        <v>13</v>
      </c>
      <c r="I69">
        <v>11</v>
      </c>
      <c r="J69">
        <v>0.60237449701098145</v>
      </c>
      <c r="K69">
        <v>509709795.41087127</v>
      </c>
      <c r="L69">
        <v>54464200</v>
      </c>
      <c r="M69">
        <v>79696514.363930866</v>
      </c>
      <c r="N69">
        <v>73481500</v>
      </c>
      <c r="O69">
        <v>15891354.639999999</v>
      </c>
      <c r="P69">
        <v>212.78376499999999</v>
      </c>
      <c r="Q69">
        <v>1.2316271713941103</v>
      </c>
      <c r="R69">
        <v>43.745548499999998</v>
      </c>
      <c r="S69">
        <v>782.27955499999996</v>
      </c>
      <c r="T69">
        <v>6.5605148999999998E-18</v>
      </c>
      <c r="U69">
        <v>23.197629622383811</v>
      </c>
      <c r="V69">
        <v>100.934</v>
      </c>
      <c r="W69">
        <v>-240.29023009959261</v>
      </c>
      <c r="X69">
        <v>62.897801399999999</v>
      </c>
      <c r="Y69">
        <v>92.202066000000002</v>
      </c>
      <c r="Z69">
        <v>165.7</v>
      </c>
      <c r="AA69">
        <v>240.80828700000001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1.2316271713941103</v>
      </c>
    </row>
    <row r="70" spans="1:41" x14ac:dyDescent="0.3">
      <c r="A70">
        <v>942.93884307519204</v>
      </c>
      <c r="B70">
        <v>30</v>
      </c>
      <c r="C70">
        <v>10</v>
      </c>
      <c r="D70">
        <v>1.0456215938839268</v>
      </c>
      <c r="E70">
        <v>28</v>
      </c>
      <c r="F70">
        <v>5</v>
      </c>
      <c r="G70">
        <v>0.7689022461947479</v>
      </c>
      <c r="H70">
        <v>11</v>
      </c>
      <c r="I70">
        <v>9</v>
      </c>
      <c r="J70">
        <v>0.87569805955487034</v>
      </c>
      <c r="K70">
        <v>507894757.24699581</v>
      </c>
      <c r="L70">
        <v>54453400</v>
      </c>
      <c r="M70">
        <v>79708401.265399903</v>
      </c>
      <c r="N70">
        <v>75377800</v>
      </c>
      <c r="O70">
        <v>15890609.68</v>
      </c>
      <c r="P70">
        <v>209.61341100000001</v>
      </c>
      <c r="Q70">
        <v>1.2042145990535316</v>
      </c>
      <c r="R70">
        <v>43.800031199999999</v>
      </c>
      <c r="S70">
        <v>783.079476</v>
      </c>
      <c r="T70">
        <v>3.7399406900000001E-10</v>
      </c>
      <c r="U70">
        <v>23.740752722229733</v>
      </c>
      <c r="V70">
        <v>80.72</v>
      </c>
      <c r="W70">
        <v>-145.08463010445047</v>
      </c>
      <c r="X70">
        <v>63.097959799999998</v>
      </c>
      <c r="Y70">
        <v>94.777971199999996</v>
      </c>
      <c r="Z70">
        <v>180.98100000000002</v>
      </c>
      <c r="AA70">
        <v>242.929103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1.2042145990535316</v>
      </c>
    </row>
    <row r="71" spans="1:41" x14ac:dyDescent="0.3">
      <c r="A71">
        <v>940.18639176964598</v>
      </c>
      <c r="B71">
        <v>32</v>
      </c>
      <c r="C71">
        <v>19</v>
      </c>
      <c r="D71">
        <v>15</v>
      </c>
      <c r="E71">
        <v>29</v>
      </c>
      <c r="F71">
        <v>5</v>
      </c>
      <c r="G71">
        <v>0.3</v>
      </c>
      <c r="H71">
        <v>16</v>
      </c>
      <c r="I71">
        <v>14</v>
      </c>
      <c r="J71">
        <v>0.3</v>
      </c>
      <c r="K71">
        <v>510372786.48613286</v>
      </c>
      <c r="L71">
        <v>54506000</v>
      </c>
      <c r="M71">
        <v>79708710.57990624</v>
      </c>
      <c r="N71">
        <v>72613400</v>
      </c>
      <c r="O71">
        <v>15897552.32</v>
      </c>
      <c r="P71">
        <v>213.03274200000001</v>
      </c>
      <c r="Q71">
        <v>1.2511548577305909</v>
      </c>
      <c r="R71">
        <v>43.714084399999997</v>
      </c>
      <c r="S71">
        <v>782.03577899999993</v>
      </c>
      <c r="T71">
        <v>4.0179272300000003E-9</v>
      </c>
      <c r="U71">
        <v>22.603963849169624</v>
      </c>
      <c r="V71">
        <v>100.934</v>
      </c>
      <c r="W71">
        <v>-237.56112088122455</v>
      </c>
      <c r="X71">
        <v>62.819927</v>
      </c>
      <c r="Y71">
        <v>92.294684399999994</v>
      </c>
      <c r="Z71">
        <v>177.97</v>
      </c>
      <c r="AA71">
        <v>234.36272099999999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1.2511548577305909</v>
      </c>
    </row>
    <row r="72" spans="1:41" x14ac:dyDescent="0.3">
      <c r="A72">
        <v>937.96815835166478</v>
      </c>
      <c r="B72">
        <v>39</v>
      </c>
      <c r="C72">
        <v>19</v>
      </c>
      <c r="D72">
        <v>15</v>
      </c>
      <c r="E72">
        <v>12</v>
      </c>
      <c r="F72">
        <v>5</v>
      </c>
      <c r="G72">
        <v>1.2</v>
      </c>
      <c r="H72">
        <v>10</v>
      </c>
      <c r="I72">
        <v>8</v>
      </c>
      <c r="J72">
        <v>0.3</v>
      </c>
      <c r="K72">
        <v>510410221.73237491</v>
      </c>
      <c r="L72">
        <v>54522600</v>
      </c>
      <c r="M72">
        <v>79737448.252306849</v>
      </c>
      <c r="N72">
        <v>73729100</v>
      </c>
      <c r="O72">
        <v>15904403.039999999</v>
      </c>
      <c r="P72">
        <v>210.028819</v>
      </c>
      <c r="Q72">
        <v>1.2460697660753957</v>
      </c>
      <c r="R72">
        <v>43.789505599999998</v>
      </c>
      <c r="S72">
        <v>783.48569799999996</v>
      </c>
      <c r="T72">
        <v>2.9474318499999998E-10</v>
      </c>
      <c r="U72">
        <v>23.973084166522696</v>
      </c>
      <c r="V72">
        <v>100.934</v>
      </c>
      <c r="W72">
        <v>-234.64679093279398</v>
      </c>
      <c r="X72">
        <v>62.638968800000001</v>
      </c>
      <c r="Y72">
        <v>91.987107800000004</v>
      </c>
      <c r="Z72">
        <v>165.7</v>
      </c>
      <c r="AA72">
        <v>252.25958700000001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1.2460697660753957</v>
      </c>
    </row>
    <row r="73" spans="1:41" x14ac:dyDescent="0.3">
      <c r="A73">
        <v>934.85044148988845</v>
      </c>
      <c r="B73">
        <v>38</v>
      </c>
      <c r="C73">
        <v>14</v>
      </c>
      <c r="D73">
        <v>1.1244502993782781</v>
      </c>
      <c r="E73">
        <v>26</v>
      </c>
      <c r="F73">
        <v>12</v>
      </c>
      <c r="G73">
        <v>1.0598503102128176</v>
      </c>
      <c r="H73">
        <v>11</v>
      </c>
      <c r="I73">
        <v>9</v>
      </c>
      <c r="J73">
        <v>1.3664994827942505</v>
      </c>
      <c r="K73">
        <v>507928716.64900649</v>
      </c>
      <c r="L73">
        <v>54451700</v>
      </c>
      <c r="M73">
        <v>79701818.469060346</v>
      </c>
      <c r="N73">
        <v>76046200</v>
      </c>
      <c r="O73">
        <v>15887324.479999999</v>
      </c>
      <c r="P73">
        <v>208.76562699999999</v>
      </c>
      <c r="Q73">
        <v>1.1950460291017175</v>
      </c>
      <c r="R73">
        <v>43.871601300000002</v>
      </c>
      <c r="S73">
        <v>784.33341199999995</v>
      </c>
      <c r="T73">
        <v>1.30522552E-18</v>
      </c>
      <c r="U73">
        <v>25.043898704636835</v>
      </c>
      <c r="V73">
        <v>91.850000000000009</v>
      </c>
      <c r="W73">
        <v>-153.57534466664481</v>
      </c>
      <c r="X73">
        <v>63.042678500000001</v>
      </c>
      <c r="Y73">
        <v>94.553343799999993</v>
      </c>
      <c r="Z73">
        <v>180.98100000000002</v>
      </c>
      <c r="AA73">
        <v>253.82132999999999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1.7559481854733862E-2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1.2126055109564513</v>
      </c>
    </row>
    <row r="74" spans="1:41" x14ac:dyDescent="0.3">
      <c r="A74">
        <v>939.11152974929746</v>
      </c>
      <c r="B74">
        <v>39</v>
      </c>
      <c r="C74">
        <v>13</v>
      </c>
      <c r="D74">
        <v>10.788277331114063</v>
      </c>
      <c r="E74">
        <v>11</v>
      </c>
      <c r="F74">
        <v>5</v>
      </c>
      <c r="G74">
        <v>1.0611734673823128</v>
      </c>
      <c r="H74">
        <v>10</v>
      </c>
      <c r="I74">
        <v>8</v>
      </c>
      <c r="J74">
        <v>1.3220918823822312</v>
      </c>
      <c r="K74">
        <v>509584315.79039043</v>
      </c>
      <c r="L74">
        <v>54492600</v>
      </c>
      <c r="M74">
        <v>79700804.986764908</v>
      </c>
      <c r="N74">
        <v>73664400</v>
      </c>
      <c r="O74">
        <v>15892413.039999999</v>
      </c>
      <c r="P74">
        <v>212.799194</v>
      </c>
      <c r="Q74">
        <v>1.2279326043830503</v>
      </c>
      <c r="R74">
        <v>43.768415599999997</v>
      </c>
      <c r="S74">
        <v>782.61593600000003</v>
      </c>
      <c r="T74">
        <v>3.8462310000000002E-10</v>
      </c>
      <c r="U74">
        <v>23.524930809685369</v>
      </c>
      <c r="V74">
        <v>100.934</v>
      </c>
      <c r="W74">
        <v>-239.68534022813952</v>
      </c>
      <c r="X74">
        <v>62.882941099999996</v>
      </c>
      <c r="Y74">
        <v>92.189506199999997</v>
      </c>
      <c r="Z74">
        <v>144.29</v>
      </c>
      <c r="AA74">
        <v>237.60151200000001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1.2279326043830503</v>
      </c>
    </row>
    <row r="75" spans="1:41" x14ac:dyDescent="0.3">
      <c r="A75">
        <v>931.03308014412687</v>
      </c>
      <c r="B75">
        <v>27</v>
      </c>
      <c r="C75">
        <v>17</v>
      </c>
      <c r="D75">
        <v>5.8496913380071058</v>
      </c>
      <c r="E75">
        <v>17</v>
      </c>
      <c r="F75">
        <v>6</v>
      </c>
      <c r="G75">
        <v>0.48565089319329091</v>
      </c>
      <c r="H75">
        <v>12</v>
      </c>
      <c r="I75">
        <v>10</v>
      </c>
      <c r="J75">
        <v>1.0978469555449881</v>
      </c>
      <c r="K75">
        <v>509359759.97910547</v>
      </c>
      <c r="L75">
        <v>54492600</v>
      </c>
      <c r="M75">
        <v>79700815.712242588</v>
      </c>
      <c r="N75">
        <v>73664400</v>
      </c>
      <c r="O75">
        <v>15888334.559999999</v>
      </c>
      <c r="P75">
        <v>212.50361000000001</v>
      </c>
      <c r="Q75">
        <v>1.22892325281443</v>
      </c>
      <c r="R75">
        <v>43.765879300000002</v>
      </c>
      <c r="S75">
        <v>782.23103900000001</v>
      </c>
      <c r="T75">
        <v>1.3512396400000001E-10</v>
      </c>
      <c r="U75">
        <v>23.278355212334052</v>
      </c>
      <c r="V75">
        <v>91.850000000000009</v>
      </c>
      <c r="W75">
        <v>-240.16028718282629</v>
      </c>
      <c r="X75">
        <v>62.900088699999998</v>
      </c>
      <c r="Y75">
        <v>92.651827999999995</v>
      </c>
      <c r="Z75">
        <v>177.97</v>
      </c>
      <c r="AA75">
        <v>237.58484100000001</v>
      </c>
      <c r="AB75">
        <v>100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101.22892325281443</v>
      </c>
    </row>
    <row r="76" spans="1:41" x14ac:dyDescent="0.3">
      <c r="A76">
        <v>932.40287022891869</v>
      </c>
      <c r="B76">
        <v>33</v>
      </c>
      <c r="C76">
        <v>19</v>
      </c>
      <c r="D76">
        <v>9.9232006349963839</v>
      </c>
      <c r="E76">
        <v>24</v>
      </c>
      <c r="F76">
        <v>9</v>
      </c>
      <c r="G76">
        <v>0.44743640290143183</v>
      </c>
      <c r="H76">
        <v>13</v>
      </c>
      <c r="I76">
        <v>11</v>
      </c>
      <c r="J76">
        <v>1.2007533948716347</v>
      </c>
      <c r="K76">
        <v>509328100.04435301</v>
      </c>
      <c r="L76">
        <v>54472400</v>
      </c>
      <c r="M76">
        <v>79691815.550971106</v>
      </c>
      <c r="N76">
        <v>73706900</v>
      </c>
      <c r="O76">
        <v>15888579.439999999</v>
      </c>
      <c r="P76">
        <v>212.35507899999999</v>
      </c>
      <c r="Q76">
        <v>1.2283782295183656</v>
      </c>
      <c r="R76">
        <v>43.789240300000003</v>
      </c>
      <c r="S76">
        <v>782.19603299999994</v>
      </c>
      <c r="T76">
        <v>2.19611919E-13</v>
      </c>
      <c r="U76">
        <v>23.280113466817276</v>
      </c>
      <c r="V76">
        <v>100.934</v>
      </c>
      <c r="W76">
        <v>-238.24653949355377</v>
      </c>
      <c r="X76">
        <v>62.898038800000002</v>
      </c>
      <c r="Y76">
        <v>92.376357100000007</v>
      </c>
      <c r="Z76">
        <v>177.97</v>
      </c>
      <c r="AA76">
        <v>239.015432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1.2283782295183656</v>
      </c>
    </row>
    <row r="77" spans="1:41" x14ac:dyDescent="0.3">
      <c r="A77">
        <v>927.24025973778066</v>
      </c>
      <c r="B77">
        <v>32</v>
      </c>
      <c r="C77">
        <v>19</v>
      </c>
      <c r="D77">
        <v>14.332637191532623</v>
      </c>
      <c r="E77">
        <v>24</v>
      </c>
      <c r="F77">
        <v>10</v>
      </c>
      <c r="G77">
        <v>0.37346965181533176</v>
      </c>
      <c r="H77">
        <v>12</v>
      </c>
      <c r="I77">
        <v>10</v>
      </c>
      <c r="J77">
        <v>0.90546651991739546</v>
      </c>
      <c r="K77">
        <v>509895120.4194479</v>
      </c>
      <c r="L77">
        <v>54470100</v>
      </c>
      <c r="M77">
        <v>79685423.943045691</v>
      </c>
      <c r="N77">
        <v>73054900</v>
      </c>
      <c r="O77">
        <v>15889574.959999999</v>
      </c>
      <c r="P77">
        <v>212.47045199999999</v>
      </c>
      <c r="Q77">
        <v>1.2430212072412687</v>
      </c>
      <c r="R77">
        <v>43.746558399999998</v>
      </c>
      <c r="S77">
        <v>781.81426600000009</v>
      </c>
      <c r="T77">
        <v>7.8501474500000003E-14</v>
      </c>
      <c r="U77">
        <v>22.939371044594111</v>
      </c>
      <c r="V77">
        <v>100.934</v>
      </c>
      <c r="W77">
        <v>-239.19316954381719</v>
      </c>
      <c r="X77">
        <v>62.9137317</v>
      </c>
      <c r="Y77">
        <v>92.350090699999996</v>
      </c>
      <c r="Z77">
        <v>177.97</v>
      </c>
      <c r="AA77">
        <v>237.51293000000001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1.2430212072412687</v>
      </c>
    </row>
    <row r="78" spans="1:41" x14ac:dyDescent="0.3">
      <c r="A78">
        <v>932.91871351343968</v>
      </c>
      <c r="B78">
        <v>33</v>
      </c>
      <c r="C78">
        <v>10</v>
      </c>
      <c r="D78">
        <v>9.6334278082097473</v>
      </c>
      <c r="E78">
        <v>25</v>
      </c>
      <c r="F78">
        <v>8</v>
      </c>
      <c r="G78">
        <v>0.98040689265422887</v>
      </c>
      <c r="H78">
        <v>10</v>
      </c>
      <c r="I78">
        <v>8</v>
      </c>
      <c r="J78">
        <v>1.2787394249836703</v>
      </c>
      <c r="K78">
        <v>509245210.47343105</v>
      </c>
      <c r="L78">
        <v>54480600</v>
      </c>
      <c r="M78">
        <v>79700923.344184086</v>
      </c>
      <c r="N78">
        <v>75301600</v>
      </c>
      <c r="O78">
        <v>15890673.84</v>
      </c>
      <c r="P78">
        <v>210.57888800000001</v>
      </c>
      <c r="Q78">
        <v>1.2052145255603839</v>
      </c>
      <c r="R78">
        <v>43.909989799999998</v>
      </c>
      <c r="S78">
        <v>783.34024700000009</v>
      </c>
      <c r="T78">
        <v>8.7750588E-14</v>
      </c>
      <c r="U78">
        <v>24.712959379732428</v>
      </c>
      <c r="V78">
        <v>100.934</v>
      </c>
      <c r="W78">
        <v>-234.59539387276399</v>
      </c>
      <c r="X78">
        <v>62.837119000000001</v>
      </c>
      <c r="Y78">
        <v>92.342702900000006</v>
      </c>
      <c r="Z78">
        <v>180.98100000000002</v>
      </c>
      <c r="AA78">
        <v>253.007668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1.2052145255603839</v>
      </c>
    </row>
    <row r="79" spans="1:41" x14ac:dyDescent="0.3">
      <c r="A79">
        <v>934.30904866640878</v>
      </c>
      <c r="B79">
        <v>30</v>
      </c>
      <c r="C79">
        <v>12</v>
      </c>
      <c r="D79">
        <v>1.1189146873672737</v>
      </c>
      <c r="E79">
        <v>29</v>
      </c>
      <c r="F79">
        <v>8</v>
      </c>
      <c r="G79">
        <v>1.1463462235278561</v>
      </c>
      <c r="H79">
        <v>10</v>
      </c>
      <c r="I79">
        <v>8</v>
      </c>
      <c r="J79">
        <v>1.1008415967362801</v>
      </c>
      <c r="K79">
        <v>507603413.79851532</v>
      </c>
      <c r="L79">
        <v>54436800</v>
      </c>
      <c r="M79">
        <v>79704723.301657721</v>
      </c>
      <c r="N79">
        <v>76037900</v>
      </c>
      <c r="O79">
        <v>15887387.039999999</v>
      </c>
      <c r="P79">
        <v>208.10268500000001</v>
      </c>
      <c r="Q79">
        <v>1.1976518486751861</v>
      </c>
      <c r="R79">
        <v>43.878439700000001</v>
      </c>
      <c r="S79">
        <v>783.91447299999993</v>
      </c>
      <c r="T79">
        <v>4.4222163499999998E-14</v>
      </c>
      <c r="U79">
        <v>24.966094702724863</v>
      </c>
      <c r="V79">
        <v>80.72</v>
      </c>
      <c r="W79">
        <v>-155.84609101794754</v>
      </c>
      <c r="X79">
        <v>63.019313400000001</v>
      </c>
      <c r="Y79">
        <v>94.611725699999994</v>
      </c>
      <c r="Z79">
        <v>180.98100000000002</v>
      </c>
      <c r="AA79">
        <v>253.50471400000001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1.1976518486751861</v>
      </c>
    </row>
    <row r="80" spans="1:41" x14ac:dyDescent="0.3">
      <c r="A80">
        <v>932.64144633137937</v>
      </c>
      <c r="B80">
        <v>35</v>
      </c>
      <c r="C80">
        <v>17</v>
      </c>
      <c r="D80">
        <v>14.699079170717857</v>
      </c>
      <c r="E80">
        <v>14</v>
      </c>
      <c r="F80">
        <v>12</v>
      </c>
      <c r="G80">
        <v>0.31255848383919466</v>
      </c>
      <c r="H80">
        <v>11</v>
      </c>
      <c r="I80">
        <v>7</v>
      </c>
      <c r="J80">
        <v>0.48728922314108636</v>
      </c>
      <c r="K80">
        <v>510277773.39210743</v>
      </c>
      <c r="L80">
        <v>54475200</v>
      </c>
      <c r="M80">
        <v>79689713.703847736</v>
      </c>
      <c r="N80">
        <v>69101200</v>
      </c>
      <c r="O80">
        <v>15892049.6</v>
      </c>
      <c r="P80">
        <v>215.83793399999999</v>
      </c>
      <c r="Q80">
        <v>1.3057970396443765</v>
      </c>
      <c r="R80">
        <v>43.4162842</v>
      </c>
      <c r="S80">
        <v>782.967668</v>
      </c>
      <c r="T80">
        <v>5.3462016400000003E-14</v>
      </c>
      <c r="U80">
        <v>22.392415828692219</v>
      </c>
      <c r="V80">
        <v>100.934</v>
      </c>
      <c r="W80">
        <v>-239.24316114586344</v>
      </c>
      <c r="X80">
        <v>62.943681099999999</v>
      </c>
      <c r="Y80">
        <v>92.272087200000001</v>
      </c>
      <c r="Z80">
        <v>100.934</v>
      </c>
      <c r="AA80">
        <v>228.934753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1.3057970396443765</v>
      </c>
    </row>
    <row r="81" spans="1:41" x14ac:dyDescent="0.3">
      <c r="A81">
        <v>933.21255580464037</v>
      </c>
      <c r="B81">
        <v>33</v>
      </c>
      <c r="C81">
        <v>15</v>
      </c>
      <c r="D81">
        <v>15</v>
      </c>
      <c r="E81">
        <v>20</v>
      </c>
      <c r="F81">
        <v>5</v>
      </c>
      <c r="G81">
        <v>1.2</v>
      </c>
      <c r="H81">
        <v>12</v>
      </c>
      <c r="I81">
        <v>10</v>
      </c>
      <c r="J81">
        <v>1.4</v>
      </c>
      <c r="K81">
        <v>510197910.3973186</v>
      </c>
      <c r="L81">
        <v>54479000</v>
      </c>
      <c r="M81">
        <v>79695316.535651594</v>
      </c>
      <c r="N81">
        <v>74925700</v>
      </c>
      <c r="O81">
        <v>15892756.08</v>
      </c>
      <c r="P81">
        <v>211.36471399999999</v>
      </c>
      <c r="Q81">
        <v>1.2116107871553801</v>
      </c>
      <c r="R81">
        <v>43.879710099999997</v>
      </c>
      <c r="S81">
        <v>782.89800700000001</v>
      </c>
      <c r="T81">
        <v>1.99432578E-10</v>
      </c>
      <c r="U81">
        <v>24.308209182525029</v>
      </c>
      <c r="V81">
        <v>100.934</v>
      </c>
      <c r="W81">
        <v>-236.22876889759738</v>
      </c>
      <c r="X81">
        <v>62.877277300000003</v>
      </c>
      <c r="Y81">
        <v>92.284353499999995</v>
      </c>
      <c r="Z81">
        <v>180.98100000000002</v>
      </c>
      <c r="AA81">
        <v>246.23808700000001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1.2116107871553801</v>
      </c>
    </row>
    <row r="82" spans="1:41" x14ac:dyDescent="0.3">
      <c r="A82">
        <v>931.37964916725946</v>
      </c>
      <c r="B82">
        <v>32</v>
      </c>
      <c r="C82">
        <v>18</v>
      </c>
      <c r="D82">
        <v>8.7629328307486087</v>
      </c>
      <c r="E82">
        <v>29</v>
      </c>
      <c r="F82">
        <v>5</v>
      </c>
      <c r="G82">
        <v>0.7799359939566346</v>
      </c>
      <c r="H82">
        <v>11</v>
      </c>
      <c r="I82">
        <v>9</v>
      </c>
      <c r="J82">
        <v>0.68443682131066197</v>
      </c>
      <c r="K82">
        <v>509075837.38857925</v>
      </c>
      <c r="L82">
        <v>54480500</v>
      </c>
      <c r="M82">
        <v>79700327.602367401</v>
      </c>
      <c r="N82">
        <v>74507300</v>
      </c>
      <c r="O82">
        <v>15890796</v>
      </c>
      <c r="P82">
        <v>0</v>
      </c>
      <c r="Q82">
        <v>100</v>
      </c>
      <c r="R82">
        <v>43.854726999999997</v>
      </c>
      <c r="S82">
        <v>782.74456899999996</v>
      </c>
      <c r="T82">
        <v>4.11549919E-10</v>
      </c>
      <c r="U82">
        <v>24.016208108757734</v>
      </c>
      <c r="V82">
        <v>100.934</v>
      </c>
      <c r="W82">
        <v>-235.41781916008364</v>
      </c>
      <c r="X82">
        <v>62.837381899999997</v>
      </c>
      <c r="Y82">
        <v>92.389293699999996</v>
      </c>
      <c r="Z82">
        <v>180.98100000000002</v>
      </c>
      <c r="AA82">
        <v>247.04504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100</v>
      </c>
    </row>
    <row r="83" spans="1:41" x14ac:dyDescent="0.3">
      <c r="A83">
        <v>935.11197451599025</v>
      </c>
      <c r="B83">
        <v>31</v>
      </c>
      <c r="C83">
        <v>19</v>
      </c>
      <c r="D83">
        <v>15</v>
      </c>
      <c r="E83">
        <v>23</v>
      </c>
      <c r="F83">
        <v>6</v>
      </c>
      <c r="G83">
        <v>0.33730370211780963</v>
      </c>
      <c r="H83">
        <v>15</v>
      </c>
      <c r="I83">
        <v>13</v>
      </c>
      <c r="J83">
        <v>1.4</v>
      </c>
      <c r="K83">
        <v>510296131.14379585</v>
      </c>
      <c r="L83">
        <v>54478900</v>
      </c>
      <c r="M83">
        <v>79694210.294753626</v>
      </c>
      <c r="N83">
        <v>72702500</v>
      </c>
      <c r="O83">
        <v>15892854.880000001</v>
      </c>
      <c r="P83">
        <v>213.03247200000001</v>
      </c>
      <c r="Q83">
        <v>1.24850433955885</v>
      </c>
      <c r="R83">
        <v>43.730313099999996</v>
      </c>
      <c r="S83">
        <v>781.91299700000002</v>
      </c>
      <c r="T83">
        <v>3.9806746000000001E-10</v>
      </c>
      <c r="U83">
        <v>22.804171466960415</v>
      </c>
      <c r="V83">
        <v>100.934</v>
      </c>
      <c r="W83">
        <v>-239.00721098738615</v>
      </c>
      <c r="X83">
        <v>62.884850700000001</v>
      </c>
      <c r="Y83">
        <v>92.359526500000001</v>
      </c>
      <c r="Z83">
        <v>177.97</v>
      </c>
      <c r="AA83">
        <v>234.785664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1.24850433955885</v>
      </c>
    </row>
    <row r="84" spans="1:41" x14ac:dyDescent="0.3">
      <c r="A84">
        <v>938.64908307854068</v>
      </c>
      <c r="B84">
        <v>33</v>
      </c>
      <c r="C84">
        <v>18</v>
      </c>
      <c r="D84">
        <v>1</v>
      </c>
      <c r="E84">
        <v>20</v>
      </c>
      <c r="F84">
        <v>6</v>
      </c>
      <c r="G84">
        <v>1.2</v>
      </c>
      <c r="H84">
        <v>10</v>
      </c>
      <c r="I84">
        <v>8</v>
      </c>
      <c r="J84">
        <v>1.4</v>
      </c>
      <c r="K84">
        <v>507690328.99253273</v>
      </c>
      <c r="L84">
        <v>54446700</v>
      </c>
      <c r="M84">
        <v>79702708.237463728</v>
      </c>
      <c r="N84">
        <v>75811300</v>
      </c>
      <c r="O84">
        <v>15888186.16</v>
      </c>
      <c r="P84">
        <v>207.74858699999999</v>
      </c>
      <c r="Q84">
        <v>1.205002466669076</v>
      </c>
      <c r="R84">
        <v>43.838479499999998</v>
      </c>
      <c r="S84">
        <v>783.27779799999996</v>
      </c>
      <c r="T84">
        <v>1.16453096E-11</v>
      </c>
      <c r="U84">
        <v>24.342906395667136</v>
      </c>
      <c r="V84">
        <v>80.72</v>
      </c>
      <c r="W84">
        <v>-149.73406289445126</v>
      </c>
      <c r="X84">
        <v>63.112939699999998</v>
      </c>
      <c r="Y84">
        <v>94.973941300000007</v>
      </c>
      <c r="Z84">
        <v>177.97</v>
      </c>
      <c r="AA84">
        <v>242.54808199999999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1.205002466669076</v>
      </c>
    </row>
    <row r="85" spans="1:41" x14ac:dyDescent="0.3">
      <c r="A85">
        <v>933.24266105283334</v>
      </c>
      <c r="B85">
        <v>39</v>
      </c>
      <c r="C85">
        <v>12</v>
      </c>
      <c r="D85">
        <v>15</v>
      </c>
      <c r="E85">
        <v>29</v>
      </c>
      <c r="F85">
        <v>5</v>
      </c>
      <c r="G85">
        <v>0.3</v>
      </c>
      <c r="H85">
        <v>15</v>
      </c>
      <c r="I85">
        <v>13</v>
      </c>
      <c r="J85">
        <v>1.4</v>
      </c>
      <c r="K85">
        <v>510626696.07114762</v>
      </c>
      <c r="L85">
        <v>54511700</v>
      </c>
      <c r="M85">
        <v>79691713.303853393</v>
      </c>
      <c r="N85">
        <v>72351700</v>
      </c>
      <c r="O85">
        <v>15891980.32</v>
      </c>
      <c r="P85">
        <v>213.090058</v>
      </c>
      <c r="Q85">
        <v>1.2571666412942213</v>
      </c>
      <c r="R85">
        <v>43.718163799999999</v>
      </c>
      <c r="S85">
        <v>781.83862499999998</v>
      </c>
      <c r="T85">
        <v>4.0068698399999999E-9</v>
      </c>
      <c r="U85">
        <v>22.544274727674296</v>
      </c>
      <c r="V85">
        <v>100.934</v>
      </c>
      <c r="W85">
        <v>-238.28041187873734</v>
      </c>
      <c r="X85">
        <v>62.887428100000001</v>
      </c>
      <c r="Y85">
        <v>92.128546700000001</v>
      </c>
      <c r="Z85">
        <v>177.97</v>
      </c>
      <c r="AA85">
        <v>233.59675999999999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1.2571666412942213</v>
      </c>
    </row>
    <row r="86" spans="1:41" x14ac:dyDescent="0.3">
      <c r="A86">
        <v>940.78998006854863</v>
      </c>
      <c r="B86">
        <v>29</v>
      </c>
      <c r="C86">
        <v>10</v>
      </c>
      <c r="D86">
        <v>14.958819331715585</v>
      </c>
      <c r="E86">
        <v>29</v>
      </c>
      <c r="F86">
        <v>11</v>
      </c>
      <c r="G86">
        <v>1.2</v>
      </c>
      <c r="H86">
        <v>11</v>
      </c>
      <c r="I86">
        <v>9</v>
      </c>
      <c r="J86">
        <v>1.1992859429568958</v>
      </c>
      <c r="K86">
        <v>510237820.49149728</v>
      </c>
      <c r="L86">
        <v>54510700</v>
      </c>
      <c r="M86">
        <v>79714714.239227951</v>
      </c>
      <c r="N86">
        <v>76004400</v>
      </c>
      <c r="O86">
        <v>15898958.32</v>
      </c>
      <c r="P86">
        <v>210.54521800000001</v>
      </c>
      <c r="Q86">
        <v>1.1945037197021866</v>
      </c>
      <c r="R86">
        <v>43.945203800000002</v>
      </c>
      <c r="S86">
        <v>783.65679299999999</v>
      </c>
      <c r="T86">
        <v>1.23692693E-17</v>
      </c>
      <c r="U86">
        <v>25.221848635209358</v>
      </c>
      <c r="V86">
        <v>100.934</v>
      </c>
      <c r="W86">
        <v>-233.91661414031699</v>
      </c>
      <c r="X86">
        <v>62.797370200000003</v>
      </c>
      <c r="Y86">
        <v>92.358445399999994</v>
      </c>
      <c r="Z86">
        <v>180.98100000000002</v>
      </c>
      <c r="AA86">
        <v>257.60358300000001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8.8739454083743396E-2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1.28324317378593</v>
      </c>
    </row>
    <row r="87" spans="1:41" x14ac:dyDescent="0.3">
      <c r="A87">
        <v>937.7994197518251</v>
      </c>
      <c r="B87">
        <v>39</v>
      </c>
      <c r="C87">
        <v>19</v>
      </c>
      <c r="D87">
        <v>14.051490482136833</v>
      </c>
      <c r="E87">
        <v>10</v>
      </c>
      <c r="F87">
        <v>5</v>
      </c>
      <c r="G87">
        <v>1.2</v>
      </c>
      <c r="H87">
        <v>16</v>
      </c>
      <c r="I87">
        <v>14</v>
      </c>
      <c r="J87">
        <v>1.4</v>
      </c>
      <c r="K87">
        <v>510339157.68498456</v>
      </c>
      <c r="L87">
        <v>54481900</v>
      </c>
      <c r="M87">
        <v>79697905.954804644</v>
      </c>
      <c r="N87">
        <v>73257200</v>
      </c>
      <c r="O87">
        <v>15893685.119999999</v>
      </c>
      <c r="P87">
        <v>212.77072100000001</v>
      </c>
      <c r="Q87">
        <v>1.2387314457422838</v>
      </c>
      <c r="R87">
        <v>43.751431599999997</v>
      </c>
      <c r="S87">
        <v>782.62445100000002</v>
      </c>
      <c r="T87">
        <v>3.6331607800000002E-10</v>
      </c>
      <c r="U87">
        <v>23.462306028339707</v>
      </c>
      <c r="V87">
        <v>100.934</v>
      </c>
      <c r="W87">
        <v>-240.04913684867603</v>
      </c>
      <c r="X87">
        <v>62.8796052</v>
      </c>
      <c r="Y87">
        <v>92.137266499999996</v>
      </c>
      <c r="Z87">
        <v>144.29</v>
      </c>
      <c r="AA87">
        <v>236.59912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1.2387314457422838</v>
      </c>
    </row>
    <row r="88" spans="1:41" x14ac:dyDescent="0.3">
      <c r="A88">
        <v>917.69791011134271</v>
      </c>
      <c r="B88">
        <v>39</v>
      </c>
      <c r="C88">
        <v>19</v>
      </c>
      <c r="D88">
        <v>15</v>
      </c>
      <c r="E88">
        <v>10</v>
      </c>
      <c r="F88">
        <v>5</v>
      </c>
      <c r="G88">
        <v>0.66021511197923965</v>
      </c>
      <c r="H88">
        <v>10</v>
      </c>
      <c r="I88">
        <v>8</v>
      </c>
      <c r="J88">
        <v>0.96922320856086386</v>
      </c>
      <c r="K88">
        <v>510248920.13159049</v>
      </c>
      <c r="L88">
        <v>54460000</v>
      </c>
      <c r="M88">
        <v>79676834.269761667</v>
      </c>
      <c r="N88">
        <v>72230800</v>
      </c>
      <c r="O88">
        <v>15898217.52</v>
      </c>
      <c r="P88">
        <v>212.25394</v>
      </c>
      <c r="Q88">
        <v>1.2623498520058989</v>
      </c>
      <c r="R88">
        <v>43.693521500000003</v>
      </c>
      <c r="S88">
        <v>782.26227900000004</v>
      </c>
      <c r="T88">
        <v>9.7328405300000006E-10</v>
      </c>
      <c r="U88">
        <v>23.113848246712578</v>
      </c>
      <c r="V88">
        <v>100.934</v>
      </c>
      <c r="W88">
        <v>-241.16092833638314</v>
      </c>
      <c r="X88">
        <v>62.927527400000002</v>
      </c>
      <c r="Y88">
        <v>92.148631499999993</v>
      </c>
      <c r="Z88">
        <v>144.29</v>
      </c>
      <c r="AA88">
        <v>234.63060100000001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1.2623498520058989</v>
      </c>
    </row>
    <row r="89" spans="1:41" x14ac:dyDescent="0.3">
      <c r="A89">
        <v>939.40318663503047</v>
      </c>
      <c r="B89">
        <v>38</v>
      </c>
      <c r="C89">
        <v>17</v>
      </c>
      <c r="D89">
        <v>15</v>
      </c>
      <c r="E89">
        <v>29</v>
      </c>
      <c r="F89">
        <v>5</v>
      </c>
      <c r="G89">
        <v>0.3</v>
      </c>
      <c r="H89">
        <v>21</v>
      </c>
      <c r="I89">
        <v>9</v>
      </c>
      <c r="J89">
        <v>1.4</v>
      </c>
      <c r="K89">
        <v>510806705.32567543</v>
      </c>
      <c r="L89">
        <v>54531600</v>
      </c>
      <c r="M89">
        <v>79699503.036304533</v>
      </c>
      <c r="N89">
        <v>72514000</v>
      </c>
      <c r="O89">
        <v>15894960.639999999</v>
      </c>
      <c r="P89">
        <v>213.54676799999999</v>
      </c>
      <c r="Q89">
        <v>1.2521065671752523</v>
      </c>
      <c r="R89">
        <v>43.717903499999998</v>
      </c>
      <c r="S89">
        <v>781.85318000000007</v>
      </c>
      <c r="T89">
        <v>3.9991706200000002E-9</v>
      </c>
      <c r="U89">
        <v>22.546705989433399</v>
      </c>
      <c r="V89">
        <v>100.934</v>
      </c>
      <c r="W89">
        <v>-238.43321110756028</v>
      </c>
      <c r="X89">
        <v>62.877375299999997</v>
      </c>
      <c r="Y89">
        <v>92.147948299999996</v>
      </c>
      <c r="Z89">
        <v>177.97</v>
      </c>
      <c r="AA89">
        <v>233.25485900000001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1.2521065671752523</v>
      </c>
    </row>
    <row r="90" spans="1:41" x14ac:dyDescent="0.3">
      <c r="A90">
        <v>910</v>
      </c>
      <c r="B90">
        <v>39</v>
      </c>
      <c r="C90">
        <v>10</v>
      </c>
      <c r="D90">
        <v>15</v>
      </c>
      <c r="E90">
        <v>10</v>
      </c>
      <c r="F90">
        <v>5</v>
      </c>
      <c r="G90">
        <v>1.2</v>
      </c>
      <c r="H90">
        <v>29</v>
      </c>
      <c r="I90">
        <v>14</v>
      </c>
      <c r="J90">
        <v>1.4</v>
      </c>
      <c r="K90">
        <v>510652284.58189666</v>
      </c>
      <c r="L90">
        <v>54467000</v>
      </c>
      <c r="M90">
        <v>79667645.723939896</v>
      </c>
      <c r="N90">
        <v>72547200</v>
      </c>
      <c r="O90">
        <v>15895990.799999999</v>
      </c>
      <c r="P90">
        <v>210.99193399999999</v>
      </c>
      <c r="Q90">
        <v>1.2647249291896032</v>
      </c>
      <c r="R90">
        <v>43.751862099999997</v>
      </c>
      <c r="S90">
        <v>782.57476800000006</v>
      </c>
      <c r="T90">
        <v>3.6617681699999999E-10</v>
      </c>
      <c r="U90">
        <v>23.452336283388618</v>
      </c>
      <c r="V90">
        <v>100.934</v>
      </c>
      <c r="W90">
        <v>-239.56656284706537</v>
      </c>
      <c r="X90">
        <v>62.918343</v>
      </c>
      <c r="Y90">
        <v>92.150171</v>
      </c>
      <c r="Z90">
        <v>144.29</v>
      </c>
      <c r="AA90">
        <v>236.49189000000001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1.2647249291896032</v>
      </c>
    </row>
    <row r="91" spans="1:41" x14ac:dyDescent="0.3">
      <c r="A91">
        <v>935.65990901764474</v>
      </c>
      <c r="B91">
        <v>34</v>
      </c>
      <c r="C91">
        <v>18</v>
      </c>
      <c r="D91">
        <v>1</v>
      </c>
      <c r="E91">
        <v>10</v>
      </c>
      <c r="F91">
        <v>7</v>
      </c>
      <c r="G91">
        <v>0.3</v>
      </c>
      <c r="H91">
        <v>10</v>
      </c>
      <c r="I91">
        <v>8</v>
      </c>
      <c r="J91">
        <v>0.91399101862918863</v>
      </c>
      <c r="K91">
        <v>507636030.75893521</v>
      </c>
      <c r="L91">
        <v>54410000</v>
      </c>
      <c r="M91">
        <v>79693608.762571871</v>
      </c>
      <c r="N91">
        <v>71071500</v>
      </c>
      <c r="O91">
        <v>15886309.92</v>
      </c>
      <c r="P91">
        <v>211.57530299999999</v>
      </c>
      <c r="Q91">
        <v>1.281159854654957</v>
      </c>
      <c r="R91">
        <v>43.446487900000001</v>
      </c>
      <c r="S91">
        <v>783.01748299999997</v>
      </c>
      <c r="T91">
        <v>1.75025369E-10</v>
      </c>
      <c r="U91">
        <v>22.609731497149543</v>
      </c>
      <c r="V91">
        <v>80.72</v>
      </c>
      <c r="W91">
        <v>-153.20937189088141</v>
      </c>
      <c r="X91">
        <v>64.3595641</v>
      </c>
      <c r="Y91">
        <v>95.014189099999996</v>
      </c>
      <c r="Z91">
        <v>100.934</v>
      </c>
      <c r="AA91">
        <v>230.05156700000001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1.281159854654957</v>
      </c>
    </row>
    <row r="92" spans="1:41" x14ac:dyDescent="0.3">
      <c r="A92">
        <v>932.95160150676054</v>
      </c>
      <c r="B92">
        <v>28</v>
      </c>
      <c r="C92">
        <v>10</v>
      </c>
      <c r="D92">
        <v>14.83251134380585</v>
      </c>
      <c r="E92">
        <v>27</v>
      </c>
      <c r="F92">
        <v>5</v>
      </c>
      <c r="G92">
        <v>0.6823817576838862</v>
      </c>
      <c r="H92">
        <v>11</v>
      </c>
      <c r="I92">
        <v>9</v>
      </c>
      <c r="J92">
        <v>1.1292841239945004</v>
      </c>
      <c r="K92">
        <v>510016077.10784853</v>
      </c>
      <c r="L92">
        <v>54478400</v>
      </c>
      <c r="M92">
        <v>79694716.788960814</v>
      </c>
      <c r="N92">
        <v>74315100</v>
      </c>
      <c r="O92">
        <v>15892569.439999999</v>
      </c>
      <c r="P92">
        <v>211.843526</v>
      </c>
      <c r="Q92">
        <v>1.2210006210636966</v>
      </c>
      <c r="R92">
        <v>43.8378072</v>
      </c>
      <c r="S92">
        <v>782.49247600000001</v>
      </c>
      <c r="T92">
        <v>5.4391681800000003E-10</v>
      </c>
      <c r="U92">
        <v>23.753811738126661</v>
      </c>
      <c r="V92">
        <v>100.934</v>
      </c>
      <c r="W92">
        <v>-236.12645393587121</v>
      </c>
      <c r="X92">
        <v>62.883393900000002</v>
      </c>
      <c r="Y92">
        <v>92.433522800000006</v>
      </c>
      <c r="Z92">
        <v>180.98100000000002</v>
      </c>
      <c r="AA92">
        <v>242.75921700000001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1.2210006210636966</v>
      </c>
    </row>
    <row r="93" spans="1:41" x14ac:dyDescent="0.3">
      <c r="A93">
        <v>937.20680679719533</v>
      </c>
      <c r="B93">
        <v>39</v>
      </c>
      <c r="C93">
        <v>19</v>
      </c>
      <c r="D93">
        <v>15</v>
      </c>
      <c r="E93">
        <v>29</v>
      </c>
      <c r="F93">
        <v>14</v>
      </c>
      <c r="G93">
        <v>0.3</v>
      </c>
      <c r="H93">
        <v>29</v>
      </c>
      <c r="I93">
        <v>14</v>
      </c>
      <c r="J93">
        <v>0.3</v>
      </c>
      <c r="K93">
        <v>510926046.34421003</v>
      </c>
      <c r="L93">
        <v>54542900</v>
      </c>
      <c r="M93">
        <v>79704114.773786396</v>
      </c>
      <c r="N93">
        <v>72554700</v>
      </c>
      <c r="O93">
        <v>15895134.24</v>
      </c>
      <c r="P93">
        <v>212.90710300000001</v>
      </c>
      <c r="Q93">
        <v>1.2556393868174331</v>
      </c>
      <c r="R93">
        <v>43.702057600000003</v>
      </c>
      <c r="S93">
        <v>781.73795899999993</v>
      </c>
      <c r="T93">
        <v>1.5896985199999999E-16</v>
      </c>
      <c r="U93">
        <v>22.709999470450999</v>
      </c>
      <c r="V93">
        <v>100.934</v>
      </c>
      <c r="W93">
        <v>-238.61819793487578</v>
      </c>
      <c r="X93">
        <v>62.826625900000003</v>
      </c>
      <c r="Y93">
        <v>92.095136400000001</v>
      </c>
      <c r="Z93">
        <v>177.97</v>
      </c>
      <c r="AA93">
        <v>236.108529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1.2556393868174331</v>
      </c>
    </row>
    <row r="94" spans="1:41" x14ac:dyDescent="0.3">
      <c r="A94">
        <v>930.93350455494647</v>
      </c>
      <c r="B94">
        <v>28</v>
      </c>
      <c r="C94">
        <v>19</v>
      </c>
      <c r="D94">
        <v>15</v>
      </c>
      <c r="E94">
        <v>21</v>
      </c>
      <c r="F94">
        <v>6</v>
      </c>
      <c r="G94">
        <v>0.4621496507715343</v>
      </c>
      <c r="H94">
        <v>10</v>
      </c>
      <c r="I94">
        <v>8</v>
      </c>
      <c r="J94">
        <v>1.4</v>
      </c>
      <c r="K94">
        <v>509881354.52870685</v>
      </c>
      <c r="L94">
        <v>54457100</v>
      </c>
      <c r="M94">
        <v>79690518.475634471</v>
      </c>
      <c r="N94">
        <v>73455000</v>
      </c>
      <c r="O94">
        <v>15890710.800000001</v>
      </c>
      <c r="P94">
        <v>212.261436</v>
      </c>
      <c r="Q94">
        <v>1.2356100737930984</v>
      </c>
      <c r="R94">
        <v>43.780536599999998</v>
      </c>
      <c r="S94">
        <v>782.17608400000006</v>
      </c>
      <c r="T94">
        <v>1.44636741E-10</v>
      </c>
      <c r="U94">
        <v>23.246017908455965</v>
      </c>
      <c r="V94">
        <v>100.934</v>
      </c>
      <c r="W94">
        <v>-238.54252036263836</v>
      </c>
      <c r="X94">
        <v>62.895042500000002</v>
      </c>
      <c r="Y94">
        <v>92.458950200000004</v>
      </c>
      <c r="Z94">
        <v>177.97</v>
      </c>
      <c r="AA94">
        <v>237.58842799999999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1.2356100737930984</v>
      </c>
    </row>
    <row r="95" spans="1:41" x14ac:dyDescent="0.3">
      <c r="A95">
        <v>932.62454707027359</v>
      </c>
      <c r="B95">
        <v>34</v>
      </c>
      <c r="C95">
        <v>10</v>
      </c>
      <c r="D95">
        <v>15</v>
      </c>
      <c r="E95">
        <v>10</v>
      </c>
      <c r="F95">
        <v>8</v>
      </c>
      <c r="G95">
        <v>0.3</v>
      </c>
      <c r="H95">
        <v>10</v>
      </c>
      <c r="I95">
        <v>8</v>
      </c>
      <c r="J95">
        <v>1.3640533336853753</v>
      </c>
      <c r="K95">
        <v>510228004.368918</v>
      </c>
      <c r="L95">
        <v>54456600</v>
      </c>
      <c r="M95">
        <v>79689413.554902747</v>
      </c>
      <c r="N95">
        <v>68977000</v>
      </c>
      <c r="O95">
        <v>15892207.68</v>
      </c>
      <c r="P95">
        <v>0</v>
      </c>
      <c r="Q95">
        <v>100</v>
      </c>
      <c r="R95">
        <v>43.411891199999999</v>
      </c>
      <c r="S95">
        <v>783.22041300000001</v>
      </c>
      <c r="T95">
        <v>6.0879705999999999E-11</v>
      </c>
      <c r="U95">
        <v>22.441204855493922</v>
      </c>
      <c r="V95">
        <v>100.934</v>
      </c>
      <c r="W95">
        <v>-239.12533980931224</v>
      </c>
      <c r="X95">
        <v>62.950161799999997</v>
      </c>
      <c r="Y95">
        <v>92.3058087</v>
      </c>
      <c r="Z95">
        <v>100.934</v>
      </c>
      <c r="AA95">
        <v>228.23959199999999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100</v>
      </c>
    </row>
    <row r="96" spans="1:41" x14ac:dyDescent="0.3">
      <c r="A96">
        <v>935.5344854892852</v>
      </c>
      <c r="B96">
        <v>38</v>
      </c>
      <c r="C96">
        <v>10</v>
      </c>
      <c r="D96">
        <v>2.385154521478642</v>
      </c>
      <c r="E96">
        <v>19</v>
      </c>
      <c r="F96">
        <v>5</v>
      </c>
      <c r="G96">
        <v>1.1942407105461303</v>
      </c>
      <c r="H96">
        <v>10</v>
      </c>
      <c r="I96">
        <v>8</v>
      </c>
      <c r="J96">
        <v>0.32818389679148197</v>
      </c>
      <c r="K96">
        <v>508177387.4300344</v>
      </c>
      <c r="L96">
        <v>54491300</v>
      </c>
      <c r="M96">
        <v>79741359.600477323</v>
      </c>
      <c r="N96">
        <v>74447400</v>
      </c>
      <c r="O96">
        <v>15898961.92</v>
      </c>
      <c r="P96">
        <v>208.531194</v>
      </c>
      <c r="Q96">
        <v>1.2318818863990983</v>
      </c>
      <c r="R96">
        <v>43.853192399999998</v>
      </c>
      <c r="S96">
        <v>783.93644100000006</v>
      </c>
      <c r="T96">
        <v>2.09794182E-10</v>
      </c>
      <c r="U96">
        <v>24.596648355389057</v>
      </c>
      <c r="V96">
        <v>100.934</v>
      </c>
      <c r="W96">
        <v>-222.40115327028172</v>
      </c>
      <c r="X96">
        <v>62.601182999999999</v>
      </c>
      <c r="Y96">
        <v>93.188275300000001</v>
      </c>
      <c r="Z96">
        <v>180.98100000000002</v>
      </c>
      <c r="AA96">
        <v>257.58609899999999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1.2318818863990983</v>
      </c>
    </row>
    <row r="97" spans="1:41" x14ac:dyDescent="0.3">
      <c r="A97">
        <v>928.18319929891379</v>
      </c>
      <c r="B97">
        <v>38</v>
      </c>
      <c r="C97">
        <v>19</v>
      </c>
      <c r="D97">
        <v>15</v>
      </c>
      <c r="E97">
        <v>18</v>
      </c>
      <c r="F97">
        <v>12</v>
      </c>
      <c r="G97">
        <v>1.2</v>
      </c>
      <c r="H97">
        <v>11</v>
      </c>
      <c r="I97">
        <v>9</v>
      </c>
      <c r="J97">
        <v>0.3</v>
      </c>
      <c r="K97">
        <v>510213818.09325939</v>
      </c>
      <c r="L97">
        <v>54518800</v>
      </c>
      <c r="M97">
        <v>79734674.269196689</v>
      </c>
      <c r="N97">
        <v>74088800</v>
      </c>
      <c r="O97">
        <v>15902984.880000001</v>
      </c>
      <c r="P97">
        <v>207.780596</v>
      </c>
      <c r="Q97">
        <v>1.2511881472048403</v>
      </c>
      <c r="R97">
        <v>43.855233400000003</v>
      </c>
      <c r="S97">
        <v>784.69337900000005</v>
      </c>
      <c r="T97">
        <v>5.0686103900000001E-18</v>
      </c>
      <c r="U97">
        <v>24.705016203830624</v>
      </c>
      <c r="V97">
        <v>100.934</v>
      </c>
      <c r="W97">
        <v>-232.63210310990294</v>
      </c>
      <c r="X97">
        <v>62.575545400000003</v>
      </c>
      <c r="Y97">
        <v>91.976065700000007</v>
      </c>
      <c r="Z97">
        <v>165.7</v>
      </c>
      <c r="AA97">
        <v>257.67092000000002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1.2511881472048403</v>
      </c>
    </row>
    <row r="98" spans="1:41" x14ac:dyDescent="0.3">
      <c r="A98">
        <v>927.41207151634285</v>
      </c>
      <c r="B98">
        <v>39</v>
      </c>
      <c r="C98">
        <v>19</v>
      </c>
      <c r="D98">
        <v>15</v>
      </c>
      <c r="E98">
        <v>10</v>
      </c>
      <c r="F98">
        <v>5</v>
      </c>
      <c r="G98">
        <v>1.2</v>
      </c>
      <c r="H98">
        <v>29</v>
      </c>
      <c r="I98">
        <v>14</v>
      </c>
      <c r="J98">
        <v>0.3</v>
      </c>
      <c r="K98">
        <v>510640272.30943066</v>
      </c>
      <c r="L98">
        <v>54512500</v>
      </c>
      <c r="M98">
        <v>79693332.041749999</v>
      </c>
      <c r="N98">
        <v>72915700</v>
      </c>
      <c r="O98">
        <v>15891081.68</v>
      </c>
      <c r="P98">
        <v>211.399574</v>
      </c>
      <c r="Q98">
        <v>1.2555028714490262</v>
      </c>
      <c r="R98">
        <v>43.748959300000003</v>
      </c>
      <c r="S98">
        <v>782.79400399999997</v>
      </c>
      <c r="T98">
        <v>3.6647900399999998E-10</v>
      </c>
      <c r="U98">
        <v>23.524431971732323</v>
      </c>
      <c r="V98">
        <v>100.934</v>
      </c>
      <c r="W98">
        <v>-238.86425947313614</v>
      </c>
      <c r="X98">
        <v>62.834001100000002</v>
      </c>
      <c r="Y98">
        <v>92.096445799999998</v>
      </c>
      <c r="Z98">
        <v>144.29</v>
      </c>
      <c r="AA98">
        <v>234.805261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1.2555028714490262</v>
      </c>
    </row>
    <row r="99" spans="1:41" x14ac:dyDescent="0.3">
      <c r="A99">
        <v>938.25007946764072</v>
      </c>
      <c r="B99">
        <v>39</v>
      </c>
      <c r="C99">
        <v>19</v>
      </c>
      <c r="D99">
        <v>15</v>
      </c>
      <c r="E99">
        <v>16</v>
      </c>
      <c r="F99">
        <v>14</v>
      </c>
      <c r="G99">
        <v>1.2</v>
      </c>
      <c r="H99">
        <v>10</v>
      </c>
      <c r="I99">
        <v>7</v>
      </c>
      <c r="J99">
        <v>0.3</v>
      </c>
      <c r="K99">
        <v>510234109.58152902</v>
      </c>
      <c r="L99">
        <v>54527100</v>
      </c>
      <c r="M99">
        <v>79730739.88344714</v>
      </c>
      <c r="N99">
        <v>74315100</v>
      </c>
      <c r="O99">
        <v>15902944.48</v>
      </c>
      <c r="P99">
        <v>209.86262500000001</v>
      </c>
      <c r="Q99">
        <v>1.2342553499632485</v>
      </c>
      <c r="R99">
        <v>43.844928000000003</v>
      </c>
      <c r="S99">
        <v>783.52997800000003</v>
      </c>
      <c r="T99">
        <v>2.2829201199999999E-10</v>
      </c>
      <c r="U99">
        <v>24.308643896297973</v>
      </c>
      <c r="V99">
        <v>100.934</v>
      </c>
      <c r="W99">
        <v>-233.35620130788948</v>
      </c>
      <c r="X99">
        <v>62.659980500000003</v>
      </c>
      <c r="Y99">
        <v>91.9992819</v>
      </c>
      <c r="Z99">
        <v>177.97</v>
      </c>
      <c r="AA99">
        <v>247.11765700000001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1.2342553499632485</v>
      </c>
    </row>
    <row r="100" spans="1:41" x14ac:dyDescent="0.3">
      <c r="A100">
        <v>928.25475224006163</v>
      </c>
      <c r="B100">
        <v>39</v>
      </c>
      <c r="C100">
        <v>10</v>
      </c>
      <c r="D100">
        <v>1</v>
      </c>
      <c r="E100">
        <v>10</v>
      </c>
      <c r="F100">
        <v>5</v>
      </c>
      <c r="G100">
        <v>1.2</v>
      </c>
      <c r="H100">
        <v>10</v>
      </c>
      <c r="I100">
        <v>8</v>
      </c>
      <c r="J100">
        <v>0.47176642597251628</v>
      </c>
      <c r="K100">
        <v>507724454.92048293</v>
      </c>
      <c r="L100">
        <v>54429700</v>
      </c>
      <c r="M100">
        <v>79697434.021588489</v>
      </c>
      <c r="N100">
        <v>73896100</v>
      </c>
      <c r="O100">
        <v>15886045.040000001</v>
      </c>
      <c r="P100">
        <v>208.77603400000001</v>
      </c>
      <c r="Q100">
        <v>1.2393186263732536</v>
      </c>
      <c r="R100">
        <v>43.695214800000002</v>
      </c>
      <c r="S100">
        <v>783.38769400000001</v>
      </c>
      <c r="T100">
        <v>3.2475807299999999E-10</v>
      </c>
      <c r="U100">
        <v>23.401024433407457</v>
      </c>
      <c r="V100">
        <v>80.72</v>
      </c>
      <c r="W100">
        <v>-139.87202437441064</v>
      </c>
      <c r="X100">
        <v>63.108923900000001</v>
      </c>
      <c r="Y100">
        <v>94.937649500000006</v>
      </c>
      <c r="Z100">
        <v>144.29</v>
      </c>
      <c r="AA100">
        <v>241.26289499999999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1.2393186263732536</v>
      </c>
    </row>
    <row r="101" spans="1:41" x14ac:dyDescent="0.3">
      <c r="A101">
        <v>935.42808330458433</v>
      </c>
      <c r="B101">
        <v>31</v>
      </c>
      <c r="C101">
        <v>16</v>
      </c>
      <c r="D101">
        <v>1.77710510270329</v>
      </c>
      <c r="E101">
        <v>23</v>
      </c>
      <c r="F101">
        <v>11</v>
      </c>
      <c r="G101">
        <v>0.32204849499171306</v>
      </c>
      <c r="H101">
        <v>10</v>
      </c>
      <c r="I101">
        <v>8</v>
      </c>
      <c r="J101">
        <v>1.3709750538883241</v>
      </c>
      <c r="K101">
        <v>507887540.91889942</v>
      </c>
      <c r="L101">
        <v>54427000</v>
      </c>
      <c r="M101">
        <v>79694809.97303243</v>
      </c>
      <c r="N101">
        <v>72703500</v>
      </c>
      <c r="O101">
        <v>15886263.92</v>
      </c>
      <c r="P101">
        <v>213.159933</v>
      </c>
      <c r="Q101">
        <v>1.2389915853754883</v>
      </c>
      <c r="R101">
        <v>43.698862200000001</v>
      </c>
      <c r="S101">
        <v>781.68321800000001</v>
      </c>
      <c r="T101">
        <v>2.94241669E-14</v>
      </c>
      <c r="U101">
        <v>22.777585799357851</v>
      </c>
      <c r="V101">
        <v>91.850000000000009</v>
      </c>
      <c r="W101">
        <v>-236.51176520850956</v>
      </c>
      <c r="X101">
        <v>62.912264299999997</v>
      </c>
      <c r="Y101">
        <v>93.157776900000002</v>
      </c>
      <c r="Z101">
        <v>177.97</v>
      </c>
      <c r="AA101">
        <v>236.19314600000001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1.2389915853754883</v>
      </c>
    </row>
    <row r="102" spans="1:41" x14ac:dyDescent="0.3">
      <c r="A102">
        <v>938.04712634920361</v>
      </c>
      <c r="B102">
        <v>39</v>
      </c>
      <c r="C102">
        <v>19</v>
      </c>
      <c r="D102">
        <v>5.9828245200246375</v>
      </c>
      <c r="E102">
        <v>16</v>
      </c>
      <c r="F102">
        <v>5</v>
      </c>
      <c r="G102">
        <v>1.2</v>
      </c>
      <c r="H102">
        <v>16</v>
      </c>
      <c r="I102">
        <v>14</v>
      </c>
      <c r="J102">
        <v>0.3</v>
      </c>
      <c r="K102">
        <v>508881287.99807215</v>
      </c>
      <c r="L102">
        <v>54479800</v>
      </c>
      <c r="M102">
        <v>79714522.931041494</v>
      </c>
      <c r="N102">
        <v>74368400</v>
      </c>
      <c r="O102">
        <v>15893785.76</v>
      </c>
      <c r="P102">
        <v>210.856594</v>
      </c>
      <c r="Q102">
        <v>1.2219756102843384</v>
      </c>
      <c r="R102">
        <v>43.847839100000002</v>
      </c>
      <c r="S102">
        <v>783.21776499999999</v>
      </c>
      <c r="T102">
        <v>2.2613038299999999E-10</v>
      </c>
      <c r="U102">
        <v>24.195546934803684</v>
      </c>
      <c r="V102">
        <v>100.934</v>
      </c>
      <c r="W102">
        <v>-235.23075157690323</v>
      </c>
      <c r="X102">
        <v>62.763333000000003</v>
      </c>
      <c r="Y102">
        <v>92.300694399999998</v>
      </c>
      <c r="Z102">
        <v>177.97</v>
      </c>
      <c r="AA102">
        <v>241.265704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1.2219756102843384</v>
      </c>
    </row>
    <row r="103" spans="1:41" x14ac:dyDescent="0.3">
      <c r="A103">
        <v>939.39218216637687</v>
      </c>
      <c r="B103">
        <v>27</v>
      </c>
      <c r="C103">
        <v>10</v>
      </c>
      <c r="D103">
        <v>10.88132150764984</v>
      </c>
      <c r="E103">
        <v>26</v>
      </c>
      <c r="F103">
        <v>5</v>
      </c>
      <c r="G103">
        <v>1.2</v>
      </c>
      <c r="H103">
        <v>10</v>
      </c>
      <c r="I103">
        <v>7</v>
      </c>
      <c r="J103">
        <v>1.4</v>
      </c>
      <c r="K103">
        <v>509322051.48808312</v>
      </c>
      <c r="L103">
        <v>54479900</v>
      </c>
      <c r="M103">
        <v>79705809.150034294</v>
      </c>
      <c r="N103">
        <v>75262600</v>
      </c>
      <c r="O103">
        <v>15894239.120000001</v>
      </c>
      <c r="P103">
        <v>211.419883</v>
      </c>
      <c r="Q103">
        <v>1.2014667880388754</v>
      </c>
      <c r="R103">
        <v>43.895110600000002</v>
      </c>
      <c r="S103">
        <v>783.01728600000001</v>
      </c>
      <c r="T103">
        <v>1.8538475700000001E-10</v>
      </c>
      <c r="U103">
        <v>24.526285705218339</v>
      </c>
      <c r="V103">
        <v>100.934</v>
      </c>
      <c r="W103">
        <v>-234.89862891421015</v>
      </c>
      <c r="X103">
        <v>62.843987900000002</v>
      </c>
      <c r="Y103">
        <v>92.482320400000006</v>
      </c>
      <c r="Z103">
        <v>180.98100000000002</v>
      </c>
      <c r="AA103">
        <v>246.51736600000001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1.2014667880388754</v>
      </c>
    </row>
    <row r="104" spans="1:41" x14ac:dyDescent="0.3">
      <c r="A104">
        <v>934.05342634856265</v>
      </c>
      <c r="B104">
        <v>36</v>
      </c>
      <c r="C104">
        <v>19</v>
      </c>
      <c r="D104">
        <v>14.975790213149281</v>
      </c>
      <c r="E104">
        <v>14</v>
      </c>
      <c r="F104">
        <v>12</v>
      </c>
      <c r="G104">
        <v>1.2</v>
      </c>
      <c r="H104">
        <v>15</v>
      </c>
      <c r="I104">
        <v>11</v>
      </c>
      <c r="J104">
        <v>0.3</v>
      </c>
      <c r="K104">
        <v>510360791.01002306</v>
      </c>
      <c r="L104">
        <v>54488000</v>
      </c>
      <c r="M104">
        <v>79703623.663439989</v>
      </c>
      <c r="N104">
        <v>72614100</v>
      </c>
      <c r="O104">
        <v>15895326.08</v>
      </c>
      <c r="P104">
        <v>0</v>
      </c>
      <c r="Q104">
        <v>100</v>
      </c>
      <c r="R104">
        <v>43.695262700000001</v>
      </c>
      <c r="S104">
        <v>784.24385100000006</v>
      </c>
      <c r="T104">
        <v>9.5929549200000004E-17</v>
      </c>
      <c r="U104">
        <v>23.533325408573873</v>
      </c>
      <c r="V104">
        <v>100.934</v>
      </c>
      <c r="W104">
        <v>-238.77353410636175</v>
      </c>
      <c r="X104">
        <v>62.823375200000001</v>
      </c>
      <c r="Y104">
        <v>92.178054099999997</v>
      </c>
      <c r="Z104">
        <v>121.52199999999999</v>
      </c>
      <c r="AA104">
        <v>236.83311499999999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100</v>
      </c>
    </row>
    <row r="105" spans="1:41" x14ac:dyDescent="0.3">
      <c r="A105">
        <v>929.69023441567469</v>
      </c>
      <c r="B105">
        <v>35</v>
      </c>
      <c r="C105">
        <v>18</v>
      </c>
      <c r="D105">
        <v>12.783921286568098</v>
      </c>
      <c r="E105">
        <v>18</v>
      </c>
      <c r="F105">
        <v>11</v>
      </c>
      <c r="G105">
        <v>0.3</v>
      </c>
      <c r="H105">
        <v>10</v>
      </c>
      <c r="I105">
        <v>7</v>
      </c>
      <c r="J105">
        <v>1.4</v>
      </c>
      <c r="K105">
        <v>509860808.42031384</v>
      </c>
      <c r="L105">
        <v>54453600</v>
      </c>
      <c r="M105">
        <v>79687119.013479978</v>
      </c>
      <c r="N105">
        <v>71703600</v>
      </c>
      <c r="O105">
        <v>15889402.720000001</v>
      </c>
      <c r="P105">
        <v>213.35517899999999</v>
      </c>
      <c r="Q105">
        <v>1.2653747051025219</v>
      </c>
      <c r="R105">
        <v>43.639239600000003</v>
      </c>
      <c r="S105">
        <v>781.73026099999993</v>
      </c>
      <c r="T105">
        <v>7.105349E-14</v>
      </c>
      <c r="U105">
        <v>22.727684630394723</v>
      </c>
      <c r="V105">
        <v>100.934</v>
      </c>
      <c r="W105">
        <v>-242.01252171839278</v>
      </c>
      <c r="X105">
        <v>62.902886299999999</v>
      </c>
      <c r="Y105">
        <v>92.274271999999996</v>
      </c>
      <c r="Z105">
        <v>144.29</v>
      </c>
      <c r="AA105">
        <v>233.285056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1.2653747051025219</v>
      </c>
    </row>
    <row r="106" spans="1:41" x14ac:dyDescent="0.3">
      <c r="A106">
        <v>932.54929765631221</v>
      </c>
      <c r="B106">
        <v>39</v>
      </c>
      <c r="C106">
        <v>14</v>
      </c>
      <c r="D106">
        <v>7.8385282605071147</v>
      </c>
      <c r="E106">
        <v>10</v>
      </c>
      <c r="F106">
        <v>5</v>
      </c>
      <c r="G106">
        <v>0.55143870167945419</v>
      </c>
      <c r="H106">
        <v>16</v>
      </c>
      <c r="I106">
        <v>14</v>
      </c>
      <c r="J106">
        <v>0.48493678527204054</v>
      </c>
      <c r="K106">
        <v>509047170.64209914</v>
      </c>
      <c r="L106">
        <v>54454700</v>
      </c>
      <c r="M106">
        <v>79691314.948000684</v>
      </c>
      <c r="N106">
        <v>72129000</v>
      </c>
      <c r="O106">
        <v>15887373.52</v>
      </c>
      <c r="P106">
        <v>213.06213</v>
      </c>
      <c r="Q106">
        <v>1.2557318366087773</v>
      </c>
      <c r="R106">
        <v>43.668764400000001</v>
      </c>
      <c r="S106">
        <v>782.30050900000003</v>
      </c>
      <c r="T106">
        <v>1.3807301400000001E-9</v>
      </c>
      <c r="U106">
        <v>23.042558261206576</v>
      </c>
      <c r="V106">
        <v>100.934</v>
      </c>
      <c r="W106">
        <v>-241.00498335020532</v>
      </c>
      <c r="X106">
        <v>62.885545200000003</v>
      </c>
      <c r="Y106">
        <v>92.272150100000005</v>
      </c>
      <c r="Z106">
        <v>144.29</v>
      </c>
      <c r="AA106">
        <v>233.867491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1.2557318366087773</v>
      </c>
    </row>
    <row r="107" spans="1:41" x14ac:dyDescent="0.3">
      <c r="A107">
        <v>941.77310817359546</v>
      </c>
      <c r="B107">
        <v>39</v>
      </c>
      <c r="C107">
        <v>13</v>
      </c>
      <c r="D107">
        <v>12.908888958367154</v>
      </c>
      <c r="E107">
        <v>23</v>
      </c>
      <c r="F107">
        <v>12</v>
      </c>
      <c r="G107">
        <v>0.73760524361472957</v>
      </c>
      <c r="H107">
        <v>12</v>
      </c>
      <c r="I107">
        <v>10</v>
      </c>
      <c r="J107">
        <v>1.1418888128090989</v>
      </c>
      <c r="K107">
        <v>510431360.06175989</v>
      </c>
      <c r="L107">
        <v>54501400</v>
      </c>
      <c r="M107">
        <v>79705301.406127244</v>
      </c>
      <c r="N107">
        <v>74654200</v>
      </c>
      <c r="O107">
        <v>15895776.239999998</v>
      </c>
      <c r="P107">
        <v>212.48852600000001</v>
      </c>
      <c r="Q107">
        <v>1.2120542485695283</v>
      </c>
      <c r="R107">
        <v>43.843016599999999</v>
      </c>
      <c r="S107">
        <v>782.55984999999998</v>
      </c>
      <c r="T107">
        <v>4.7032250600000002E-10</v>
      </c>
      <c r="U107">
        <v>23.835252465282743</v>
      </c>
      <c r="V107">
        <v>100.934</v>
      </c>
      <c r="W107">
        <v>-236.61881489704965</v>
      </c>
      <c r="X107">
        <v>62.872181099999999</v>
      </c>
      <c r="Y107">
        <v>92.146210499999995</v>
      </c>
      <c r="Z107">
        <v>180.98100000000002</v>
      </c>
      <c r="AA107">
        <v>243.13588100000001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1.2120542485695283</v>
      </c>
    </row>
    <row r="108" spans="1:41" x14ac:dyDescent="0.3">
      <c r="A108">
        <v>933.08856610016107</v>
      </c>
      <c r="B108">
        <v>32</v>
      </c>
      <c r="C108">
        <v>19</v>
      </c>
      <c r="D108">
        <v>1.6047243531580828</v>
      </c>
      <c r="E108">
        <v>21</v>
      </c>
      <c r="F108">
        <v>14</v>
      </c>
      <c r="G108">
        <v>0.3</v>
      </c>
      <c r="H108">
        <v>18</v>
      </c>
      <c r="I108">
        <v>14</v>
      </c>
      <c r="J108">
        <v>1.4</v>
      </c>
      <c r="K108">
        <v>507698424.66531849</v>
      </c>
      <c r="L108">
        <v>54426300</v>
      </c>
      <c r="M108">
        <v>79694501.045192391</v>
      </c>
      <c r="N108">
        <v>71787600</v>
      </c>
      <c r="O108">
        <v>15902591.68</v>
      </c>
      <c r="P108">
        <v>202.958842</v>
      </c>
      <c r="Q108">
        <v>1.3205386011651967</v>
      </c>
      <c r="R108">
        <v>43.851897399999999</v>
      </c>
      <c r="S108">
        <v>784.50236299999995</v>
      </c>
      <c r="T108">
        <v>5.9314400599999998E-14</v>
      </c>
      <c r="U108">
        <v>25.061940349749424</v>
      </c>
      <c r="V108">
        <v>80.72</v>
      </c>
      <c r="W108">
        <v>-142.15144216819996</v>
      </c>
      <c r="X108">
        <v>62.8103056</v>
      </c>
      <c r="Y108">
        <v>94.743936899999994</v>
      </c>
      <c r="Z108">
        <v>180.98100000000002</v>
      </c>
      <c r="AA108">
        <v>258.50671999999997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2.4776139899769588E-2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1.3453147410649664</v>
      </c>
    </row>
    <row r="109" spans="1:41" x14ac:dyDescent="0.3">
      <c r="A109">
        <v>932.68300466313826</v>
      </c>
      <c r="B109">
        <v>39</v>
      </c>
      <c r="C109">
        <v>19</v>
      </c>
      <c r="D109">
        <v>1</v>
      </c>
      <c r="E109">
        <v>10</v>
      </c>
      <c r="F109">
        <v>5</v>
      </c>
      <c r="G109">
        <v>1.2</v>
      </c>
      <c r="H109">
        <v>25</v>
      </c>
      <c r="I109">
        <v>14</v>
      </c>
      <c r="J109">
        <v>1.4</v>
      </c>
      <c r="K109">
        <v>508391914.47011232</v>
      </c>
      <c r="L109">
        <v>54426300</v>
      </c>
      <c r="M109">
        <v>79694414.350371733</v>
      </c>
      <c r="N109">
        <v>71787600</v>
      </c>
      <c r="O109">
        <v>15883706.08</v>
      </c>
      <c r="P109">
        <v>209.00134499999999</v>
      </c>
      <c r="Q109">
        <v>1.2846126153682731</v>
      </c>
      <c r="R109">
        <v>43.694881799999997</v>
      </c>
      <c r="S109">
        <v>783.30340999999999</v>
      </c>
      <c r="T109">
        <v>3.1339832799999999E-10</v>
      </c>
      <c r="U109">
        <v>23.583495125409293</v>
      </c>
      <c r="V109">
        <v>80.72</v>
      </c>
      <c r="W109">
        <v>-148.17898794056353</v>
      </c>
      <c r="X109">
        <v>63.144321599999998</v>
      </c>
      <c r="Y109">
        <v>94.935569799999996</v>
      </c>
      <c r="Z109">
        <v>144.29</v>
      </c>
      <c r="AA109">
        <v>234.98449099999999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1.2846126153682731</v>
      </c>
    </row>
    <row r="110" spans="1:41" x14ac:dyDescent="0.3">
      <c r="A110">
        <v>934.78401190078182</v>
      </c>
      <c r="B110">
        <v>34</v>
      </c>
      <c r="C110">
        <v>19</v>
      </c>
      <c r="D110">
        <v>5.2941092301523245</v>
      </c>
      <c r="E110">
        <v>20</v>
      </c>
      <c r="F110">
        <v>5</v>
      </c>
      <c r="G110">
        <v>0.3</v>
      </c>
      <c r="H110">
        <v>25</v>
      </c>
      <c r="I110">
        <v>14</v>
      </c>
      <c r="J110">
        <v>1.4</v>
      </c>
      <c r="K110">
        <v>508526405.98414934</v>
      </c>
      <c r="L110">
        <v>54426300</v>
      </c>
      <c r="M110">
        <v>79694410.714059457</v>
      </c>
      <c r="N110">
        <v>71787600</v>
      </c>
      <c r="O110">
        <v>15887586.799999999</v>
      </c>
      <c r="P110">
        <v>213.18576899999999</v>
      </c>
      <c r="Q110">
        <v>1.2598264224162237</v>
      </c>
      <c r="R110">
        <v>43.698279300000003</v>
      </c>
      <c r="S110">
        <v>782.04933499999993</v>
      </c>
      <c r="T110">
        <v>4.13661356E-9</v>
      </c>
      <c r="U110">
        <v>22.76186231354335</v>
      </c>
      <c r="V110">
        <v>100.934</v>
      </c>
      <c r="W110">
        <v>-240.36128773582766</v>
      </c>
      <c r="X110">
        <v>62.885693099999997</v>
      </c>
      <c r="Y110">
        <v>92.518248099999994</v>
      </c>
      <c r="Z110">
        <v>177.97</v>
      </c>
      <c r="AA110">
        <v>232.628668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1.2598264224162237</v>
      </c>
    </row>
    <row r="111" spans="1:41" x14ac:dyDescent="0.3">
      <c r="A111">
        <v>936.92179176443119</v>
      </c>
      <c r="B111">
        <v>27</v>
      </c>
      <c r="C111">
        <v>19</v>
      </c>
      <c r="D111">
        <v>15</v>
      </c>
      <c r="E111">
        <v>29</v>
      </c>
      <c r="F111">
        <v>5</v>
      </c>
      <c r="G111">
        <v>0.3</v>
      </c>
      <c r="H111">
        <v>29</v>
      </c>
      <c r="I111">
        <v>14</v>
      </c>
      <c r="J111">
        <v>1.4</v>
      </c>
      <c r="K111">
        <v>508597589.34919763</v>
      </c>
      <c r="L111">
        <v>54426300</v>
      </c>
      <c r="M111">
        <v>79694407.202039212</v>
      </c>
      <c r="N111">
        <v>71787600</v>
      </c>
      <c r="O111">
        <v>15893047.360000001</v>
      </c>
      <c r="P111">
        <v>213.31549100000001</v>
      </c>
      <c r="Q111">
        <v>1.2592868272346875</v>
      </c>
      <c r="R111">
        <v>43.716684399999998</v>
      </c>
      <c r="S111">
        <v>781.840688</v>
      </c>
      <c r="T111">
        <v>3.9941481400000003E-9</v>
      </c>
      <c r="U111">
        <v>22.540948823039649</v>
      </c>
      <c r="V111">
        <v>91.850000000000009</v>
      </c>
      <c r="W111">
        <v>-239.10752327787114</v>
      </c>
      <c r="X111">
        <v>62.881771200000003</v>
      </c>
      <c r="Y111">
        <v>92.487335900000005</v>
      </c>
      <c r="Z111">
        <v>177.97</v>
      </c>
      <c r="AA111">
        <v>233.13731300000001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1.2592868272346875</v>
      </c>
    </row>
    <row r="112" spans="1:41" x14ac:dyDescent="0.3">
      <c r="A112">
        <v>942.25232799368735</v>
      </c>
      <c r="B112">
        <v>39</v>
      </c>
      <c r="C112">
        <v>16</v>
      </c>
      <c r="D112">
        <v>15</v>
      </c>
      <c r="E112">
        <v>19</v>
      </c>
      <c r="F112">
        <v>5</v>
      </c>
      <c r="G112">
        <v>0.3</v>
      </c>
      <c r="H112">
        <v>10</v>
      </c>
      <c r="I112">
        <v>7</v>
      </c>
      <c r="J112">
        <v>0.3</v>
      </c>
      <c r="K112">
        <v>508860226.74505711</v>
      </c>
      <c r="L112">
        <v>54426300</v>
      </c>
      <c r="M112">
        <v>79694415.807772815</v>
      </c>
      <c r="N112">
        <v>71787600</v>
      </c>
      <c r="O112">
        <v>15901128.08</v>
      </c>
      <c r="P112">
        <v>212.962727</v>
      </c>
      <c r="Q112">
        <v>1.2622099857090376</v>
      </c>
      <c r="R112">
        <v>43.692028499999999</v>
      </c>
      <c r="S112">
        <v>782.33031399999993</v>
      </c>
      <c r="T112">
        <v>4.2000314600000003E-9</v>
      </c>
      <c r="U112">
        <v>22.876662459613822</v>
      </c>
      <c r="V112">
        <v>100.934</v>
      </c>
      <c r="W112">
        <v>-238.99178421865295</v>
      </c>
      <c r="X112">
        <v>62.791085299999999</v>
      </c>
      <c r="Y112">
        <v>92.071016</v>
      </c>
      <c r="Z112">
        <v>177.97</v>
      </c>
      <c r="AA112">
        <v>237.71399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1.2622099857090376</v>
      </c>
    </row>
    <row r="113" spans="1:41" x14ac:dyDescent="0.3">
      <c r="A113">
        <v>930.82659733080607</v>
      </c>
      <c r="B113">
        <v>39</v>
      </c>
      <c r="C113">
        <v>19</v>
      </c>
      <c r="D113">
        <v>15</v>
      </c>
      <c r="E113">
        <v>29</v>
      </c>
      <c r="F113">
        <v>5</v>
      </c>
      <c r="G113">
        <v>0.3</v>
      </c>
      <c r="H113">
        <v>29</v>
      </c>
      <c r="I113">
        <v>14</v>
      </c>
      <c r="J113">
        <v>1.4</v>
      </c>
      <c r="K113">
        <v>508364030.03857011</v>
      </c>
      <c r="L113">
        <v>54426300</v>
      </c>
      <c r="M113">
        <v>79694417.256956249</v>
      </c>
      <c r="N113">
        <v>71787600</v>
      </c>
      <c r="O113">
        <v>15890928.640000001</v>
      </c>
      <c r="P113">
        <v>212.911813</v>
      </c>
      <c r="Q113">
        <v>1.2609297302198808</v>
      </c>
      <c r="R113">
        <v>43.7182861</v>
      </c>
      <c r="S113">
        <v>781.83321999999998</v>
      </c>
      <c r="T113">
        <v>4.0101345499999999E-9</v>
      </c>
      <c r="U113">
        <v>22.543349106345417</v>
      </c>
      <c r="V113">
        <v>100.934</v>
      </c>
      <c r="W113">
        <v>-238.36690489409648</v>
      </c>
      <c r="X113">
        <v>62.890620400000003</v>
      </c>
      <c r="Y113">
        <v>92.130164600000001</v>
      </c>
      <c r="Z113">
        <v>177.97</v>
      </c>
      <c r="AA113">
        <v>233.18169900000001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1.2609297302198808</v>
      </c>
    </row>
    <row r="114" spans="1:41" x14ac:dyDescent="0.3">
      <c r="A114">
        <v>934.2093713460464</v>
      </c>
      <c r="B114">
        <v>30</v>
      </c>
      <c r="C114">
        <v>19</v>
      </c>
      <c r="D114">
        <v>1</v>
      </c>
      <c r="E114">
        <v>17</v>
      </c>
      <c r="F114">
        <v>11</v>
      </c>
      <c r="G114">
        <v>1.2</v>
      </c>
      <c r="H114">
        <v>23</v>
      </c>
      <c r="I114">
        <v>14</v>
      </c>
      <c r="J114">
        <v>1.4</v>
      </c>
      <c r="K114">
        <v>508352762.18186593</v>
      </c>
      <c r="L114">
        <v>54426300</v>
      </c>
      <c r="M114">
        <v>79694412.168173492</v>
      </c>
      <c r="N114">
        <v>71787600</v>
      </c>
      <c r="O114">
        <v>15885124.959999999</v>
      </c>
      <c r="P114">
        <v>206.716917</v>
      </c>
      <c r="Q114">
        <v>1.2986802898403329</v>
      </c>
      <c r="R114">
        <v>43.829931899999998</v>
      </c>
      <c r="S114">
        <v>783.41273199999989</v>
      </c>
      <c r="T114">
        <v>8.5259007599999994E-11</v>
      </c>
      <c r="U114">
        <v>24.334183571248825</v>
      </c>
      <c r="V114">
        <v>80.72</v>
      </c>
      <c r="W114">
        <v>-158.86250604136796</v>
      </c>
      <c r="X114">
        <v>63.131394100000001</v>
      </c>
      <c r="Y114">
        <v>95.066665499999999</v>
      </c>
      <c r="Z114">
        <v>165.7</v>
      </c>
      <c r="AA114">
        <v>237.30378300000001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1.2986802898403329</v>
      </c>
    </row>
    <row r="115" spans="1:41" x14ac:dyDescent="0.3">
      <c r="A115">
        <v>924.49742825032195</v>
      </c>
      <c r="B115">
        <v>39</v>
      </c>
      <c r="C115">
        <v>18</v>
      </c>
      <c r="D115">
        <v>14.848350701983692</v>
      </c>
      <c r="E115">
        <v>20</v>
      </c>
      <c r="F115">
        <v>7</v>
      </c>
      <c r="G115">
        <v>0.30822429005371277</v>
      </c>
      <c r="H115">
        <v>10</v>
      </c>
      <c r="I115">
        <v>8</v>
      </c>
      <c r="J115">
        <v>0.71565407246489066</v>
      </c>
      <c r="K115">
        <v>508109888.32943708</v>
      </c>
      <c r="L115">
        <v>54426300</v>
      </c>
      <c r="M115">
        <v>79694429.080928952</v>
      </c>
      <c r="N115">
        <v>71787600</v>
      </c>
      <c r="O115">
        <v>15889191.039999999</v>
      </c>
      <c r="P115">
        <v>212.68356</v>
      </c>
      <c r="Q115">
        <v>1.2614717824233819</v>
      </c>
      <c r="R115">
        <v>43.704200399999998</v>
      </c>
      <c r="S115">
        <v>781.79740400000003</v>
      </c>
      <c r="T115">
        <v>8.28735594E-11</v>
      </c>
      <c r="U115">
        <v>22.769934532538947</v>
      </c>
      <c r="V115">
        <v>100.934</v>
      </c>
      <c r="W115">
        <v>-240.5432377942754</v>
      </c>
      <c r="X115">
        <v>62.924522899999999</v>
      </c>
      <c r="Y115">
        <v>92.147221799999997</v>
      </c>
      <c r="Z115">
        <v>177.97</v>
      </c>
      <c r="AA115">
        <v>236.067677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1.2614717824233819</v>
      </c>
    </row>
    <row r="116" spans="1:41" x14ac:dyDescent="0.3">
      <c r="A116">
        <v>938.15081060047964</v>
      </c>
      <c r="B116">
        <v>27</v>
      </c>
      <c r="C116">
        <v>10</v>
      </c>
      <c r="D116">
        <v>15</v>
      </c>
      <c r="E116">
        <v>29</v>
      </c>
      <c r="F116">
        <v>14</v>
      </c>
      <c r="G116">
        <v>1.2</v>
      </c>
      <c r="H116">
        <v>29</v>
      </c>
      <c r="I116">
        <v>14</v>
      </c>
      <c r="J116">
        <v>1.4</v>
      </c>
      <c r="K116">
        <v>508343567.25428563</v>
      </c>
      <c r="L116">
        <v>54426300</v>
      </c>
      <c r="M116">
        <v>79694407.688935265</v>
      </c>
      <c r="N116">
        <v>71787600</v>
      </c>
      <c r="O116">
        <v>15894862.48</v>
      </c>
      <c r="P116">
        <v>210.99073200000001</v>
      </c>
      <c r="Q116">
        <v>1.2723447192019839</v>
      </c>
      <c r="R116">
        <v>43.948140100000003</v>
      </c>
      <c r="S116">
        <v>783.51682300000004</v>
      </c>
      <c r="T116">
        <v>3.7684150899999997E-21</v>
      </c>
      <c r="U116">
        <v>25.157620284697046</v>
      </c>
      <c r="V116">
        <v>100.934</v>
      </c>
      <c r="W116">
        <v>-235.28233180215975</v>
      </c>
      <c r="X116">
        <v>62.869147599999998</v>
      </c>
      <c r="Y116">
        <v>92.455473799999993</v>
      </c>
      <c r="Z116">
        <v>180.98100000000002</v>
      </c>
      <c r="AA116">
        <v>254.99121600000001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6.3048113878818424E-2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1.3353928330808023</v>
      </c>
    </row>
    <row r="117" spans="1:41" x14ac:dyDescent="0.3">
      <c r="A117">
        <v>934.00083971121137</v>
      </c>
      <c r="B117">
        <v>35</v>
      </c>
      <c r="C117">
        <v>13</v>
      </c>
      <c r="D117">
        <v>10.574694652391297</v>
      </c>
      <c r="E117">
        <v>28</v>
      </c>
      <c r="F117">
        <v>14</v>
      </c>
      <c r="G117">
        <v>1.2</v>
      </c>
      <c r="H117">
        <v>16</v>
      </c>
      <c r="I117">
        <v>14</v>
      </c>
      <c r="J117">
        <v>1.4</v>
      </c>
      <c r="K117">
        <v>508189075.48903221</v>
      </c>
      <c r="L117">
        <v>54426300</v>
      </c>
      <c r="M117">
        <v>79694415.812497973</v>
      </c>
      <c r="N117">
        <v>71787600</v>
      </c>
      <c r="O117">
        <v>15890903.039999999</v>
      </c>
      <c r="P117">
        <v>210.69527600000001</v>
      </c>
      <c r="Q117">
        <v>1.2736311474509032</v>
      </c>
      <c r="R117">
        <v>43.945150900000002</v>
      </c>
      <c r="S117">
        <v>783.52305799999999</v>
      </c>
      <c r="T117">
        <v>4.2082528299999998E-21</v>
      </c>
      <c r="U117">
        <v>25.108140683684333</v>
      </c>
      <c r="V117">
        <v>100.934</v>
      </c>
      <c r="W117">
        <v>-235.47017525272159</v>
      </c>
      <c r="X117">
        <v>62.8720268</v>
      </c>
      <c r="Y117">
        <v>92.284033399999998</v>
      </c>
      <c r="Z117">
        <v>180.98100000000002</v>
      </c>
      <c r="AA117">
        <v>256.914736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4.3256273473733127E-2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1.3168874209246364</v>
      </c>
    </row>
    <row r="118" spans="1:41" x14ac:dyDescent="0.3">
      <c r="A118">
        <v>936.66032049179398</v>
      </c>
      <c r="B118">
        <v>39</v>
      </c>
      <c r="C118">
        <v>15</v>
      </c>
      <c r="D118">
        <v>12.124545799059945</v>
      </c>
      <c r="E118">
        <v>18</v>
      </c>
      <c r="F118">
        <v>14</v>
      </c>
      <c r="G118">
        <v>0.3</v>
      </c>
      <c r="H118">
        <v>10</v>
      </c>
      <c r="I118">
        <v>7</v>
      </c>
      <c r="J118">
        <v>0.3</v>
      </c>
      <c r="K118">
        <v>508733405.37134844</v>
      </c>
      <c r="L118">
        <v>54426300</v>
      </c>
      <c r="M118">
        <v>79694417.740770683</v>
      </c>
      <c r="N118">
        <v>71787600</v>
      </c>
      <c r="O118">
        <v>15895197.84</v>
      </c>
      <c r="P118">
        <v>214.37381099999999</v>
      </c>
      <c r="Q118">
        <v>1.2535000707894473</v>
      </c>
      <c r="R118">
        <v>43.552089100000003</v>
      </c>
      <c r="S118">
        <v>781.97555199999999</v>
      </c>
      <c r="T118">
        <v>6.2057173900000001E-16</v>
      </c>
      <c r="U118">
        <v>22.587629112999004</v>
      </c>
      <c r="V118">
        <v>100.934</v>
      </c>
      <c r="W118">
        <v>-241.2050595331238</v>
      </c>
      <c r="X118">
        <v>62.875266699999997</v>
      </c>
      <c r="Y118">
        <v>92.1562737</v>
      </c>
      <c r="Z118">
        <v>121.52199999999999</v>
      </c>
      <c r="AA118">
        <v>234.027186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1.2535000707894473</v>
      </c>
    </row>
    <row r="119" spans="1:41" x14ac:dyDescent="0.3">
      <c r="A119">
        <v>937.20828941041407</v>
      </c>
      <c r="B119">
        <v>32</v>
      </c>
      <c r="C119">
        <v>10</v>
      </c>
      <c r="D119">
        <v>15</v>
      </c>
      <c r="E119">
        <v>29</v>
      </c>
      <c r="F119">
        <v>5</v>
      </c>
      <c r="G119">
        <v>1.2</v>
      </c>
      <c r="H119">
        <v>29</v>
      </c>
      <c r="I119">
        <v>7</v>
      </c>
      <c r="J119">
        <v>0.3</v>
      </c>
      <c r="K119">
        <v>508460569.49500418</v>
      </c>
      <c r="L119">
        <v>54426300</v>
      </c>
      <c r="M119">
        <v>79694428.579651996</v>
      </c>
      <c r="N119">
        <v>71787600</v>
      </c>
      <c r="O119">
        <v>15898429.439999999</v>
      </c>
      <c r="P119">
        <v>210.144295</v>
      </c>
      <c r="Q119">
        <v>1.277847543904751</v>
      </c>
      <c r="R119">
        <v>43.895776699999999</v>
      </c>
      <c r="S119">
        <v>783.35428200000001</v>
      </c>
      <c r="T119">
        <v>1.8465847200000001E-10</v>
      </c>
      <c r="U119">
        <v>24.692438542231855</v>
      </c>
      <c r="V119">
        <v>100.934</v>
      </c>
      <c r="W119">
        <v>-232.87368978889225</v>
      </c>
      <c r="X119">
        <v>62.7366581</v>
      </c>
      <c r="Y119">
        <v>92.239904999999993</v>
      </c>
      <c r="Z119">
        <v>180.98100000000002</v>
      </c>
      <c r="AA119">
        <v>244.99383800000001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1.277847543904751</v>
      </c>
    </row>
    <row r="120" spans="1:41" x14ac:dyDescent="0.3">
      <c r="A120">
        <v>930</v>
      </c>
      <c r="B120">
        <v>30</v>
      </c>
      <c r="C120">
        <v>18</v>
      </c>
      <c r="D120">
        <v>2.95</v>
      </c>
      <c r="E120">
        <v>20</v>
      </c>
      <c r="F120">
        <v>12</v>
      </c>
      <c r="G120">
        <v>0.56747999999999998</v>
      </c>
      <c r="H120">
        <v>20</v>
      </c>
      <c r="I120">
        <v>12</v>
      </c>
      <c r="J120">
        <v>1.4</v>
      </c>
      <c r="K120">
        <v>508166017.46283531</v>
      </c>
      <c r="L120">
        <v>54419900</v>
      </c>
      <c r="M120">
        <v>79688418.946506098</v>
      </c>
      <c r="N120">
        <v>73518900</v>
      </c>
      <c r="O120">
        <v>15884331.280000001</v>
      </c>
      <c r="P120">
        <v>211.77717200000001</v>
      </c>
      <c r="Q120">
        <v>1.2308296071141789</v>
      </c>
      <c r="R120">
        <v>43.784977599999998</v>
      </c>
      <c r="S120">
        <v>782.81606499999998</v>
      </c>
      <c r="T120">
        <v>1.4197115700000001E-13</v>
      </c>
      <c r="U120">
        <v>23.541010259878107</v>
      </c>
      <c r="V120">
        <v>91.850000000000009</v>
      </c>
      <c r="W120">
        <v>-240.83121034818575</v>
      </c>
      <c r="X120">
        <v>62.892317499999997</v>
      </c>
      <c r="Y120">
        <v>92.825612100000001</v>
      </c>
      <c r="Z120">
        <v>165.7</v>
      </c>
      <c r="AA120">
        <v>236.15088299999999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1.2308296071141789</v>
      </c>
    </row>
    <row r="121" spans="1:41" x14ac:dyDescent="0.3">
      <c r="A121">
        <v>929.4452059765697</v>
      </c>
      <c r="B121">
        <v>39</v>
      </c>
      <c r="C121">
        <v>10</v>
      </c>
      <c r="D121">
        <v>15</v>
      </c>
      <c r="E121">
        <v>18</v>
      </c>
      <c r="F121">
        <v>5</v>
      </c>
      <c r="G121">
        <v>0.3</v>
      </c>
      <c r="H121">
        <v>29</v>
      </c>
      <c r="I121">
        <v>14</v>
      </c>
      <c r="J121">
        <v>1.4</v>
      </c>
      <c r="K121">
        <v>510749318.7285074</v>
      </c>
      <c r="L121">
        <v>54506600</v>
      </c>
      <c r="M121">
        <v>79687019.418815807</v>
      </c>
      <c r="N121">
        <v>72018100</v>
      </c>
      <c r="O121">
        <v>15890345.76</v>
      </c>
      <c r="P121">
        <v>212.83728500000001</v>
      </c>
      <c r="Q121">
        <v>1.2658640445282174</v>
      </c>
      <c r="R121">
        <v>43.692129399999999</v>
      </c>
      <c r="S121">
        <v>782.07502599999998</v>
      </c>
      <c r="T121">
        <v>4.2220444599999996E-9</v>
      </c>
      <c r="U121">
        <v>22.812782270228681</v>
      </c>
      <c r="V121">
        <v>100.934</v>
      </c>
      <c r="W121">
        <v>-240.31652469800144</v>
      </c>
      <c r="X121">
        <v>62.893609300000001</v>
      </c>
      <c r="Y121">
        <v>92.140410299999999</v>
      </c>
      <c r="Z121">
        <v>177.97</v>
      </c>
      <c r="AA121">
        <v>232.25176999999999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1.2658640445282174</v>
      </c>
    </row>
    <row r="122" spans="1:41" x14ac:dyDescent="0.3">
      <c r="A122">
        <v>932.4152790373887</v>
      </c>
      <c r="B122">
        <v>39</v>
      </c>
      <c r="C122">
        <v>11</v>
      </c>
      <c r="D122">
        <v>12.910746087258746</v>
      </c>
      <c r="E122">
        <v>17</v>
      </c>
      <c r="F122">
        <v>5</v>
      </c>
      <c r="G122">
        <v>1.2</v>
      </c>
      <c r="H122">
        <v>16</v>
      </c>
      <c r="I122">
        <v>14</v>
      </c>
      <c r="J122">
        <v>1.4</v>
      </c>
      <c r="K122">
        <v>510053348.82484174</v>
      </c>
      <c r="L122">
        <v>54475900</v>
      </c>
      <c r="M122">
        <v>79692315.74963291</v>
      </c>
      <c r="N122">
        <v>74684200</v>
      </c>
      <c r="O122">
        <v>15890813.84</v>
      </c>
      <c r="P122">
        <v>211.58635100000001</v>
      </c>
      <c r="Q122">
        <v>1.2148515664043213</v>
      </c>
      <c r="R122">
        <v>43.862436799999998</v>
      </c>
      <c r="S122">
        <v>782.82674900000006</v>
      </c>
      <c r="T122">
        <v>2.15827355E-10</v>
      </c>
      <c r="U122">
        <v>24.128247913689759</v>
      </c>
      <c r="V122">
        <v>100.934</v>
      </c>
      <c r="W122">
        <v>-236.8517254770444</v>
      </c>
      <c r="X122">
        <v>62.892944</v>
      </c>
      <c r="Y122">
        <v>92.163155000000003</v>
      </c>
      <c r="Z122">
        <v>177.97</v>
      </c>
      <c r="AA122">
        <v>244.49914200000001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1.2148515664043213</v>
      </c>
    </row>
    <row r="123" spans="1:41" x14ac:dyDescent="0.3">
      <c r="A123">
        <v>940.04670777230422</v>
      </c>
      <c r="B123">
        <v>27</v>
      </c>
      <c r="C123">
        <v>19</v>
      </c>
      <c r="D123">
        <v>15</v>
      </c>
      <c r="E123">
        <v>29</v>
      </c>
      <c r="F123">
        <v>14</v>
      </c>
      <c r="G123">
        <v>0.3</v>
      </c>
      <c r="H123">
        <v>29</v>
      </c>
      <c r="I123">
        <v>7</v>
      </c>
      <c r="J123">
        <v>1.4</v>
      </c>
      <c r="K123">
        <v>510586269.21186817</v>
      </c>
      <c r="L123">
        <v>54514800</v>
      </c>
      <c r="M123">
        <v>79700401.983212054</v>
      </c>
      <c r="N123">
        <v>72604900</v>
      </c>
      <c r="O123">
        <v>15895307.360000001</v>
      </c>
      <c r="P123">
        <v>213.61158</v>
      </c>
      <c r="Q123">
        <v>1.2488004720697865</v>
      </c>
      <c r="R123">
        <v>43.703430300000001</v>
      </c>
      <c r="S123">
        <v>781.57340399999998</v>
      </c>
      <c r="T123">
        <v>1.70519164E-12</v>
      </c>
      <c r="U123">
        <v>22.652087010056</v>
      </c>
      <c r="V123">
        <v>91.850000000000009</v>
      </c>
      <c r="W123">
        <v>-240.28129374901826</v>
      </c>
      <c r="X123">
        <v>62.876691899999997</v>
      </c>
      <c r="Y123">
        <v>92.485340100000002</v>
      </c>
      <c r="Z123">
        <v>177.97</v>
      </c>
      <c r="AA123">
        <v>233.59796900000001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1.2488004720697865</v>
      </c>
    </row>
    <row r="124" spans="1:41" x14ac:dyDescent="0.3">
      <c r="A124">
        <v>931.01802092229059</v>
      </c>
      <c r="B124">
        <v>32</v>
      </c>
      <c r="C124">
        <v>19</v>
      </c>
      <c r="D124">
        <v>5.393699144673171</v>
      </c>
      <c r="E124">
        <v>22</v>
      </c>
      <c r="F124">
        <v>12</v>
      </c>
      <c r="G124">
        <v>0.30156214947797899</v>
      </c>
      <c r="H124">
        <v>15</v>
      </c>
      <c r="I124">
        <v>13</v>
      </c>
      <c r="J124">
        <v>1.4</v>
      </c>
      <c r="K124">
        <v>508540116.68520904</v>
      </c>
      <c r="L124">
        <v>54437400</v>
      </c>
      <c r="M124">
        <v>79688916.909554899</v>
      </c>
      <c r="N124">
        <v>72183700</v>
      </c>
      <c r="O124">
        <v>15886155.76</v>
      </c>
      <c r="P124">
        <v>213.246521</v>
      </c>
      <c r="Q124">
        <v>1.2515414078743758</v>
      </c>
      <c r="R124">
        <v>43.677067700000002</v>
      </c>
      <c r="S124">
        <v>781.652244</v>
      </c>
      <c r="T124">
        <v>8.0010299299999998E-15</v>
      </c>
      <c r="U124">
        <v>22.738918355103248</v>
      </c>
      <c r="V124">
        <v>100.934</v>
      </c>
      <c r="W124">
        <v>-241.67287902942476</v>
      </c>
      <c r="X124">
        <v>62.909034400000003</v>
      </c>
      <c r="Y124">
        <v>92.571015099999997</v>
      </c>
      <c r="Z124">
        <v>165.7</v>
      </c>
      <c r="AA124">
        <v>234.67825400000001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1.2515414078743758</v>
      </c>
    </row>
    <row r="125" spans="1:41" x14ac:dyDescent="0.3">
      <c r="A125">
        <v>933.29377442888324</v>
      </c>
      <c r="B125">
        <v>32</v>
      </c>
      <c r="C125">
        <v>19</v>
      </c>
      <c r="D125">
        <v>1</v>
      </c>
      <c r="E125">
        <v>20</v>
      </c>
      <c r="F125">
        <v>11</v>
      </c>
      <c r="G125">
        <v>1.007373284674338</v>
      </c>
      <c r="H125">
        <v>18</v>
      </c>
      <c r="I125">
        <v>10</v>
      </c>
      <c r="J125">
        <v>1.4</v>
      </c>
      <c r="K125">
        <v>507714594.7803998</v>
      </c>
      <c r="L125">
        <v>54424900</v>
      </c>
      <c r="M125">
        <v>79693114.02228187</v>
      </c>
      <c r="N125">
        <v>75632300</v>
      </c>
      <c r="O125">
        <v>15884789.52</v>
      </c>
      <c r="P125">
        <v>206.98909</v>
      </c>
      <c r="Q125">
        <v>1.2128560354524023</v>
      </c>
      <c r="R125">
        <v>43.844564099999999</v>
      </c>
      <c r="S125">
        <v>783.49626899999998</v>
      </c>
      <c r="T125">
        <v>9.3757786199999996E-12</v>
      </c>
      <c r="U125">
        <v>24.445911142600231</v>
      </c>
      <c r="V125">
        <v>80.72</v>
      </c>
      <c r="W125">
        <v>-153.95203963205728</v>
      </c>
      <c r="X125">
        <v>63.132133000000003</v>
      </c>
      <c r="Y125">
        <v>95.019038300000005</v>
      </c>
      <c r="Z125">
        <v>177.97</v>
      </c>
      <c r="AA125">
        <v>239.65929499999999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1.2128560354524023</v>
      </c>
    </row>
    <row r="126" spans="1:41" x14ac:dyDescent="0.3">
      <c r="A126">
        <v>937.31315995040165</v>
      </c>
      <c r="B126">
        <v>31</v>
      </c>
      <c r="C126">
        <v>10</v>
      </c>
      <c r="D126">
        <v>1</v>
      </c>
      <c r="E126">
        <v>27</v>
      </c>
      <c r="F126">
        <v>5</v>
      </c>
      <c r="G126">
        <v>0.92239875417772677</v>
      </c>
      <c r="H126">
        <v>16</v>
      </c>
      <c r="I126">
        <v>14</v>
      </c>
      <c r="J126">
        <v>1.3850614727279351</v>
      </c>
      <c r="K126">
        <v>507848937.62507069</v>
      </c>
      <c r="L126">
        <v>54430500</v>
      </c>
      <c r="M126">
        <v>79698207.419807062</v>
      </c>
      <c r="N126">
        <v>75487600</v>
      </c>
      <c r="O126">
        <v>15886776.640000001</v>
      </c>
      <c r="P126">
        <v>208.73964599999999</v>
      </c>
      <c r="Q126">
        <v>1.2063000327231754</v>
      </c>
      <c r="R126">
        <v>43.820139400000002</v>
      </c>
      <c r="S126">
        <v>783.01349200000004</v>
      </c>
      <c r="T126">
        <v>2.58225194E-10</v>
      </c>
      <c r="U126">
        <v>23.852164238787839</v>
      </c>
      <c r="V126">
        <v>80.72</v>
      </c>
      <c r="W126">
        <v>-140.65317211671933</v>
      </c>
      <c r="X126">
        <v>63.140257099999999</v>
      </c>
      <c r="Y126">
        <v>94.9932874</v>
      </c>
      <c r="Z126">
        <v>180.98100000000002</v>
      </c>
      <c r="AA126">
        <v>241.96528000000001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1.2063000327231754</v>
      </c>
    </row>
    <row r="127" spans="1:41" x14ac:dyDescent="0.3">
      <c r="A127">
        <v>925.68028625225634</v>
      </c>
      <c r="B127">
        <v>39</v>
      </c>
      <c r="C127">
        <v>19</v>
      </c>
      <c r="D127">
        <v>12.402801444807716</v>
      </c>
      <c r="E127">
        <v>10</v>
      </c>
      <c r="F127">
        <v>5</v>
      </c>
      <c r="G127">
        <v>0.3</v>
      </c>
      <c r="H127">
        <v>16</v>
      </c>
      <c r="I127">
        <v>14</v>
      </c>
      <c r="J127">
        <v>1.4</v>
      </c>
      <c r="K127">
        <v>509782934.9313339</v>
      </c>
      <c r="L127">
        <v>54448200</v>
      </c>
      <c r="M127">
        <v>79681925.234244704</v>
      </c>
      <c r="N127">
        <v>70938700</v>
      </c>
      <c r="O127">
        <v>15887812.799999999</v>
      </c>
      <c r="P127">
        <v>213.51367200000001</v>
      </c>
      <c r="Q127">
        <v>1.2798902806587504</v>
      </c>
      <c r="R127">
        <v>43.5910267</v>
      </c>
      <c r="S127">
        <v>782.20831799999996</v>
      </c>
      <c r="T127">
        <v>5.5495172800000004E-9</v>
      </c>
      <c r="U127">
        <v>22.757258009041589</v>
      </c>
      <c r="V127">
        <v>100.934</v>
      </c>
      <c r="W127">
        <v>-242.69511034465549</v>
      </c>
      <c r="X127">
        <v>62.926447799999998</v>
      </c>
      <c r="Y127">
        <v>92.184488200000004</v>
      </c>
      <c r="Z127">
        <v>144.29</v>
      </c>
      <c r="AA127">
        <v>231.40460899999999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1.2798902806587504</v>
      </c>
    </row>
    <row r="128" spans="1:41" x14ac:dyDescent="0.3">
      <c r="A128">
        <v>936.13557811237627</v>
      </c>
      <c r="B128">
        <v>39</v>
      </c>
      <c r="C128">
        <v>10</v>
      </c>
      <c r="D128">
        <v>15</v>
      </c>
      <c r="E128">
        <v>29</v>
      </c>
      <c r="F128">
        <v>14</v>
      </c>
      <c r="G128">
        <v>0.3</v>
      </c>
      <c r="H128">
        <v>29</v>
      </c>
      <c r="I128">
        <v>7</v>
      </c>
      <c r="J128">
        <v>1.4</v>
      </c>
      <c r="K128">
        <v>510966292.17975032</v>
      </c>
      <c r="L128">
        <v>54533400</v>
      </c>
      <c r="M128">
        <v>79695408.522410914</v>
      </c>
      <c r="N128">
        <v>72417500</v>
      </c>
      <c r="O128">
        <v>15893325.92</v>
      </c>
      <c r="P128">
        <v>213.297335</v>
      </c>
      <c r="Q128">
        <v>1.2561130998036978</v>
      </c>
      <c r="R128">
        <v>43.717902000000002</v>
      </c>
      <c r="S128">
        <v>781.848163</v>
      </c>
      <c r="T128">
        <v>4.0027043899999997E-9</v>
      </c>
      <c r="U128">
        <v>22.546051258242645</v>
      </c>
      <c r="V128">
        <v>100.934</v>
      </c>
      <c r="W128">
        <v>-238.10639904772952</v>
      </c>
      <c r="X128">
        <v>62.882987900000003</v>
      </c>
      <c r="Y128">
        <v>92.136307099999996</v>
      </c>
      <c r="Z128">
        <v>177.97</v>
      </c>
      <c r="AA128">
        <v>233.18176800000001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1.2561130998036978</v>
      </c>
    </row>
    <row r="129" spans="1:41" x14ac:dyDescent="0.3">
      <c r="A129">
        <v>928.63013802408022</v>
      </c>
      <c r="B129">
        <v>39</v>
      </c>
      <c r="C129">
        <v>19</v>
      </c>
      <c r="D129">
        <v>12.718817016940557</v>
      </c>
      <c r="E129">
        <v>10</v>
      </c>
      <c r="F129">
        <v>5</v>
      </c>
      <c r="G129">
        <v>0.3</v>
      </c>
      <c r="H129">
        <v>10</v>
      </c>
      <c r="I129">
        <v>7</v>
      </c>
      <c r="J129">
        <v>0.3</v>
      </c>
      <c r="K129">
        <v>509739317.88612604</v>
      </c>
      <c r="L129">
        <v>54463800</v>
      </c>
      <c r="M129">
        <v>79696332.307591125</v>
      </c>
      <c r="N129">
        <v>71172500</v>
      </c>
      <c r="O129">
        <v>15892233.439999999</v>
      </c>
      <c r="P129">
        <v>213.225909</v>
      </c>
      <c r="Q129">
        <v>1.276961397811512</v>
      </c>
      <c r="R129">
        <v>43.588216600000003</v>
      </c>
      <c r="S129">
        <v>782.36992499999997</v>
      </c>
      <c r="T129">
        <v>5.5718721E-9</v>
      </c>
      <c r="U129">
        <v>22.810633337812483</v>
      </c>
      <c r="V129">
        <v>100.934</v>
      </c>
      <c r="W129">
        <v>-241.82241126971275</v>
      </c>
      <c r="X129">
        <v>62.871596699999998</v>
      </c>
      <c r="Y129">
        <v>92.148652900000002</v>
      </c>
      <c r="Z129">
        <v>144.29</v>
      </c>
      <c r="AA129">
        <v>234.472914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1.276961397811512</v>
      </c>
    </row>
    <row r="130" spans="1:41" x14ac:dyDescent="0.3">
      <c r="A130">
        <v>938.0775272107021</v>
      </c>
      <c r="B130">
        <v>27</v>
      </c>
      <c r="C130">
        <v>10</v>
      </c>
      <c r="D130">
        <v>1</v>
      </c>
      <c r="E130">
        <v>29</v>
      </c>
      <c r="F130">
        <v>14</v>
      </c>
      <c r="G130">
        <v>0.3</v>
      </c>
      <c r="H130">
        <v>29</v>
      </c>
      <c r="I130">
        <v>14</v>
      </c>
      <c r="J130">
        <v>1.4</v>
      </c>
      <c r="K130">
        <v>508152577.51492584</v>
      </c>
      <c r="L130">
        <v>54448600</v>
      </c>
      <c r="M130">
        <v>79697605.170840383</v>
      </c>
      <c r="N130">
        <v>73141300</v>
      </c>
      <c r="O130">
        <v>15886886.399999999</v>
      </c>
      <c r="P130">
        <v>209.77385599999999</v>
      </c>
      <c r="Q130">
        <v>1.2510902989655566</v>
      </c>
      <c r="R130">
        <v>43.6677757</v>
      </c>
      <c r="S130">
        <v>782.08459100000005</v>
      </c>
      <c r="T130">
        <v>3.36311586E-9</v>
      </c>
      <c r="U130">
        <v>22.305361624382094</v>
      </c>
      <c r="V130">
        <v>80.72</v>
      </c>
      <c r="W130">
        <v>-147.640075242302</v>
      </c>
      <c r="X130">
        <v>63.127828299999997</v>
      </c>
      <c r="Y130">
        <v>95.022496799999999</v>
      </c>
      <c r="Z130">
        <v>177.97</v>
      </c>
      <c r="AA130">
        <v>231.17319499999999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1.2510902989655566</v>
      </c>
    </row>
    <row r="131" spans="1:41" x14ac:dyDescent="0.3">
      <c r="A131">
        <v>937.19657113235439</v>
      </c>
      <c r="B131">
        <v>27</v>
      </c>
      <c r="C131">
        <v>10</v>
      </c>
      <c r="D131">
        <v>1</v>
      </c>
      <c r="E131">
        <v>29</v>
      </c>
      <c r="F131">
        <v>14</v>
      </c>
      <c r="G131">
        <v>1.2</v>
      </c>
      <c r="H131">
        <v>14</v>
      </c>
      <c r="I131">
        <v>12</v>
      </c>
      <c r="J131">
        <v>1.4</v>
      </c>
      <c r="K131">
        <v>507584139.47034431</v>
      </c>
      <c r="L131">
        <v>54432600</v>
      </c>
      <c r="M131">
        <v>79700309.757935315</v>
      </c>
      <c r="N131">
        <v>76613700</v>
      </c>
      <c r="O131">
        <v>15887196.720000001</v>
      </c>
      <c r="P131">
        <v>207.40896699999999</v>
      </c>
      <c r="Q131">
        <v>1.1892502380482011</v>
      </c>
      <c r="R131">
        <v>43.903006400000002</v>
      </c>
      <c r="S131">
        <v>783.45427800000004</v>
      </c>
      <c r="T131">
        <v>1.1436401999999999E-13</v>
      </c>
      <c r="U131">
        <v>24.833969793924069</v>
      </c>
      <c r="V131">
        <v>80.72</v>
      </c>
      <c r="W131">
        <v>-143.75636949618024</v>
      </c>
      <c r="X131">
        <v>63.119565299999998</v>
      </c>
      <c r="Y131">
        <v>95.017678700000005</v>
      </c>
      <c r="Z131">
        <v>180.98100000000002</v>
      </c>
      <c r="AA131">
        <v>251.96348800000001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1.1892502380482011</v>
      </c>
    </row>
    <row r="132" spans="1:41" x14ac:dyDescent="0.3">
      <c r="A132">
        <v>933.24183024832257</v>
      </c>
      <c r="B132">
        <v>27</v>
      </c>
      <c r="C132">
        <v>10</v>
      </c>
      <c r="D132">
        <v>15</v>
      </c>
      <c r="E132">
        <v>27</v>
      </c>
      <c r="F132">
        <v>14</v>
      </c>
      <c r="G132">
        <v>1.2</v>
      </c>
      <c r="H132">
        <v>10</v>
      </c>
      <c r="I132">
        <v>7</v>
      </c>
      <c r="J132">
        <v>1.4</v>
      </c>
      <c r="K132">
        <v>509916429.71035427</v>
      </c>
      <c r="L132">
        <v>54485600</v>
      </c>
      <c r="M132">
        <v>79701923.394928113</v>
      </c>
      <c r="N132">
        <v>75642500</v>
      </c>
      <c r="O132">
        <v>15893689.68</v>
      </c>
      <c r="P132">
        <v>210.18964299999999</v>
      </c>
      <c r="Q132">
        <v>1.2025598150109411</v>
      </c>
      <c r="R132">
        <v>43.9378721</v>
      </c>
      <c r="S132">
        <v>783.7024540000001</v>
      </c>
      <c r="T132">
        <v>4.7836630800000002E-21</v>
      </c>
      <c r="U132">
        <v>25.107423702775677</v>
      </c>
      <c r="V132">
        <v>100.934</v>
      </c>
      <c r="W132">
        <v>-234.61429155663063</v>
      </c>
      <c r="X132">
        <v>62.826724200000001</v>
      </c>
      <c r="Y132">
        <v>92.431264900000002</v>
      </c>
      <c r="Z132">
        <v>180.98100000000002</v>
      </c>
      <c r="AA132">
        <v>254.37176500000001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4.2969481110270637E-2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1.2455292961212117</v>
      </c>
    </row>
    <row r="133" spans="1:41" x14ac:dyDescent="0.3">
      <c r="A133">
        <v>937.79003251586948</v>
      </c>
      <c r="B133">
        <v>39</v>
      </c>
      <c r="C133">
        <v>19</v>
      </c>
      <c r="D133">
        <v>7.8015929369631403</v>
      </c>
      <c r="E133">
        <v>10</v>
      </c>
      <c r="F133">
        <v>5</v>
      </c>
      <c r="G133">
        <v>0.3</v>
      </c>
      <c r="H133">
        <v>22</v>
      </c>
      <c r="I133">
        <v>14</v>
      </c>
      <c r="J133">
        <v>1.4</v>
      </c>
      <c r="K133">
        <v>509430587.63683736</v>
      </c>
      <c r="L133">
        <v>54460000</v>
      </c>
      <c r="M133">
        <v>79696805.435448855</v>
      </c>
      <c r="N133">
        <v>71168500</v>
      </c>
      <c r="O133">
        <v>15889660.799999999</v>
      </c>
      <c r="P133">
        <v>214.126957</v>
      </c>
      <c r="Q133">
        <v>1.2706132771636554</v>
      </c>
      <c r="R133">
        <v>43.588562199999998</v>
      </c>
      <c r="S133">
        <v>782.32484999999997</v>
      </c>
      <c r="T133">
        <v>5.5415805299999999E-9</v>
      </c>
      <c r="U133">
        <v>22.790825687721121</v>
      </c>
      <c r="V133">
        <v>100.934</v>
      </c>
      <c r="W133">
        <v>-242.30843683790201</v>
      </c>
      <c r="X133">
        <v>62.880728599999998</v>
      </c>
      <c r="Y133">
        <v>92.279251099999996</v>
      </c>
      <c r="Z133">
        <v>144.29</v>
      </c>
      <c r="AA133">
        <v>229.93404799999999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1.2706132771636554</v>
      </c>
    </row>
    <row r="134" spans="1:41" x14ac:dyDescent="0.3">
      <c r="A134">
        <v>938.59122410413022</v>
      </c>
      <c r="B134">
        <v>33</v>
      </c>
      <c r="C134">
        <v>12</v>
      </c>
      <c r="D134">
        <v>15</v>
      </c>
      <c r="E134">
        <v>27</v>
      </c>
      <c r="F134">
        <v>5</v>
      </c>
      <c r="G134">
        <v>0.3</v>
      </c>
      <c r="H134">
        <v>16</v>
      </c>
      <c r="I134">
        <v>7</v>
      </c>
      <c r="J134">
        <v>1.4</v>
      </c>
      <c r="K134">
        <v>510444575.38742781</v>
      </c>
      <c r="L134">
        <v>54512700</v>
      </c>
      <c r="M134">
        <v>79698504.42447187</v>
      </c>
      <c r="N134">
        <v>72485000</v>
      </c>
      <c r="O134">
        <v>15894550.48</v>
      </c>
      <c r="P134">
        <v>213.47568799999999</v>
      </c>
      <c r="Q134">
        <v>1.251580749972599</v>
      </c>
      <c r="R134">
        <v>43.714578099999997</v>
      </c>
      <c r="S134">
        <v>781.896028</v>
      </c>
      <c r="T134">
        <v>4.0156110000000003E-9</v>
      </c>
      <c r="U134">
        <v>22.587112611052959</v>
      </c>
      <c r="V134">
        <v>100.934</v>
      </c>
      <c r="W134">
        <v>-238.6343536804585</v>
      </c>
      <c r="X134">
        <v>62.8792428</v>
      </c>
      <c r="Y134">
        <v>92.287084399999998</v>
      </c>
      <c r="Z134">
        <v>177.97</v>
      </c>
      <c r="AA134">
        <v>233.403042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1.251580749972599</v>
      </c>
    </row>
    <row r="135" spans="1:41" x14ac:dyDescent="0.3">
      <c r="A135">
        <v>910</v>
      </c>
      <c r="B135">
        <v>39</v>
      </c>
      <c r="C135">
        <v>10</v>
      </c>
      <c r="D135">
        <v>15</v>
      </c>
      <c r="E135">
        <v>10</v>
      </c>
      <c r="F135">
        <v>6</v>
      </c>
      <c r="G135">
        <v>0.34710097010256274</v>
      </c>
      <c r="H135">
        <v>16</v>
      </c>
      <c r="I135">
        <v>14</v>
      </c>
      <c r="J135">
        <v>1.3683505735408239</v>
      </c>
      <c r="K135">
        <v>510314020.24021143</v>
      </c>
      <c r="L135">
        <v>54449400</v>
      </c>
      <c r="M135">
        <v>79666645.209514692</v>
      </c>
      <c r="N135">
        <v>70490700</v>
      </c>
      <c r="O135">
        <v>15896202.16</v>
      </c>
      <c r="P135">
        <v>212.772809</v>
      </c>
      <c r="Q135">
        <v>1.295360655611939</v>
      </c>
      <c r="R135">
        <v>43.575801599999998</v>
      </c>
      <c r="S135">
        <v>782.12871799999994</v>
      </c>
      <c r="T135">
        <v>6.5174180599999999E-10</v>
      </c>
      <c r="U135">
        <v>22.684077357134587</v>
      </c>
      <c r="V135">
        <v>100.934</v>
      </c>
      <c r="W135">
        <v>-241.55015229215152</v>
      </c>
      <c r="X135">
        <v>62.947930700000001</v>
      </c>
      <c r="Y135">
        <v>92.16713</v>
      </c>
      <c r="Z135">
        <v>121.52199999999999</v>
      </c>
      <c r="AA135">
        <v>231.37127599999999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1.295360655611939</v>
      </c>
    </row>
    <row r="136" spans="1:41" x14ac:dyDescent="0.3">
      <c r="A136">
        <v>937.96468836095084</v>
      </c>
      <c r="B136">
        <v>27</v>
      </c>
      <c r="C136">
        <v>19</v>
      </c>
      <c r="D136">
        <v>6.7114296195576513</v>
      </c>
      <c r="E136">
        <v>29</v>
      </c>
      <c r="F136">
        <v>14</v>
      </c>
      <c r="G136">
        <v>0.3</v>
      </c>
      <c r="H136">
        <v>29</v>
      </c>
      <c r="I136">
        <v>14</v>
      </c>
      <c r="J136">
        <v>1.4</v>
      </c>
      <c r="K136">
        <v>509275807.98425359</v>
      </c>
      <c r="L136">
        <v>54480900</v>
      </c>
      <c r="M136">
        <v>79697705.464416102</v>
      </c>
      <c r="N136">
        <v>72560800</v>
      </c>
      <c r="O136">
        <v>15889877.280000001</v>
      </c>
      <c r="P136">
        <v>213.31743399999999</v>
      </c>
      <c r="Q136">
        <v>1.2465631613545627</v>
      </c>
      <c r="R136">
        <v>43.719685200000001</v>
      </c>
      <c r="S136">
        <v>781.72949599999993</v>
      </c>
      <c r="T136">
        <v>5.8667135000000002E-10</v>
      </c>
      <c r="U136">
        <v>22.545781015937838</v>
      </c>
      <c r="V136">
        <v>91.850000000000009</v>
      </c>
      <c r="W136">
        <v>-240.02147908089097</v>
      </c>
      <c r="X136">
        <v>62.879858400000003</v>
      </c>
      <c r="Y136">
        <v>92.636237699999995</v>
      </c>
      <c r="Z136">
        <v>177.97</v>
      </c>
      <c r="AA136">
        <v>233.448218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1.2465631613545627</v>
      </c>
    </row>
    <row r="137" spans="1:41" x14ac:dyDescent="0.3">
      <c r="A137">
        <v>910</v>
      </c>
      <c r="B137">
        <v>39</v>
      </c>
      <c r="C137">
        <v>10</v>
      </c>
      <c r="D137">
        <v>15</v>
      </c>
      <c r="E137">
        <v>29</v>
      </c>
      <c r="F137">
        <v>5</v>
      </c>
      <c r="G137">
        <v>0.3</v>
      </c>
      <c r="H137">
        <v>29</v>
      </c>
      <c r="I137">
        <v>14</v>
      </c>
      <c r="J137">
        <v>1.4</v>
      </c>
      <c r="K137">
        <v>510843045.32915908</v>
      </c>
      <c r="L137">
        <v>54485300</v>
      </c>
      <c r="M137">
        <v>79667245.515006021</v>
      </c>
      <c r="N137">
        <v>71772400</v>
      </c>
      <c r="O137">
        <v>15895955.68</v>
      </c>
      <c r="P137">
        <v>211.64112900000001</v>
      </c>
      <c r="Q137">
        <v>1.2779995670453586</v>
      </c>
      <c r="R137">
        <v>43.718562599999998</v>
      </c>
      <c r="S137">
        <v>781.79937799999993</v>
      </c>
      <c r="T137">
        <v>4.0309852599999999E-9</v>
      </c>
      <c r="U137">
        <v>22.537108876674321</v>
      </c>
      <c r="V137">
        <v>100.934</v>
      </c>
      <c r="W137">
        <v>-237.94051123722846</v>
      </c>
      <c r="X137">
        <v>62.918607199999997</v>
      </c>
      <c r="Y137">
        <v>92.150322299999999</v>
      </c>
      <c r="Z137">
        <v>177.97</v>
      </c>
      <c r="AA137">
        <v>233.19402600000001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1.2779995670453586</v>
      </c>
    </row>
    <row r="138" spans="1:41" x14ac:dyDescent="0.3">
      <c r="A138">
        <v>931.7814890526721</v>
      </c>
      <c r="B138">
        <v>39</v>
      </c>
      <c r="C138">
        <v>10</v>
      </c>
      <c r="D138">
        <v>1</v>
      </c>
      <c r="E138">
        <v>29</v>
      </c>
      <c r="F138">
        <v>5</v>
      </c>
      <c r="G138">
        <v>0.3</v>
      </c>
      <c r="H138">
        <v>29</v>
      </c>
      <c r="I138">
        <v>14</v>
      </c>
      <c r="J138">
        <v>1.4</v>
      </c>
      <c r="K138">
        <v>508436302.94817126</v>
      </c>
      <c r="L138">
        <v>54475700</v>
      </c>
      <c r="M138">
        <v>79689815.638489127</v>
      </c>
      <c r="N138">
        <v>72922400</v>
      </c>
      <c r="O138">
        <v>15883974.319999998</v>
      </c>
      <c r="P138">
        <v>210.11825200000001</v>
      </c>
      <c r="Q138">
        <v>1.2551245308794141</v>
      </c>
      <c r="R138">
        <v>43.660662600000002</v>
      </c>
      <c r="S138">
        <v>782.46021899999994</v>
      </c>
      <c r="T138">
        <v>3.4907079599999998E-9</v>
      </c>
      <c r="U138">
        <v>22.384886192344222</v>
      </c>
      <c r="V138">
        <v>80.72</v>
      </c>
      <c r="W138">
        <v>-138.09912264581712</v>
      </c>
      <c r="X138">
        <v>63.146870399999997</v>
      </c>
      <c r="Y138">
        <v>94.959989399999998</v>
      </c>
      <c r="Z138">
        <v>177.97</v>
      </c>
      <c r="AA138">
        <v>232.20638600000001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1.2551245308794141</v>
      </c>
    </row>
    <row r="139" spans="1:41" x14ac:dyDescent="0.3">
      <c r="A139">
        <v>936.80782763622074</v>
      </c>
      <c r="B139">
        <v>27</v>
      </c>
      <c r="C139">
        <v>10</v>
      </c>
      <c r="D139">
        <v>6.0715084781004265</v>
      </c>
      <c r="E139">
        <v>29</v>
      </c>
      <c r="F139">
        <v>5</v>
      </c>
      <c r="G139">
        <v>0.3</v>
      </c>
      <c r="H139">
        <v>29</v>
      </c>
      <c r="I139">
        <v>14</v>
      </c>
      <c r="J139">
        <v>0.3</v>
      </c>
      <c r="K139">
        <v>509011997.07636964</v>
      </c>
      <c r="L139">
        <v>54486700</v>
      </c>
      <c r="M139">
        <v>79703014.675585419</v>
      </c>
      <c r="N139">
        <v>72503800</v>
      </c>
      <c r="O139">
        <v>15890746.960000001</v>
      </c>
      <c r="P139">
        <v>212.83293399999999</v>
      </c>
      <c r="Q139">
        <v>1.2498619508882109</v>
      </c>
      <c r="R139">
        <v>43.712386899999998</v>
      </c>
      <c r="S139">
        <v>782.02948400000002</v>
      </c>
      <c r="T139">
        <v>4.0134178799999996E-9</v>
      </c>
      <c r="U139">
        <v>22.59717499226419</v>
      </c>
      <c r="V139">
        <v>100.934</v>
      </c>
      <c r="W139">
        <v>-236.53820602732199</v>
      </c>
      <c r="X139">
        <v>62.836247299999997</v>
      </c>
      <c r="Y139">
        <v>92.594565200000005</v>
      </c>
      <c r="Z139">
        <v>177.97</v>
      </c>
      <c r="AA139">
        <v>235.91007200000001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1.2498619508882109</v>
      </c>
    </row>
    <row r="140" spans="1:41" x14ac:dyDescent="0.3">
      <c r="A140">
        <v>936.96119408036282</v>
      </c>
      <c r="B140">
        <v>36</v>
      </c>
      <c r="C140">
        <v>19</v>
      </c>
      <c r="D140">
        <v>15</v>
      </c>
      <c r="E140">
        <v>29</v>
      </c>
      <c r="F140">
        <v>5</v>
      </c>
      <c r="G140">
        <v>1.2</v>
      </c>
      <c r="H140">
        <v>29</v>
      </c>
      <c r="I140">
        <v>7</v>
      </c>
      <c r="J140">
        <v>0.3</v>
      </c>
      <c r="K140">
        <v>510901198.17458588</v>
      </c>
      <c r="L140">
        <v>54555100</v>
      </c>
      <c r="M140">
        <v>79717228.987864003</v>
      </c>
      <c r="N140">
        <v>74908000</v>
      </c>
      <c r="O140">
        <v>15898966.880000001</v>
      </c>
      <c r="P140">
        <v>210.132274</v>
      </c>
      <c r="Q140">
        <v>1.2229595115216765</v>
      </c>
      <c r="R140">
        <v>43.8965964</v>
      </c>
      <c r="S140">
        <v>783.34368300000006</v>
      </c>
      <c r="T140">
        <v>1.84712513E-10</v>
      </c>
      <c r="U140">
        <v>24.691185730105403</v>
      </c>
      <c r="V140">
        <v>100.934</v>
      </c>
      <c r="W140">
        <v>-233.18483421582943</v>
      </c>
      <c r="X140">
        <v>62.736110699999998</v>
      </c>
      <c r="Y140">
        <v>92.128865500000003</v>
      </c>
      <c r="Z140">
        <v>180.98100000000002</v>
      </c>
      <c r="AA140">
        <v>244.988934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1.2229595115216765</v>
      </c>
    </row>
    <row r="141" spans="1:41" x14ac:dyDescent="0.3">
      <c r="A141">
        <v>933.54418268617314</v>
      </c>
      <c r="B141">
        <v>39</v>
      </c>
      <c r="C141">
        <v>10</v>
      </c>
      <c r="D141">
        <v>7.2553933905872148</v>
      </c>
      <c r="E141">
        <v>29</v>
      </c>
      <c r="F141">
        <v>14</v>
      </c>
      <c r="G141">
        <v>0.3</v>
      </c>
      <c r="H141">
        <v>29</v>
      </c>
      <c r="I141">
        <v>14</v>
      </c>
      <c r="J141">
        <v>1.4</v>
      </c>
      <c r="K141">
        <v>509634008.31436723</v>
      </c>
      <c r="L141">
        <v>54492700</v>
      </c>
      <c r="M141">
        <v>79692212.820860729</v>
      </c>
      <c r="N141">
        <v>72417500</v>
      </c>
      <c r="O141">
        <v>15887382.48</v>
      </c>
      <c r="P141">
        <v>213.157612</v>
      </c>
      <c r="Q141">
        <v>1.2518506036559109</v>
      </c>
      <c r="R141">
        <v>43.703496000000001</v>
      </c>
      <c r="S141">
        <v>781.58211400000005</v>
      </c>
      <c r="T141">
        <v>1.56581409E-16</v>
      </c>
      <c r="U141">
        <v>22.655217445034005</v>
      </c>
      <c r="V141">
        <v>100.934</v>
      </c>
      <c r="W141">
        <v>-238.70442302676071</v>
      </c>
      <c r="X141">
        <v>62.888857399999999</v>
      </c>
      <c r="Y141">
        <v>92.323942500000001</v>
      </c>
      <c r="Z141">
        <v>177.97</v>
      </c>
      <c r="AA141">
        <v>233.65808999999999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1.2518506036559109</v>
      </c>
    </row>
    <row r="142" spans="1:41" x14ac:dyDescent="0.3">
      <c r="A142">
        <v>910</v>
      </c>
      <c r="B142">
        <v>39</v>
      </c>
      <c r="C142">
        <v>19</v>
      </c>
      <c r="D142">
        <v>15</v>
      </c>
      <c r="E142">
        <v>10</v>
      </c>
      <c r="F142">
        <v>5</v>
      </c>
      <c r="G142">
        <v>0.3</v>
      </c>
      <c r="H142">
        <v>29</v>
      </c>
      <c r="I142">
        <v>14</v>
      </c>
      <c r="J142">
        <v>1.4</v>
      </c>
      <c r="K142">
        <v>510628962.10438526</v>
      </c>
      <c r="L142">
        <v>54466800</v>
      </c>
      <c r="M142">
        <v>79666645.192052171</v>
      </c>
      <c r="N142">
        <v>70473100</v>
      </c>
      <c r="O142">
        <v>15895906.24</v>
      </c>
      <c r="P142">
        <v>212.34426500000001</v>
      </c>
      <c r="Q142">
        <v>1.2997093525548493</v>
      </c>
      <c r="R142">
        <v>43.590079600000003</v>
      </c>
      <c r="S142">
        <v>782.264545</v>
      </c>
      <c r="T142">
        <v>5.5857111000000001E-9</v>
      </c>
      <c r="U142">
        <v>22.780036894893186</v>
      </c>
      <c r="V142">
        <v>100.934</v>
      </c>
      <c r="W142">
        <v>-242.12395062641474</v>
      </c>
      <c r="X142">
        <v>62.918396899999998</v>
      </c>
      <c r="Y142">
        <v>92.141174500000005</v>
      </c>
      <c r="Z142">
        <v>144.29</v>
      </c>
      <c r="AA142">
        <v>229.39748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1.2997093525548493</v>
      </c>
    </row>
    <row r="143" spans="1:41" x14ac:dyDescent="0.3">
      <c r="A143">
        <v>910</v>
      </c>
      <c r="B143">
        <v>39</v>
      </c>
      <c r="C143">
        <v>10</v>
      </c>
      <c r="D143">
        <v>1</v>
      </c>
      <c r="E143">
        <v>10</v>
      </c>
      <c r="F143">
        <v>5</v>
      </c>
      <c r="G143">
        <v>0.3</v>
      </c>
      <c r="H143">
        <v>29</v>
      </c>
      <c r="I143">
        <v>14</v>
      </c>
      <c r="J143">
        <v>1.4</v>
      </c>
      <c r="K143">
        <v>508160832.60822541</v>
      </c>
      <c r="L143">
        <v>54415000</v>
      </c>
      <c r="M143">
        <v>79666545.192052171</v>
      </c>
      <c r="N143">
        <v>71148900</v>
      </c>
      <c r="O143">
        <v>15888639.119999999</v>
      </c>
      <c r="P143">
        <v>209.46365299999999</v>
      </c>
      <c r="Q143">
        <v>1.2942505619561282</v>
      </c>
      <c r="R143">
        <v>43.532989600000001</v>
      </c>
      <c r="S143">
        <v>782.92958700000008</v>
      </c>
      <c r="T143">
        <v>4.9105772000000002E-9</v>
      </c>
      <c r="U143">
        <v>22.666306587266046</v>
      </c>
      <c r="V143">
        <v>80.72</v>
      </c>
      <c r="W143">
        <v>-141.98416791600351</v>
      </c>
      <c r="X143">
        <v>64.267447799999999</v>
      </c>
      <c r="Y143">
        <v>94.976819199999994</v>
      </c>
      <c r="Z143">
        <v>144.29</v>
      </c>
      <c r="AA143">
        <v>229.08082200000001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1.2942505619561282</v>
      </c>
    </row>
    <row r="144" spans="1:41" x14ac:dyDescent="0.3">
      <c r="A144">
        <v>912.55507469199017</v>
      </c>
      <c r="B144">
        <v>39</v>
      </c>
      <c r="C144">
        <v>10</v>
      </c>
      <c r="D144">
        <v>15</v>
      </c>
      <c r="E144">
        <v>28</v>
      </c>
      <c r="F144">
        <v>5</v>
      </c>
      <c r="G144">
        <v>1.1544213698911072</v>
      </c>
      <c r="H144">
        <v>10</v>
      </c>
      <c r="I144">
        <v>8</v>
      </c>
      <c r="J144">
        <v>1.4</v>
      </c>
      <c r="K144">
        <v>510433913.81087399</v>
      </c>
      <c r="L144">
        <v>54477300</v>
      </c>
      <c r="M144">
        <v>79677448.702634335</v>
      </c>
      <c r="N144">
        <v>74597500</v>
      </c>
      <c r="O144">
        <v>15898240.48</v>
      </c>
      <c r="P144">
        <v>209.71951999999999</v>
      </c>
      <c r="Q144">
        <v>1.2287519151289301</v>
      </c>
      <c r="R144">
        <v>43.897201699999997</v>
      </c>
      <c r="S144">
        <v>782.93227300000001</v>
      </c>
      <c r="T144">
        <v>1.97751557E-10</v>
      </c>
      <c r="U144">
        <v>24.507559210027811</v>
      </c>
      <c r="V144">
        <v>100.934</v>
      </c>
      <c r="W144">
        <v>-234.7418318801374</v>
      </c>
      <c r="X144">
        <v>62.877774600000002</v>
      </c>
      <c r="Y144">
        <v>92.127580300000005</v>
      </c>
      <c r="Z144">
        <v>180.98100000000002</v>
      </c>
      <c r="AA144">
        <v>247.83858699999999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1.2287519151289301</v>
      </c>
    </row>
    <row r="145" spans="1:41" x14ac:dyDescent="0.3">
      <c r="A145">
        <v>910</v>
      </c>
      <c r="B145">
        <v>39</v>
      </c>
      <c r="C145">
        <v>10</v>
      </c>
      <c r="D145">
        <v>15</v>
      </c>
      <c r="E145">
        <v>10</v>
      </c>
      <c r="F145">
        <v>5</v>
      </c>
      <c r="G145">
        <v>1.2</v>
      </c>
      <c r="H145">
        <v>10</v>
      </c>
      <c r="I145">
        <v>7</v>
      </c>
      <c r="J145">
        <v>0.3</v>
      </c>
      <c r="K145">
        <v>510180685.7243588</v>
      </c>
      <c r="L145">
        <v>54471700</v>
      </c>
      <c r="M145">
        <v>79689169.137271225</v>
      </c>
      <c r="N145">
        <v>72584800</v>
      </c>
      <c r="O145">
        <v>15901919.52</v>
      </c>
      <c r="P145">
        <v>209.66460000000001</v>
      </c>
      <c r="Q145">
        <v>1.2705119494714432</v>
      </c>
      <c r="R145">
        <v>43.745749500000002</v>
      </c>
      <c r="S145">
        <v>782.99541099999999</v>
      </c>
      <c r="T145">
        <v>3.7041039999999999E-10</v>
      </c>
      <c r="U145">
        <v>23.59763340463806</v>
      </c>
      <c r="V145">
        <v>100.934</v>
      </c>
      <c r="W145">
        <v>-237.15804346619143</v>
      </c>
      <c r="X145">
        <v>62.783651900000002</v>
      </c>
      <c r="Y145">
        <v>92.073006899999996</v>
      </c>
      <c r="Z145">
        <v>144.29</v>
      </c>
      <c r="AA145">
        <v>241.32380699999999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1.2705119494714432</v>
      </c>
    </row>
    <row r="146" spans="1:41" x14ac:dyDescent="0.3">
      <c r="A146">
        <v>932.17266493050965</v>
      </c>
      <c r="B146">
        <v>31</v>
      </c>
      <c r="C146">
        <v>17</v>
      </c>
      <c r="D146">
        <v>2.1859852326515017</v>
      </c>
      <c r="E146">
        <v>21</v>
      </c>
      <c r="F146">
        <v>11</v>
      </c>
      <c r="G146">
        <v>0.3</v>
      </c>
      <c r="H146">
        <v>21</v>
      </c>
      <c r="I146">
        <v>14</v>
      </c>
      <c r="J146">
        <v>1.4</v>
      </c>
      <c r="K146">
        <v>508070671.55453604</v>
      </c>
      <c r="L146">
        <v>54422000</v>
      </c>
      <c r="M146">
        <v>79690314.993197784</v>
      </c>
      <c r="N146">
        <v>72098500</v>
      </c>
      <c r="O146">
        <v>15884771.199999999</v>
      </c>
      <c r="P146">
        <v>213.06304299999999</v>
      </c>
      <c r="Q146">
        <v>1.2525695826965526</v>
      </c>
      <c r="R146">
        <v>43.6737435</v>
      </c>
      <c r="S146">
        <v>781.72476099999994</v>
      </c>
      <c r="T146">
        <v>8.0598887899999994E-14</v>
      </c>
      <c r="U146">
        <v>22.759680050563507</v>
      </c>
      <c r="V146">
        <v>91.850000000000009</v>
      </c>
      <c r="W146">
        <v>-241.4292674176647</v>
      </c>
      <c r="X146">
        <v>62.892051500000001</v>
      </c>
      <c r="Y146">
        <v>92.959685399999998</v>
      </c>
      <c r="Z146">
        <v>165.7</v>
      </c>
      <c r="AA146">
        <v>232.42696699999999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1.2525695826965526</v>
      </c>
    </row>
    <row r="147" spans="1:41" x14ac:dyDescent="0.3">
      <c r="A147">
        <v>929.82950627282196</v>
      </c>
      <c r="B147">
        <v>39</v>
      </c>
      <c r="C147">
        <v>14</v>
      </c>
      <c r="D147">
        <v>15</v>
      </c>
      <c r="E147">
        <v>26</v>
      </c>
      <c r="F147">
        <v>14</v>
      </c>
      <c r="G147">
        <v>1.1165825109614163</v>
      </c>
      <c r="H147">
        <v>11</v>
      </c>
      <c r="I147">
        <v>9</v>
      </c>
      <c r="J147">
        <v>1.2259941429644616</v>
      </c>
      <c r="K147">
        <v>510364012.41184533</v>
      </c>
      <c r="L147">
        <v>54498500</v>
      </c>
      <c r="M147">
        <v>79697428.663061202</v>
      </c>
      <c r="N147">
        <v>75452000</v>
      </c>
      <c r="O147">
        <v>15892896.16</v>
      </c>
      <c r="P147">
        <v>210.10531399999999</v>
      </c>
      <c r="Q147">
        <v>1.208762092005826</v>
      </c>
      <c r="R147">
        <v>43.929880900000001</v>
      </c>
      <c r="S147">
        <v>783.684708</v>
      </c>
      <c r="T147">
        <v>7.15751266E-21</v>
      </c>
      <c r="U147">
        <v>24.969897419842489</v>
      </c>
      <c r="V147">
        <v>100.934</v>
      </c>
      <c r="W147">
        <v>-235.25228705900466</v>
      </c>
      <c r="X147">
        <v>62.8382085</v>
      </c>
      <c r="Y147">
        <v>92.094877499999996</v>
      </c>
      <c r="Z147">
        <v>180.98100000000002</v>
      </c>
      <c r="AA147">
        <v>255.124495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1.208762092005826</v>
      </c>
    </row>
    <row r="148" spans="1:41" x14ac:dyDescent="0.3">
      <c r="A148">
        <v>937.10849428623567</v>
      </c>
      <c r="B148">
        <v>35</v>
      </c>
      <c r="C148">
        <v>15</v>
      </c>
      <c r="D148">
        <v>11.012614924702889</v>
      </c>
      <c r="E148">
        <v>23</v>
      </c>
      <c r="F148">
        <v>5</v>
      </c>
      <c r="G148">
        <v>0.3</v>
      </c>
      <c r="H148">
        <v>16</v>
      </c>
      <c r="I148">
        <v>14</v>
      </c>
      <c r="J148">
        <v>1.4</v>
      </c>
      <c r="K148">
        <v>509796071.05557859</v>
      </c>
      <c r="L148">
        <v>54465900</v>
      </c>
      <c r="M148">
        <v>79696606.882577881</v>
      </c>
      <c r="N148">
        <v>72395200</v>
      </c>
      <c r="O148">
        <v>15891055.840000002</v>
      </c>
      <c r="P148">
        <v>213.36402699999999</v>
      </c>
      <c r="Q148">
        <v>1.2510620538932402</v>
      </c>
      <c r="R148">
        <v>43.707605600000001</v>
      </c>
      <c r="S148">
        <v>781.97616100000005</v>
      </c>
      <c r="T148">
        <v>4.0692294299999998E-9</v>
      </c>
      <c r="U148">
        <v>22.682372025721172</v>
      </c>
      <c r="V148">
        <v>100.934</v>
      </c>
      <c r="W148">
        <v>-239.45470867896549</v>
      </c>
      <c r="X148">
        <v>62.881764099999998</v>
      </c>
      <c r="Y148">
        <v>92.282530800000004</v>
      </c>
      <c r="Z148">
        <v>177.97</v>
      </c>
      <c r="AA148">
        <v>233.31052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1.2510620538932402</v>
      </c>
    </row>
    <row r="149" spans="1:41" x14ac:dyDescent="0.3">
      <c r="A149">
        <v>910</v>
      </c>
      <c r="B149">
        <v>39</v>
      </c>
      <c r="C149">
        <v>19</v>
      </c>
      <c r="D149">
        <v>15</v>
      </c>
      <c r="E149">
        <v>10</v>
      </c>
      <c r="F149">
        <v>5</v>
      </c>
      <c r="G149">
        <v>1.2</v>
      </c>
      <c r="H149">
        <v>15</v>
      </c>
      <c r="I149">
        <v>13</v>
      </c>
      <c r="J149">
        <v>0.3</v>
      </c>
      <c r="K149">
        <v>510299271.11121953</v>
      </c>
      <c r="L149">
        <v>54483700</v>
      </c>
      <c r="M149">
        <v>79700881.780954987</v>
      </c>
      <c r="N149">
        <v>72577900</v>
      </c>
      <c r="O149">
        <v>15905295.84</v>
      </c>
      <c r="P149">
        <v>209.12337600000001</v>
      </c>
      <c r="Q149">
        <v>1.2745840188425901</v>
      </c>
      <c r="R149">
        <v>43.743466099999999</v>
      </c>
      <c r="S149">
        <v>783.16633400000001</v>
      </c>
      <c r="T149">
        <v>3.7219450900000002E-10</v>
      </c>
      <c r="U149">
        <v>23.657329706780157</v>
      </c>
      <c r="V149">
        <v>100.934</v>
      </c>
      <c r="W149">
        <v>-236.46032644701742</v>
      </c>
      <c r="X149">
        <v>62.727410200000001</v>
      </c>
      <c r="Y149">
        <v>92.030667600000001</v>
      </c>
      <c r="Z149">
        <v>144.29</v>
      </c>
      <c r="AA149">
        <v>246.17575600000001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1.2745840188425901</v>
      </c>
    </row>
    <row r="150" spans="1:41" x14ac:dyDescent="0.3">
      <c r="A150">
        <v>925.66130661529758</v>
      </c>
      <c r="B150">
        <v>39</v>
      </c>
      <c r="C150">
        <v>10</v>
      </c>
      <c r="D150">
        <v>15</v>
      </c>
      <c r="E150">
        <v>29</v>
      </c>
      <c r="F150">
        <v>5</v>
      </c>
      <c r="G150">
        <v>0.3</v>
      </c>
      <c r="H150">
        <v>29</v>
      </c>
      <c r="I150">
        <v>14</v>
      </c>
      <c r="J150">
        <v>0.3</v>
      </c>
      <c r="K150">
        <v>510716055.00975519</v>
      </c>
      <c r="L150">
        <v>54526800</v>
      </c>
      <c r="M150">
        <v>79689132.842765898</v>
      </c>
      <c r="N150">
        <v>72181400</v>
      </c>
      <c r="O150">
        <v>15890688.959999999</v>
      </c>
      <c r="P150">
        <v>212.05200600000001</v>
      </c>
      <c r="Q150">
        <v>1.2674664017573365</v>
      </c>
      <c r="R150">
        <v>43.715691700000001</v>
      </c>
      <c r="S150">
        <v>781.97711400000003</v>
      </c>
      <c r="T150">
        <v>4.0349593100000003E-9</v>
      </c>
      <c r="U150">
        <v>22.591599431809467</v>
      </c>
      <c r="V150">
        <v>100.934</v>
      </c>
      <c r="W150">
        <v>-237.1368740570573</v>
      </c>
      <c r="X150">
        <v>62.8497597</v>
      </c>
      <c r="Y150">
        <v>92.114231399999994</v>
      </c>
      <c r="Z150">
        <v>177.97</v>
      </c>
      <c r="AA150">
        <v>235.91850700000001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1.2674664017573365</v>
      </c>
    </row>
    <row r="151" spans="1:41" x14ac:dyDescent="0.3">
      <c r="A151">
        <v>930.09845189558632</v>
      </c>
      <c r="B151">
        <v>39</v>
      </c>
      <c r="C151">
        <v>10</v>
      </c>
      <c r="D151">
        <v>15</v>
      </c>
      <c r="E151">
        <v>29</v>
      </c>
      <c r="F151">
        <v>14</v>
      </c>
      <c r="G151">
        <v>0.3</v>
      </c>
      <c r="H151">
        <v>29</v>
      </c>
      <c r="I151">
        <v>14</v>
      </c>
      <c r="J151">
        <v>0.3</v>
      </c>
      <c r="K151">
        <v>510886003.32431817</v>
      </c>
      <c r="L151">
        <v>54532900</v>
      </c>
      <c r="M151">
        <v>79694825.92986919</v>
      </c>
      <c r="N151">
        <v>72368500</v>
      </c>
      <c r="O151">
        <v>15892441.76</v>
      </c>
      <c r="P151">
        <v>212.41891000000001</v>
      </c>
      <c r="Q151">
        <v>1.2620588612619632</v>
      </c>
      <c r="R151">
        <v>43.702243899999999</v>
      </c>
      <c r="S151">
        <v>781.71422899999993</v>
      </c>
      <c r="T151">
        <v>1.5903529199999999E-16</v>
      </c>
      <c r="U151">
        <v>22.703921203914</v>
      </c>
      <c r="V151">
        <v>100.934</v>
      </c>
      <c r="W151">
        <v>-238.32563761702275</v>
      </c>
      <c r="X151">
        <v>62.842118599999999</v>
      </c>
      <c r="Y151">
        <v>92.111191099999999</v>
      </c>
      <c r="Z151">
        <v>177.97</v>
      </c>
      <c r="AA151">
        <v>236.24353400000001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1.2620588612619632</v>
      </c>
    </row>
    <row r="152" spans="1:41" x14ac:dyDescent="0.3">
      <c r="A152">
        <v>921.45633374009901</v>
      </c>
      <c r="B152">
        <v>39</v>
      </c>
      <c r="C152">
        <v>10</v>
      </c>
      <c r="D152">
        <v>15</v>
      </c>
      <c r="E152">
        <v>10</v>
      </c>
      <c r="F152">
        <v>5</v>
      </c>
      <c r="G152">
        <v>0.3</v>
      </c>
      <c r="H152">
        <v>29</v>
      </c>
      <c r="I152">
        <v>14</v>
      </c>
      <c r="J152">
        <v>0.3</v>
      </c>
      <c r="K152">
        <v>510804483.40387058</v>
      </c>
      <c r="L152">
        <v>54486000</v>
      </c>
      <c r="M152">
        <v>79684031.540883929</v>
      </c>
      <c r="N152">
        <v>70930500</v>
      </c>
      <c r="O152">
        <v>15898617.280000001</v>
      </c>
      <c r="P152">
        <v>212.866951</v>
      </c>
      <c r="Q152">
        <v>1.2879905282380193</v>
      </c>
      <c r="R152">
        <v>43.588025700000003</v>
      </c>
      <c r="S152">
        <v>782.37647400000003</v>
      </c>
      <c r="T152">
        <v>5.5801813799999996E-9</v>
      </c>
      <c r="U152">
        <v>22.813854473723989</v>
      </c>
      <c r="V152">
        <v>100.934</v>
      </c>
      <c r="W152">
        <v>-241.40354593905312</v>
      </c>
      <c r="X152">
        <v>62.874253899999999</v>
      </c>
      <c r="Y152">
        <v>92.127963199999996</v>
      </c>
      <c r="Z152">
        <v>144.29</v>
      </c>
      <c r="AA152">
        <v>233.47307900000001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1.2879905282380193</v>
      </c>
    </row>
    <row r="153" spans="1:41" x14ac:dyDescent="0.3">
      <c r="A153">
        <v>937.40139237208246</v>
      </c>
      <c r="B153">
        <v>33</v>
      </c>
      <c r="C153">
        <v>14</v>
      </c>
      <c r="D153">
        <v>15</v>
      </c>
      <c r="E153">
        <v>29</v>
      </c>
      <c r="F153">
        <v>5</v>
      </c>
      <c r="G153">
        <v>1.2</v>
      </c>
      <c r="H153">
        <v>24</v>
      </c>
      <c r="I153">
        <v>14</v>
      </c>
      <c r="J153">
        <v>0.3</v>
      </c>
      <c r="K153">
        <v>510678158.62021589</v>
      </c>
      <c r="L153">
        <v>54537600</v>
      </c>
      <c r="M153">
        <v>79717427.778019771</v>
      </c>
      <c r="N153">
        <v>74947900</v>
      </c>
      <c r="O153">
        <v>15898416</v>
      </c>
      <c r="P153">
        <v>210.20235600000001</v>
      </c>
      <c r="Q153">
        <v>1.2206260355668477</v>
      </c>
      <c r="R153">
        <v>43.896288599999998</v>
      </c>
      <c r="S153">
        <v>783.33737599999995</v>
      </c>
      <c r="T153">
        <v>1.8460493199999999E-10</v>
      </c>
      <c r="U153">
        <v>24.687406800838016</v>
      </c>
      <c r="V153">
        <v>100.934</v>
      </c>
      <c r="W153">
        <v>-233.21142256144981</v>
      </c>
      <c r="X153">
        <v>62.739693099999997</v>
      </c>
      <c r="Y153">
        <v>92.207308699999999</v>
      </c>
      <c r="Z153">
        <v>180.98100000000002</v>
      </c>
      <c r="AA153">
        <v>245.26283100000001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1.2206260355668477</v>
      </c>
    </row>
    <row r="154" spans="1:41" x14ac:dyDescent="0.3">
      <c r="A154">
        <v>943.64875255477546</v>
      </c>
      <c r="B154">
        <v>27</v>
      </c>
      <c r="C154">
        <v>19</v>
      </c>
      <c r="D154">
        <v>15</v>
      </c>
      <c r="E154">
        <v>29</v>
      </c>
      <c r="F154">
        <v>14</v>
      </c>
      <c r="G154">
        <v>0.3</v>
      </c>
      <c r="H154">
        <v>29</v>
      </c>
      <c r="I154">
        <v>14</v>
      </c>
      <c r="J154">
        <v>0.3</v>
      </c>
      <c r="K154">
        <v>510804288.00096953</v>
      </c>
      <c r="L154">
        <v>54527300</v>
      </c>
      <c r="M154">
        <v>79711903.283655941</v>
      </c>
      <c r="N154">
        <v>72764800</v>
      </c>
      <c r="O154">
        <v>15899048.800000001</v>
      </c>
      <c r="P154">
        <v>213.39039099999999</v>
      </c>
      <c r="Q154">
        <v>1.2477392729021515</v>
      </c>
      <c r="R154">
        <v>43.700676399999999</v>
      </c>
      <c r="S154">
        <v>781.73429899999996</v>
      </c>
      <c r="T154">
        <v>1.71038693E-12</v>
      </c>
      <c r="U154">
        <v>22.704196410110999</v>
      </c>
      <c r="V154">
        <v>91.850000000000009</v>
      </c>
      <c r="W154">
        <v>-239.43146784026968</v>
      </c>
      <c r="X154">
        <v>62.8210975</v>
      </c>
      <c r="Y154">
        <v>92.455990900000003</v>
      </c>
      <c r="Z154">
        <v>177.97</v>
      </c>
      <c r="AA154">
        <v>236.20639700000001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1.2477392729021515</v>
      </c>
    </row>
    <row r="155" spans="1:41" x14ac:dyDescent="0.3">
      <c r="A155">
        <v>910</v>
      </c>
      <c r="B155">
        <v>39</v>
      </c>
      <c r="C155">
        <v>10</v>
      </c>
      <c r="D155">
        <v>15</v>
      </c>
      <c r="E155">
        <v>10</v>
      </c>
      <c r="F155">
        <v>8</v>
      </c>
      <c r="G155">
        <v>0.3</v>
      </c>
      <c r="H155">
        <v>29</v>
      </c>
      <c r="I155">
        <v>7</v>
      </c>
      <c r="J155">
        <v>0.3</v>
      </c>
      <c r="K155">
        <v>510728341.9112432</v>
      </c>
      <c r="L155">
        <v>54468400</v>
      </c>
      <c r="M155">
        <v>79667546.742312774</v>
      </c>
      <c r="N155">
        <v>68385300</v>
      </c>
      <c r="O155">
        <v>15896337.600000001</v>
      </c>
      <c r="P155">
        <v>213.73163</v>
      </c>
      <c r="Q155">
        <v>1.3347421480377912</v>
      </c>
      <c r="R155">
        <v>43.408953199999999</v>
      </c>
      <c r="S155">
        <v>783.39817700000003</v>
      </c>
      <c r="T155">
        <v>6.1795709100000004E-11</v>
      </c>
      <c r="U155">
        <v>22.505966464530101</v>
      </c>
      <c r="V155">
        <v>100.934</v>
      </c>
      <c r="W155">
        <v>-237.70449153583743</v>
      </c>
      <c r="X155">
        <v>62.906258000000001</v>
      </c>
      <c r="Y155">
        <v>92.1432346</v>
      </c>
      <c r="Z155">
        <v>100.934</v>
      </c>
      <c r="AA155">
        <v>227.90813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1.3347421480377912</v>
      </c>
    </row>
    <row r="156" spans="1:41" x14ac:dyDescent="0.3">
      <c r="A156">
        <v>935.9959424090124</v>
      </c>
      <c r="B156">
        <v>39</v>
      </c>
      <c r="C156">
        <v>19</v>
      </c>
      <c r="D156">
        <v>15</v>
      </c>
      <c r="E156">
        <v>20</v>
      </c>
      <c r="F156">
        <v>5</v>
      </c>
      <c r="G156">
        <v>1.2</v>
      </c>
      <c r="H156">
        <v>29</v>
      </c>
      <c r="I156">
        <v>14</v>
      </c>
      <c r="J156">
        <v>0.3</v>
      </c>
      <c r="K156">
        <v>510820672.61060798</v>
      </c>
      <c r="L156">
        <v>54532300</v>
      </c>
      <c r="M156">
        <v>79712226.572078913</v>
      </c>
      <c r="N156">
        <v>74638400</v>
      </c>
      <c r="O156">
        <v>15897532.08</v>
      </c>
      <c r="P156">
        <v>210.50523799999999</v>
      </c>
      <c r="Q156">
        <v>1.225708489188404</v>
      </c>
      <c r="R156">
        <v>43.8762306</v>
      </c>
      <c r="S156">
        <v>783.23460499999999</v>
      </c>
      <c r="T156">
        <v>2.01215546E-10</v>
      </c>
      <c r="U156">
        <v>24.427760615026976</v>
      </c>
      <c r="V156">
        <v>100.934</v>
      </c>
      <c r="W156">
        <v>-234.30657751258141</v>
      </c>
      <c r="X156">
        <v>62.765153099999999</v>
      </c>
      <c r="Y156">
        <v>92.059233000000006</v>
      </c>
      <c r="Z156">
        <v>180.98100000000002</v>
      </c>
      <c r="AA156">
        <v>242.95883699999999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1.225708489188404</v>
      </c>
    </row>
    <row r="157" spans="1:41" x14ac:dyDescent="0.3">
      <c r="A157">
        <v>910</v>
      </c>
      <c r="B157">
        <v>39</v>
      </c>
      <c r="C157">
        <v>10</v>
      </c>
      <c r="D157">
        <v>15</v>
      </c>
      <c r="E157">
        <v>16</v>
      </c>
      <c r="F157">
        <v>14</v>
      </c>
      <c r="G157">
        <v>0.3</v>
      </c>
      <c r="H157">
        <v>29</v>
      </c>
      <c r="I157">
        <v>14</v>
      </c>
      <c r="J157">
        <v>1.4</v>
      </c>
      <c r="K157">
        <v>510859297.87853742</v>
      </c>
      <c r="L157">
        <v>54465900</v>
      </c>
      <c r="M157">
        <v>79665744.725700259</v>
      </c>
      <c r="N157">
        <v>68312100</v>
      </c>
      <c r="O157">
        <v>15895845.76</v>
      </c>
      <c r="P157">
        <v>213.91143</v>
      </c>
      <c r="Q157">
        <v>1.3354948304531766</v>
      </c>
      <c r="R157">
        <v>43.409148000000002</v>
      </c>
      <c r="S157">
        <v>783.16988300000003</v>
      </c>
      <c r="T157">
        <v>2.4465549300000002E-15</v>
      </c>
      <c r="U157">
        <v>22.450147258210027</v>
      </c>
      <c r="V157">
        <v>100.934</v>
      </c>
      <c r="W157">
        <v>-237.81342196139951</v>
      </c>
      <c r="X157">
        <v>62.919499799999997</v>
      </c>
      <c r="Y157">
        <v>92.150832100000002</v>
      </c>
      <c r="Z157">
        <v>100.934</v>
      </c>
      <c r="AA157">
        <v>227.01243400000001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1.3354948304531766</v>
      </c>
    </row>
    <row r="158" spans="1:41" x14ac:dyDescent="0.3">
      <c r="A158">
        <v>937.54269444663782</v>
      </c>
      <c r="B158">
        <v>32</v>
      </c>
      <c r="C158">
        <v>18</v>
      </c>
      <c r="D158">
        <v>15</v>
      </c>
      <c r="E158">
        <v>24</v>
      </c>
      <c r="F158">
        <v>14</v>
      </c>
      <c r="G158">
        <v>0.3</v>
      </c>
      <c r="H158">
        <v>10</v>
      </c>
      <c r="I158">
        <v>8</v>
      </c>
      <c r="J158">
        <v>0.5900445839452767</v>
      </c>
      <c r="K158">
        <v>510239277.51426804</v>
      </c>
      <c r="L158">
        <v>54485700</v>
      </c>
      <c r="M158">
        <v>79699809.030672863</v>
      </c>
      <c r="N158">
        <v>72613900</v>
      </c>
      <c r="O158">
        <v>15895165.52</v>
      </c>
      <c r="P158">
        <v>213.855975</v>
      </c>
      <c r="Q158">
        <v>1.2454854182812469</v>
      </c>
      <c r="R158">
        <v>43.676982600000002</v>
      </c>
      <c r="S158">
        <v>781.59472399999993</v>
      </c>
      <c r="T158">
        <v>1.94859398E-16</v>
      </c>
      <c r="U158">
        <v>22.719428811162999</v>
      </c>
      <c r="V158">
        <v>100.934</v>
      </c>
      <c r="W158">
        <v>-241.53138928526189</v>
      </c>
      <c r="X158">
        <v>62.906791300000002</v>
      </c>
      <c r="Y158">
        <v>92.338268600000006</v>
      </c>
      <c r="Z158">
        <v>165.7</v>
      </c>
      <c r="AA158">
        <v>236.734273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1.2454854182812469</v>
      </c>
    </row>
    <row r="159" spans="1:41" x14ac:dyDescent="0.3">
      <c r="A159">
        <v>910</v>
      </c>
      <c r="B159">
        <v>39</v>
      </c>
      <c r="C159">
        <v>10</v>
      </c>
      <c r="D159">
        <v>15</v>
      </c>
      <c r="E159">
        <v>24</v>
      </c>
      <c r="F159">
        <v>5</v>
      </c>
      <c r="G159">
        <v>0.3</v>
      </c>
      <c r="H159">
        <v>16</v>
      </c>
      <c r="I159">
        <v>14</v>
      </c>
      <c r="J159">
        <v>0.3</v>
      </c>
      <c r="K159">
        <v>510293470.48293185</v>
      </c>
      <c r="L159">
        <v>54476300</v>
      </c>
      <c r="M159">
        <v>79675354.314470828</v>
      </c>
      <c r="N159">
        <v>71787900</v>
      </c>
      <c r="O159">
        <v>15898107.279999999</v>
      </c>
      <c r="P159">
        <v>211.057592</v>
      </c>
      <c r="Q159">
        <v>1.2792529073583063</v>
      </c>
      <c r="R159">
        <v>43.707988700000001</v>
      </c>
      <c r="S159">
        <v>782.07807300000002</v>
      </c>
      <c r="T159">
        <v>4.1075657199999997E-9</v>
      </c>
      <c r="U159">
        <v>22.707279368538284</v>
      </c>
      <c r="V159">
        <v>100.934</v>
      </c>
      <c r="W159">
        <v>-237.75620443750401</v>
      </c>
      <c r="X159">
        <v>62.860368999999999</v>
      </c>
      <c r="Y159">
        <v>92.116916799999998</v>
      </c>
      <c r="Z159">
        <v>177.97</v>
      </c>
      <c r="AA159">
        <v>236.44541599999999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1.2792529073583063</v>
      </c>
    </row>
    <row r="160" spans="1:41" x14ac:dyDescent="0.3">
      <c r="A160">
        <v>943.76440351621943</v>
      </c>
      <c r="B160">
        <v>27</v>
      </c>
      <c r="C160">
        <v>10</v>
      </c>
      <c r="D160">
        <v>15</v>
      </c>
      <c r="E160">
        <v>29</v>
      </c>
      <c r="F160">
        <v>5</v>
      </c>
      <c r="G160">
        <v>0.3</v>
      </c>
      <c r="H160">
        <v>29</v>
      </c>
      <c r="I160">
        <v>14</v>
      </c>
      <c r="J160">
        <v>1.4</v>
      </c>
      <c r="K160">
        <v>510874780.36352837</v>
      </c>
      <c r="L160">
        <v>54519900</v>
      </c>
      <c r="M160">
        <v>79705195.616378516</v>
      </c>
      <c r="N160">
        <v>72641500</v>
      </c>
      <c r="O160">
        <v>15896682.32</v>
      </c>
      <c r="P160">
        <v>213.8648</v>
      </c>
      <c r="Q160">
        <v>1.2475874827839102</v>
      </c>
      <c r="R160">
        <v>43.715932199999997</v>
      </c>
      <c r="S160">
        <v>781.88116300000002</v>
      </c>
      <c r="T160">
        <v>3.9895310099999997E-9</v>
      </c>
      <c r="U160">
        <v>22.549076703570176</v>
      </c>
      <c r="V160">
        <v>100.934</v>
      </c>
      <c r="W160">
        <v>-238.23291854752676</v>
      </c>
      <c r="X160">
        <v>62.871900699999998</v>
      </c>
      <c r="Y160">
        <v>92.458335500000004</v>
      </c>
      <c r="Z160">
        <v>177.97</v>
      </c>
      <c r="AA160">
        <v>233.18187800000001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1.2475874827839102</v>
      </c>
    </row>
    <row r="161" spans="1:41" x14ac:dyDescent="0.3">
      <c r="A161">
        <v>926.73835303680755</v>
      </c>
      <c r="B161">
        <v>39</v>
      </c>
      <c r="C161">
        <v>10</v>
      </c>
      <c r="D161">
        <v>1</v>
      </c>
      <c r="E161">
        <v>10</v>
      </c>
      <c r="F161">
        <v>5</v>
      </c>
      <c r="G161">
        <v>1.2</v>
      </c>
      <c r="H161">
        <v>29</v>
      </c>
      <c r="I161">
        <v>14</v>
      </c>
      <c r="J161">
        <v>1.4</v>
      </c>
      <c r="K161">
        <v>508113672.13732433</v>
      </c>
      <c r="L161">
        <v>54450700</v>
      </c>
      <c r="M161">
        <v>79684023.983106762</v>
      </c>
      <c r="N161">
        <v>73566200</v>
      </c>
      <c r="O161">
        <v>15882007.600000001</v>
      </c>
      <c r="P161">
        <v>209.082796</v>
      </c>
      <c r="Q161">
        <v>1.2461725540351734</v>
      </c>
      <c r="R161">
        <v>43.696579499999999</v>
      </c>
      <c r="S161">
        <v>783.27879499999995</v>
      </c>
      <c r="T161">
        <v>3.2420793999999998E-10</v>
      </c>
      <c r="U161">
        <v>23.357007153264959</v>
      </c>
      <c r="V161">
        <v>80.72</v>
      </c>
      <c r="W161">
        <v>-139.94477377197236</v>
      </c>
      <c r="X161">
        <v>64.245214899999993</v>
      </c>
      <c r="Y161">
        <v>94.964275900000004</v>
      </c>
      <c r="Z161">
        <v>144.29</v>
      </c>
      <c r="AA161">
        <v>235.46662000000001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1.2461725540351734</v>
      </c>
    </row>
    <row r="162" spans="1:41" x14ac:dyDescent="0.3">
      <c r="A162">
        <v>932.55663511991861</v>
      </c>
      <c r="B162">
        <v>39</v>
      </c>
      <c r="C162">
        <v>19</v>
      </c>
      <c r="D162">
        <v>1</v>
      </c>
      <c r="E162">
        <v>18</v>
      </c>
      <c r="F162">
        <v>5</v>
      </c>
      <c r="G162">
        <v>1.2</v>
      </c>
      <c r="H162">
        <v>29</v>
      </c>
      <c r="I162">
        <v>14</v>
      </c>
      <c r="J162">
        <v>1.4</v>
      </c>
      <c r="K162">
        <v>508257168.92167234</v>
      </c>
      <c r="L162">
        <v>54459200</v>
      </c>
      <c r="M162">
        <v>79691914.989499837</v>
      </c>
      <c r="N162">
        <v>75219700</v>
      </c>
      <c r="O162">
        <v>15884408.719999999</v>
      </c>
      <c r="P162">
        <v>208.19851600000001</v>
      </c>
      <c r="Q162">
        <v>1.2170550972165501</v>
      </c>
      <c r="R162">
        <v>43.808678899999997</v>
      </c>
      <c r="S162">
        <v>783.40593000000001</v>
      </c>
      <c r="T162">
        <v>1.80887366E-10</v>
      </c>
      <c r="U162">
        <v>24.193800773012114</v>
      </c>
      <c r="V162">
        <v>80.72</v>
      </c>
      <c r="W162">
        <v>-144.50080983302848</v>
      </c>
      <c r="X162">
        <v>63.143747599999998</v>
      </c>
      <c r="Y162">
        <v>94.935232799999994</v>
      </c>
      <c r="Z162">
        <v>177.97</v>
      </c>
      <c r="AA162">
        <v>239.43730600000001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1.2170550972165501</v>
      </c>
    </row>
    <row r="163" spans="1:41" x14ac:dyDescent="0.3">
      <c r="A163">
        <v>930.56818022225616</v>
      </c>
      <c r="B163">
        <v>36</v>
      </c>
      <c r="C163">
        <v>19</v>
      </c>
      <c r="D163">
        <v>1.8891505711225074</v>
      </c>
      <c r="E163">
        <v>14</v>
      </c>
      <c r="F163">
        <v>11</v>
      </c>
      <c r="G163">
        <v>0.48973414216833006</v>
      </c>
      <c r="H163">
        <v>16</v>
      </c>
      <c r="I163">
        <v>14</v>
      </c>
      <c r="J163">
        <v>0.96697669454917723</v>
      </c>
      <c r="K163">
        <v>508001457.86814004</v>
      </c>
      <c r="L163">
        <v>54420300</v>
      </c>
      <c r="M163">
        <v>79687917.414118901</v>
      </c>
      <c r="N163">
        <v>71208800</v>
      </c>
      <c r="O163">
        <v>15884281.6</v>
      </c>
      <c r="P163">
        <v>214.04263700000001</v>
      </c>
      <c r="Q163">
        <v>1.2649313194959619</v>
      </c>
      <c r="R163">
        <v>43.5724011</v>
      </c>
      <c r="S163">
        <v>782.08864800000003</v>
      </c>
      <c r="T163">
        <v>1.38768527E-14</v>
      </c>
      <c r="U163">
        <v>22.600029304618928</v>
      </c>
      <c r="V163">
        <v>91.850000000000009</v>
      </c>
      <c r="W163">
        <v>-240.46745764411187</v>
      </c>
      <c r="X163">
        <v>62.934026299999999</v>
      </c>
      <c r="Y163">
        <v>93.031170099999997</v>
      </c>
      <c r="Z163">
        <v>121.52199999999999</v>
      </c>
      <c r="AA163">
        <v>232.97655399999999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1.2649313194959619</v>
      </c>
    </row>
    <row r="164" spans="1:41" x14ac:dyDescent="0.3">
      <c r="A164">
        <v>942.63196694208443</v>
      </c>
      <c r="B164">
        <v>39</v>
      </c>
      <c r="C164">
        <v>10</v>
      </c>
      <c r="D164">
        <v>15</v>
      </c>
      <c r="E164">
        <v>29</v>
      </c>
      <c r="F164">
        <v>14</v>
      </c>
      <c r="G164">
        <v>1.2</v>
      </c>
      <c r="H164">
        <v>29</v>
      </c>
      <c r="I164">
        <v>14</v>
      </c>
      <c r="J164">
        <v>0.3</v>
      </c>
      <c r="K164">
        <v>511303375.78004909</v>
      </c>
      <c r="L164">
        <v>54579500</v>
      </c>
      <c r="M164">
        <v>79729524.602717936</v>
      </c>
      <c r="N164">
        <v>75721000</v>
      </c>
      <c r="O164">
        <v>15903185.68</v>
      </c>
      <c r="P164">
        <v>209.66629399999999</v>
      </c>
      <c r="Q164">
        <v>1.2103764017222429</v>
      </c>
      <c r="R164">
        <v>43.943885600000002</v>
      </c>
      <c r="S164">
        <v>784.05475200000001</v>
      </c>
      <c r="T164">
        <v>3.88699738E-21</v>
      </c>
      <c r="U164">
        <v>25.354827532047931</v>
      </c>
      <c r="V164">
        <v>100.934</v>
      </c>
      <c r="W164">
        <v>-232.20906430268485</v>
      </c>
      <c r="X164">
        <v>62.693860399999998</v>
      </c>
      <c r="Y164">
        <v>92.029978</v>
      </c>
      <c r="Z164">
        <v>180.98100000000002</v>
      </c>
      <c r="AA164">
        <v>253.42983799999999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0.1419310128191725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1.3523074145414153</v>
      </c>
    </row>
    <row r="165" spans="1:41" x14ac:dyDescent="0.3">
      <c r="A165">
        <v>934.89166377888046</v>
      </c>
      <c r="B165">
        <v>38</v>
      </c>
      <c r="C165">
        <v>10</v>
      </c>
      <c r="D165">
        <v>2.4274312925933001</v>
      </c>
      <c r="E165">
        <v>11</v>
      </c>
      <c r="F165">
        <v>6</v>
      </c>
      <c r="G165">
        <v>1.2</v>
      </c>
      <c r="H165">
        <v>10</v>
      </c>
      <c r="I165">
        <v>8</v>
      </c>
      <c r="J165">
        <v>0.74966160037240692</v>
      </c>
      <c r="K165">
        <v>507959886.38611591</v>
      </c>
      <c r="L165">
        <v>54430300</v>
      </c>
      <c r="M165">
        <v>79698515.330327079</v>
      </c>
      <c r="N165">
        <v>73796400</v>
      </c>
      <c r="O165">
        <v>15886817.440000001</v>
      </c>
      <c r="P165">
        <v>212.10229100000001</v>
      </c>
      <c r="Q165">
        <v>1.2227242274142343</v>
      </c>
      <c r="R165">
        <v>43.766780099999998</v>
      </c>
      <c r="S165">
        <v>782.96069899999998</v>
      </c>
      <c r="T165">
        <v>2.9049746200000001E-11</v>
      </c>
      <c r="U165">
        <v>23.64082782947327</v>
      </c>
      <c r="V165">
        <v>100.934</v>
      </c>
      <c r="W165">
        <v>-230.9853193266608</v>
      </c>
      <c r="X165">
        <v>62.898989999999998</v>
      </c>
      <c r="Y165">
        <v>92.992860399999998</v>
      </c>
      <c r="Z165">
        <v>144.29</v>
      </c>
      <c r="AA165">
        <v>240.96780799999999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1.2227242274142343</v>
      </c>
    </row>
    <row r="166" spans="1:41" x14ac:dyDescent="0.3">
      <c r="A166">
        <v>910</v>
      </c>
      <c r="B166">
        <v>27</v>
      </c>
      <c r="C166">
        <v>19</v>
      </c>
      <c r="D166">
        <v>15</v>
      </c>
      <c r="E166">
        <v>10</v>
      </c>
      <c r="F166">
        <v>5</v>
      </c>
      <c r="G166">
        <v>0.3</v>
      </c>
      <c r="H166">
        <v>10</v>
      </c>
      <c r="I166">
        <v>7</v>
      </c>
      <c r="J166">
        <v>1.4</v>
      </c>
      <c r="K166">
        <v>509763664.24867195</v>
      </c>
      <c r="L166">
        <v>54413900</v>
      </c>
      <c r="M166">
        <v>79666645.254300907</v>
      </c>
      <c r="N166">
        <v>70584500</v>
      </c>
      <c r="O166">
        <v>15896072.959999999</v>
      </c>
      <c r="P166">
        <v>212.440776</v>
      </c>
      <c r="Q166">
        <v>1.292939822145756</v>
      </c>
      <c r="R166">
        <v>43.589577400000003</v>
      </c>
      <c r="S166">
        <v>782.21688899999992</v>
      </c>
      <c r="T166">
        <v>5.5656507799999999E-9</v>
      </c>
      <c r="U166">
        <v>22.763231432576518</v>
      </c>
      <c r="V166">
        <v>91.850000000000009</v>
      </c>
      <c r="W166">
        <v>-243.05645859960401</v>
      </c>
      <c r="X166">
        <v>62.933561900000001</v>
      </c>
      <c r="Y166">
        <v>92.509930600000004</v>
      </c>
      <c r="Z166">
        <v>144.29</v>
      </c>
      <c r="AA166">
        <v>231.50253900000001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1.292939822145756</v>
      </c>
    </row>
    <row r="167" spans="1:41" x14ac:dyDescent="0.3">
      <c r="A167">
        <v>935.81029177071628</v>
      </c>
      <c r="B167">
        <v>39</v>
      </c>
      <c r="C167">
        <v>10</v>
      </c>
      <c r="D167">
        <v>1.6543970526547973</v>
      </c>
      <c r="E167">
        <v>29</v>
      </c>
      <c r="F167">
        <v>9</v>
      </c>
      <c r="G167">
        <v>0.3</v>
      </c>
      <c r="H167">
        <v>16</v>
      </c>
      <c r="I167">
        <v>14</v>
      </c>
      <c r="J167">
        <v>0.50746973875222812</v>
      </c>
      <c r="K167">
        <v>508301293.03286391</v>
      </c>
      <c r="L167">
        <v>54463900</v>
      </c>
      <c r="M167">
        <v>79695609.691166878</v>
      </c>
      <c r="N167">
        <v>72761400</v>
      </c>
      <c r="O167">
        <v>15885634.879999999</v>
      </c>
      <c r="P167">
        <v>212.71356700000001</v>
      </c>
      <c r="Q167">
        <v>1.242476178851325</v>
      </c>
      <c r="R167">
        <v>43.694025699999997</v>
      </c>
      <c r="S167">
        <v>781.97554000000002</v>
      </c>
      <c r="T167">
        <v>1.8370469200000001E-12</v>
      </c>
      <c r="U167">
        <v>22.626524881691505</v>
      </c>
      <c r="V167">
        <v>100.934</v>
      </c>
      <c r="W167">
        <v>-208.11396117815434</v>
      </c>
      <c r="X167">
        <v>62.949645400000001</v>
      </c>
      <c r="Y167">
        <v>93.485377200000002</v>
      </c>
      <c r="Z167">
        <v>177.97</v>
      </c>
      <c r="AA167">
        <v>234.940888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1.242476178851325</v>
      </c>
    </row>
    <row r="168" spans="1:41" x14ac:dyDescent="0.3">
      <c r="A168">
        <v>910</v>
      </c>
      <c r="B168">
        <v>39</v>
      </c>
      <c r="C168">
        <v>10</v>
      </c>
      <c r="D168">
        <v>15</v>
      </c>
      <c r="E168">
        <v>29</v>
      </c>
      <c r="F168">
        <v>14</v>
      </c>
      <c r="G168">
        <v>1.2</v>
      </c>
      <c r="H168">
        <v>29</v>
      </c>
      <c r="I168">
        <v>14</v>
      </c>
      <c r="J168">
        <v>1.4</v>
      </c>
      <c r="K168">
        <v>510656662.56403977</v>
      </c>
      <c r="L168">
        <v>54504200</v>
      </c>
      <c r="M168">
        <v>79669246.680474907</v>
      </c>
      <c r="N168">
        <v>75317800</v>
      </c>
      <c r="O168">
        <v>15896161.359999999</v>
      </c>
      <c r="P168">
        <v>209.30697799999999</v>
      </c>
      <c r="Q168">
        <v>1.2172722315920315</v>
      </c>
      <c r="R168">
        <v>43.950773300000002</v>
      </c>
      <c r="S168">
        <v>783.41691400000002</v>
      </c>
      <c r="T168">
        <v>3.8018323300000001E-21</v>
      </c>
      <c r="U168">
        <v>25.135500681396799</v>
      </c>
      <c r="V168">
        <v>100.934</v>
      </c>
      <c r="W168">
        <v>-235.21250512703392</v>
      </c>
      <c r="X168">
        <v>62.916192299999999</v>
      </c>
      <c r="Y168">
        <v>92.148937599999996</v>
      </c>
      <c r="Z168">
        <v>180.98100000000002</v>
      </c>
      <c r="AA168">
        <v>255.097612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5.4200272558719571E-2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1.2714725041507511</v>
      </c>
    </row>
    <row r="169" spans="1:41" x14ac:dyDescent="0.3">
      <c r="A169">
        <v>939.79833997964943</v>
      </c>
      <c r="B169">
        <v>27</v>
      </c>
      <c r="C169">
        <v>10</v>
      </c>
      <c r="D169">
        <v>15</v>
      </c>
      <c r="E169">
        <v>29</v>
      </c>
      <c r="F169">
        <v>14</v>
      </c>
      <c r="G169">
        <v>1.2</v>
      </c>
      <c r="H169">
        <v>22</v>
      </c>
      <c r="I169">
        <v>7</v>
      </c>
      <c r="J169">
        <v>0.3</v>
      </c>
      <c r="K169">
        <v>510322436.08983278</v>
      </c>
      <c r="L169">
        <v>54523400</v>
      </c>
      <c r="M169">
        <v>79727030.618452176</v>
      </c>
      <c r="N169">
        <v>75605900</v>
      </c>
      <c r="O169">
        <v>15901947.039999999</v>
      </c>
      <c r="P169">
        <v>209.35571100000001</v>
      </c>
      <c r="Q169">
        <v>1.2102352663076681</v>
      </c>
      <c r="R169">
        <v>43.941870199999997</v>
      </c>
      <c r="S169">
        <v>784.09358500000008</v>
      </c>
      <c r="T169">
        <v>3.8879054599999997E-21</v>
      </c>
      <c r="U169">
        <v>25.364494163198348</v>
      </c>
      <c r="V169">
        <v>100.934</v>
      </c>
      <c r="W169">
        <v>-232.09160924867115</v>
      </c>
      <c r="X169">
        <v>62.690088000000003</v>
      </c>
      <c r="Y169">
        <v>92.359151699999998</v>
      </c>
      <c r="Z169">
        <v>180.98100000000002</v>
      </c>
      <c r="AA169">
        <v>253.289725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0.14579766527933913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1.3560329315870072</v>
      </c>
    </row>
    <row r="170" spans="1:41" x14ac:dyDescent="0.3">
      <c r="A170">
        <v>937.15707271324925</v>
      </c>
      <c r="B170">
        <v>27</v>
      </c>
      <c r="C170">
        <v>19</v>
      </c>
      <c r="D170">
        <v>15</v>
      </c>
      <c r="E170">
        <v>29</v>
      </c>
      <c r="F170">
        <v>14</v>
      </c>
      <c r="G170">
        <v>0.3</v>
      </c>
      <c r="H170">
        <v>16</v>
      </c>
      <c r="I170">
        <v>14</v>
      </c>
      <c r="J170">
        <v>1.4</v>
      </c>
      <c r="K170">
        <v>510234465.67426419</v>
      </c>
      <c r="L170">
        <v>54481800</v>
      </c>
      <c r="M170">
        <v>79696806.859979331</v>
      </c>
      <c r="N170">
        <v>72622000</v>
      </c>
      <c r="O170">
        <v>15893994.640000001</v>
      </c>
      <c r="P170">
        <v>213.54914099999999</v>
      </c>
      <c r="Q170">
        <v>1.2470116180206823</v>
      </c>
      <c r="R170">
        <v>43.704342199999999</v>
      </c>
      <c r="S170">
        <v>781.51934899999992</v>
      </c>
      <c r="T170">
        <v>1.70464951E-12</v>
      </c>
      <c r="U170">
        <v>22.635148873029998</v>
      </c>
      <c r="V170">
        <v>91.850000000000009</v>
      </c>
      <c r="W170">
        <v>-240.53344973049388</v>
      </c>
      <c r="X170">
        <v>62.896867899999997</v>
      </c>
      <c r="Y170">
        <v>92.495624699999993</v>
      </c>
      <c r="Z170">
        <v>177.97</v>
      </c>
      <c r="AA170">
        <v>235.476575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1.2470116180206823</v>
      </c>
    </row>
    <row r="171" spans="1:41" x14ac:dyDescent="0.3">
      <c r="A171">
        <v>933.9133903265888</v>
      </c>
      <c r="B171">
        <v>39</v>
      </c>
      <c r="C171">
        <v>19</v>
      </c>
      <c r="D171">
        <v>1</v>
      </c>
      <c r="E171">
        <v>10</v>
      </c>
      <c r="F171">
        <v>5</v>
      </c>
      <c r="G171">
        <v>1.2</v>
      </c>
      <c r="H171">
        <v>29</v>
      </c>
      <c r="I171">
        <v>7</v>
      </c>
      <c r="J171">
        <v>1.4</v>
      </c>
      <c r="K171">
        <v>508283784.59081781</v>
      </c>
      <c r="L171">
        <v>54460300</v>
      </c>
      <c r="M171">
        <v>79692912.340127915</v>
      </c>
      <c r="N171">
        <v>73817700</v>
      </c>
      <c r="O171">
        <v>15884942.639999999</v>
      </c>
      <c r="P171">
        <v>209.08946499999999</v>
      </c>
      <c r="Q171">
        <v>1.2415780709697684</v>
      </c>
      <c r="R171">
        <v>43.6948382</v>
      </c>
      <c r="S171">
        <v>783.306558</v>
      </c>
      <c r="T171">
        <v>3.1328890699999998E-10</v>
      </c>
      <c r="U171">
        <v>23.584195578711096</v>
      </c>
      <c r="V171">
        <v>80.72</v>
      </c>
      <c r="W171">
        <v>-148.18649504315403</v>
      </c>
      <c r="X171">
        <v>63.142139999999998</v>
      </c>
      <c r="Y171">
        <v>94.934364799999997</v>
      </c>
      <c r="Z171">
        <v>144.29</v>
      </c>
      <c r="AA171">
        <v>234.98855699999999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1.2415780709697684</v>
      </c>
    </row>
    <row r="172" spans="1:41" x14ac:dyDescent="0.3">
      <c r="A172">
        <v>940.47816938648941</v>
      </c>
      <c r="B172">
        <v>36</v>
      </c>
      <c r="C172">
        <v>16</v>
      </c>
      <c r="D172">
        <v>15</v>
      </c>
      <c r="E172">
        <v>29</v>
      </c>
      <c r="F172">
        <v>14</v>
      </c>
      <c r="G172">
        <v>0.3</v>
      </c>
      <c r="H172">
        <v>22</v>
      </c>
      <c r="I172">
        <v>7</v>
      </c>
      <c r="J172">
        <v>0.3</v>
      </c>
      <c r="K172">
        <v>510663497.62800205</v>
      </c>
      <c r="L172">
        <v>54542200</v>
      </c>
      <c r="M172">
        <v>79709310.383915171</v>
      </c>
      <c r="N172">
        <v>72568900</v>
      </c>
      <c r="O172">
        <v>15897746.639999999</v>
      </c>
      <c r="P172">
        <v>213.009862</v>
      </c>
      <c r="Q172">
        <v>1.2538881323899091</v>
      </c>
      <c r="R172">
        <v>43.7143874</v>
      </c>
      <c r="S172">
        <v>782.05036699999994</v>
      </c>
      <c r="T172">
        <v>4.02183989E-9</v>
      </c>
      <c r="U172">
        <v>22.61019989337915</v>
      </c>
      <c r="V172">
        <v>100.934</v>
      </c>
      <c r="W172">
        <v>-237.3375400441538</v>
      </c>
      <c r="X172">
        <v>62.813876200000003</v>
      </c>
      <c r="Y172">
        <v>92.166372100000004</v>
      </c>
      <c r="Z172">
        <v>177.97</v>
      </c>
      <c r="AA172">
        <v>235.86991699999999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1.2538881323899091</v>
      </c>
    </row>
    <row r="173" spans="1:41" x14ac:dyDescent="0.3">
      <c r="A173">
        <v>942.62427154057821</v>
      </c>
      <c r="B173">
        <v>36</v>
      </c>
      <c r="C173">
        <v>19</v>
      </c>
      <c r="D173">
        <v>11.035317018441482</v>
      </c>
      <c r="E173">
        <v>18</v>
      </c>
      <c r="F173">
        <v>5</v>
      </c>
      <c r="G173">
        <v>0.3</v>
      </c>
      <c r="H173">
        <v>17</v>
      </c>
      <c r="I173">
        <v>7</v>
      </c>
      <c r="J173">
        <v>0.3</v>
      </c>
      <c r="K173">
        <v>509953507.2537545</v>
      </c>
      <c r="L173">
        <v>54505400</v>
      </c>
      <c r="M173">
        <v>79711806.477447495</v>
      </c>
      <c r="N173">
        <v>72457500</v>
      </c>
      <c r="O173">
        <v>15896786.640000001</v>
      </c>
      <c r="P173">
        <v>213.22041300000001</v>
      </c>
      <c r="Q173">
        <v>1.2519339189609657</v>
      </c>
      <c r="R173">
        <v>43.688071899999997</v>
      </c>
      <c r="S173">
        <v>782.29294800000002</v>
      </c>
      <c r="T173">
        <v>4.2290527600000003E-9</v>
      </c>
      <c r="U173">
        <v>22.879402555579141</v>
      </c>
      <c r="V173">
        <v>100.934</v>
      </c>
      <c r="W173">
        <v>-239.70742518065106</v>
      </c>
      <c r="X173">
        <v>62.812807300000003</v>
      </c>
      <c r="Y173">
        <v>92.230751699999999</v>
      </c>
      <c r="Z173">
        <v>177.97</v>
      </c>
      <c r="AA173">
        <v>235.77273600000001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1.2519339189609657</v>
      </c>
    </row>
    <row r="174" spans="1:41" x14ac:dyDescent="0.3">
      <c r="A174">
        <v>939.07586492307632</v>
      </c>
      <c r="B174">
        <v>27</v>
      </c>
      <c r="C174">
        <v>10</v>
      </c>
      <c r="D174">
        <v>8.6588860323996677</v>
      </c>
      <c r="E174">
        <v>29</v>
      </c>
      <c r="F174">
        <v>14</v>
      </c>
      <c r="G174">
        <v>0.3</v>
      </c>
      <c r="H174">
        <v>21</v>
      </c>
      <c r="I174">
        <v>14</v>
      </c>
      <c r="J174">
        <v>1.4</v>
      </c>
      <c r="K174">
        <v>509284539.62122756</v>
      </c>
      <c r="L174">
        <v>54473900</v>
      </c>
      <c r="M174">
        <v>79699203.608869627</v>
      </c>
      <c r="N174">
        <v>72586700</v>
      </c>
      <c r="O174">
        <v>15891473.6</v>
      </c>
      <c r="P174">
        <v>213.565166</v>
      </c>
      <c r="Q174">
        <v>1.2444648890434062</v>
      </c>
      <c r="R174">
        <v>43.702337300000003</v>
      </c>
      <c r="S174">
        <v>781.60085000000004</v>
      </c>
      <c r="T174">
        <v>1.56090494E-16</v>
      </c>
      <c r="U174">
        <v>22.656655529226004</v>
      </c>
      <c r="V174">
        <v>100.934</v>
      </c>
      <c r="W174">
        <v>-239.03522359779637</v>
      </c>
      <c r="X174">
        <v>62.880534500000003</v>
      </c>
      <c r="Y174">
        <v>92.539635799999999</v>
      </c>
      <c r="Z174">
        <v>177.97</v>
      </c>
      <c r="AA174">
        <v>233.87224699999999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1.2444648890434062</v>
      </c>
    </row>
    <row r="175" spans="1:41" x14ac:dyDescent="0.3">
      <c r="A175">
        <v>936.9719663078281</v>
      </c>
      <c r="B175">
        <v>33</v>
      </c>
      <c r="C175">
        <v>10</v>
      </c>
      <c r="D175">
        <v>1</v>
      </c>
      <c r="E175">
        <v>26</v>
      </c>
      <c r="F175">
        <v>7</v>
      </c>
      <c r="G175">
        <v>1.1463132824454969</v>
      </c>
      <c r="H175">
        <v>10</v>
      </c>
      <c r="I175">
        <v>8</v>
      </c>
      <c r="J175">
        <v>0.3</v>
      </c>
      <c r="K175">
        <v>507823569.38238823</v>
      </c>
      <c r="L175">
        <v>54482100</v>
      </c>
      <c r="M175">
        <v>79748963.349576905</v>
      </c>
      <c r="N175">
        <v>75501000</v>
      </c>
      <c r="O175">
        <v>15900428.879999999</v>
      </c>
      <c r="P175">
        <v>204.81881100000001</v>
      </c>
      <c r="Q175">
        <v>1.2301313879317191</v>
      </c>
      <c r="R175">
        <v>43.855225400000002</v>
      </c>
      <c r="S175">
        <v>784.39056299999993</v>
      </c>
      <c r="T175">
        <v>7.0794162800000005E-13</v>
      </c>
      <c r="U175">
        <v>24.833869265286847</v>
      </c>
      <c r="V175">
        <v>80.72</v>
      </c>
      <c r="W175">
        <v>-137.79863717718123</v>
      </c>
      <c r="X175">
        <v>62.769291099999997</v>
      </c>
      <c r="Y175">
        <v>94.76737</v>
      </c>
      <c r="Z175">
        <v>180.98100000000002</v>
      </c>
      <c r="AA175">
        <v>258.70348000000001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1.2301313879317191</v>
      </c>
    </row>
    <row r="176" spans="1:41" x14ac:dyDescent="0.3">
      <c r="A176">
        <v>939.77031691129787</v>
      </c>
      <c r="B176">
        <v>33</v>
      </c>
      <c r="C176">
        <v>16</v>
      </c>
      <c r="D176">
        <v>15</v>
      </c>
      <c r="E176">
        <v>29</v>
      </c>
      <c r="F176">
        <v>11</v>
      </c>
      <c r="G176">
        <v>1.2</v>
      </c>
      <c r="H176">
        <v>29</v>
      </c>
      <c r="I176">
        <v>14</v>
      </c>
      <c r="J176">
        <v>1.4</v>
      </c>
      <c r="K176">
        <v>510682711.73708129</v>
      </c>
      <c r="L176">
        <v>54534600</v>
      </c>
      <c r="M176">
        <v>79703304.969507828</v>
      </c>
      <c r="N176">
        <v>76073100</v>
      </c>
      <c r="O176">
        <v>15895695.76</v>
      </c>
      <c r="P176">
        <v>211.149923</v>
      </c>
      <c r="Q176">
        <v>1.1915765667079226</v>
      </c>
      <c r="R176">
        <v>43.948453100000002</v>
      </c>
      <c r="S176">
        <v>783.42728599999998</v>
      </c>
      <c r="T176">
        <v>1.2251084E-17</v>
      </c>
      <c r="U176">
        <v>25.142150119285382</v>
      </c>
      <c r="V176">
        <v>100.934</v>
      </c>
      <c r="W176">
        <v>-235.41592760438331</v>
      </c>
      <c r="X176">
        <v>62.865441099999998</v>
      </c>
      <c r="Y176">
        <v>92.281103900000005</v>
      </c>
      <c r="Z176">
        <v>180.98100000000002</v>
      </c>
      <c r="AA176">
        <v>254.982249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5.6860047714152984E-2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1.2484366144220755</v>
      </c>
    </row>
    <row r="177" spans="1:41" x14ac:dyDescent="0.3">
      <c r="A177">
        <v>910</v>
      </c>
      <c r="B177">
        <v>39</v>
      </c>
      <c r="C177">
        <v>10</v>
      </c>
      <c r="D177">
        <v>15</v>
      </c>
      <c r="E177">
        <v>19</v>
      </c>
      <c r="F177">
        <v>5</v>
      </c>
      <c r="G177">
        <v>0.3</v>
      </c>
      <c r="H177">
        <v>29</v>
      </c>
      <c r="I177">
        <v>14</v>
      </c>
      <c r="J177">
        <v>0.3</v>
      </c>
      <c r="K177">
        <v>510582522.41154802</v>
      </c>
      <c r="L177">
        <v>54492300</v>
      </c>
      <c r="M177">
        <v>79673552.406536818</v>
      </c>
      <c r="N177">
        <v>71686600</v>
      </c>
      <c r="O177">
        <v>15897632.08</v>
      </c>
      <c r="P177">
        <v>211.192623</v>
      </c>
      <c r="Q177">
        <v>1.2818159122989647</v>
      </c>
      <c r="R177">
        <v>43.694485999999998</v>
      </c>
      <c r="S177">
        <v>782.16250200000002</v>
      </c>
      <c r="T177">
        <v>4.2217722900000001E-9</v>
      </c>
      <c r="U177">
        <v>22.829451242377111</v>
      </c>
      <c r="V177">
        <v>100.934</v>
      </c>
      <c r="W177">
        <v>-239.108416504248</v>
      </c>
      <c r="X177">
        <v>62.871797700000002</v>
      </c>
      <c r="Y177">
        <v>92.123467399999996</v>
      </c>
      <c r="Z177">
        <v>177.97</v>
      </c>
      <c r="AA177">
        <v>235.619688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1.2818159122989647</v>
      </c>
    </row>
    <row r="178" spans="1:41" x14ac:dyDescent="0.3">
      <c r="A178">
        <v>940.96427186865867</v>
      </c>
      <c r="B178">
        <v>27</v>
      </c>
      <c r="C178">
        <v>10</v>
      </c>
      <c r="D178">
        <v>8.5262514541423702</v>
      </c>
      <c r="E178">
        <v>29</v>
      </c>
      <c r="F178">
        <v>14</v>
      </c>
      <c r="G178">
        <v>0.3</v>
      </c>
      <c r="H178">
        <v>29</v>
      </c>
      <c r="I178">
        <v>7</v>
      </c>
      <c r="J178">
        <v>0.3</v>
      </c>
      <c r="K178">
        <v>511696617.72859699</v>
      </c>
      <c r="L178">
        <v>54492300</v>
      </c>
      <c r="M178">
        <v>79673507.807885826</v>
      </c>
      <c r="N178">
        <v>71686600</v>
      </c>
      <c r="O178">
        <v>15896273.76</v>
      </c>
      <c r="P178">
        <v>213.21621400000001</v>
      </c>
      <c r="Q178">
        <v>1.2731976098014457</v>
      </c>
      <c r="R178">
        <v>43.698877000000003</v>
      </c>
      <c r="S178">
        <v>781.80109399999992</v>
      </c>
      <c r="T178">
        <v>1.58350998E-16</v>
      </c>
      <c r="U178">
        <v>22.722545527116999</v>
      </c>
      <c r="V178">
        <v>100.934</v>
      </c>
      <c r="W178">
        <v>-237.92763648503313</v>
      </c>
      <c r="X178">
        <v>62.811638500000001</v>
      </c>
      <c r="Y178">
        <v>92.506593499999994</v>
      </c>
      <c r="Z178">
        <v>177.97</v>
      </c>
      <c r="AA178">
        <v>236.07800900000001</v>
      </c>
      <c r="AB178">
        <v>100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101.27319760980144</v>
      </c>
    </row>
    <row r="179" spans="1:41" x14ac:dyDescent="0.3">
      <c r="A179">
        <v>937.00324936567199</v>
      </c>
      <c r="B179">
        <v>27</v>
      </c>
      <c r="C179">
        <v>10</v>
      </c>
      <c r="D179">
        <v>15</v>
      </c>
      <c r="E179">
        <v>29</v>
      </c>
      <c r="F179">
        <v>14</v>
      </c>
      <c r="G179">
        <v>1.2</v>
      </c>
      <c r="H179">
        <v>20</v>
      </c>
      <c r="I179">
        <v>14</v>
      </c>
      <c r="J179">
        <v>1.4</v>
      </c>
      <c r="K179">
        <v>345620000</v>
      </c>
      <c r="L179">
        <v>54492300</v>
      </c>
      <c r="M179">
        <v>79639500</v>
      </c>
      <c r="N179">
        <v>71686600</v>
      </c>
      <c r="O179">
        <v>0</v>
      </c>
      <c r="P179">
        <v>0</v>
      </c>
      <c r="Q179">
        <v>100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99</v>
      </c>
      <c r="AC179">
        <v>100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299</v>
      </c>
    </row>
    <row r="180" spans="1:41" x14ac:dyDescent="0.3">
      <c r="A180">
        <v>930</v>
      </c>
      <c r="B180">
        <v>30</v>
      </c>
      <c r="C180">
        <v>18</v>
      </c>
      <c r="D180">
        <v>2.95</v>
      </c>
      <c r="E180">
        <v>20</v>
      </c>
      <c r="F180">
        <v>12</v>
      </c>
      <c r="G180">
        <v>0.56747999999999998</v>
      </c>
      <c r="H180">
        <v>20</v>
      </c>
      <c r="I180">
        <v>12</v>
      </c>
      <c r="J180">
        <v>1.4</v>
      </c>
      <c r="K180">
        <v>508226017.46283531</v>
      </c>
      <c r="L180">
        <v>54426300</v>
      </c>
      <c r="M180">
        <v>79694418.946506098</v>
      </c>
      <c r="N180">
        <v>71787600</v>
      </c>
      <c r="O180">
        <v>15884331.280000001</v>
      </c>
      <c r="P180">
        <v>211.77717200000001</v>
      </c>
      <c r="Q180">
        <v>1.2672430264700907</v>
      </c>
      <c r="R180">
        <v>43.784977599999998</v>
      </c>
      <c r="S180">
        <v>782.81606499999998</v>
      </c>
      <c r="T180">
        <v>1.4197115700000001E-13</v>
      </c>
      <c r="U180">
        <v>23.541010259878107</v>
      </c>
      <c r="V180">
        <v>91.850000000000009</v>
      </c>
      <c r="W180">
        <v>-240.83121034818575</v>
      </c>
      <c r="X180">
        <v>62.892317499999997</v>
      </c>
      <c r="Y180">
        <v>92.825612100000001</v>
      </c>
      <c r="Z180">
        <v>165.7</v>
      </c>
      <c r="AA180">
        <v>236.15088299999999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1.2672430264700907</v>
      </c>
    </row>
    <row r="181" spans="1:41" x14ac:dyDescent="0.3">
      <c r="A181">
        <v>940.07631804934988</v>
      </c>
      <c r="B181">
        <v>27</v>
      </c>
      <c r="C181">
        <v>10</v>
      </c>
      <c r="D181">
        <v>5.5673282953625582</v>
      </c>
      <c r="E181">
        <v>29</v>
      </c>
      <c r="F181">
        <v>14</v>
      </c>
      <c r="G181">
        <v>0.3</v>
      </c>
      <c r="H181">
        <v>21</v>
      </c>
      <c r="I181">
        <v>14</v>
      </c>
      <c r="J181">
        <v>1.4</v>
      </c>
      <c r="K181">
        <v>508711629.04544115</v>
      </c>
      <c r="L181">
        <v>54426300</v>
      </c>
      <c r="M181">
        <v>79694401.920757875</v>
      </c>
      <c r="N181">
        <v>71787600</v>
      </c>
      <c r="O181">
        <v>15890358.959999999</v>
      </c>
      <c r="P181">
        <v>213.62482600000001</v>
      </c>
      <c r="Q181">
        <v>1.2578257374144719</v>
      </c>
      <c r="R181">
        <v>43.701429099999999</v>
      </c>
      <c r="S181">
        <v>781.61224600000003</v>
      </c>
      <c r="T181">
        <v>1.5566015300000001E-16</v>
      </c>
      <c r="U181">
        <v>22.657997885755002</v>
      </c>
      <c r="V181">
        <v>100.934</v>
      </c>
      <c r="W181">
        <v>-238.4141043342587</v>
      </c>
      <c r="X181">
        <v>62.880642199999997</v>
      </c>
      <c r="Y181">
        <v>92.641038699999996</v>
      </c>
      <c r="Z181">
        <v>177.97</v>
      </c>
      <c r="AA181">
        <v>233.87070800000001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1.2578257374144719</v>
      </c>
    </row>
    <row r="182" spans="1:41" x14ac:dyDescent="0.3">
      <c r="A182">
        <v>910</v>
      </c>
      <c r="B182">
        <v>39</v>
      </c>
      <c r="C182">
        <v>19</v>
      </c>
      <c r="D182">
        <v>1</v>
      </c>
      <c r="E182">
        <v>10</v>
      </c>
      <c r="F182">
        <v>5</v>
      </c>
      <c r="G182">
        <v>0.3</v>
      </c>
      <c r="H182">
        <v>10</v>
      </c>
      <c r="I182">
        <v>7</v>
      </c>
      <c r="J182">
        <v>0.3</v>
      </c>
      <c r="K182">
        <v>507849345.64031941</v>
      </c>
      <c r="L182">
        <v>54426300</v>
      </c>
      <c r="M182">
        <v>79694455.620256186</v>
      </c>
      <c r="N182">
        <v>71787600</v>
      </c>
      <c r="O182">
        <v>15891799.92</v>
      </c>
      <c r="P182">
        <v>208.88293100000001</v>
      </c>
      <c r="Q182">
        <v>1.2835775403109708</v>
      </c>
      <c r="R182">
        <v>43.529101900000001</v>
      </c>
      <c r="S182">
        <v>782.9799240000001</v>
      </c>
      <c r="T182">
        <v>4.8290822100000002E-9</v>
      </c>
      <c r="U182">
        <v>22.896370959205171</v>
      </c>
      <c r="V182">
        <v>80.72</v>
      </c>
      <c r="W182">
        <v>-150.16354421354913</v>
      </c>
      <c r="X182">
        <v>64.282572099999996</v>
      </c>
      <c r="Y182">
        <v>94.948306599999995</v>
      </c>
      <c r="Z182">
        <v>144.29</v>
      </c>
      <c r="AA182">
        <v>235.915479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1.2835775403109708</v>
      </c>
    </row>
    <row r="183" spans="1:41" x14ac:dyDescent="0.3">
      <c r="A183">
        <v>910</v>
      </c>
      <c r="B183">
        <v>27</v>
      </c>
      <c r="C183">
        <v>10</v>
      </c>
      <c r="D183">
        <v>15</v>
      </c>
      <c r="E183">
        <v>10</v>
      </c>
      <c r="F183">
        <v>5</v>
      </c>
      <c r="G183">
        <v>1.2</v>
      </c>
      <c r="H183">
        <v>29</v>
      </c>
      <c r="I183">
        <v>14</v>
      </c>
      <c r="J183">
        <v>1.4</v>
      </c>
      <c r="K183">
        <v>507640222.14706242</v>
      </c>
      <c r="L183">
        <v>54426300</v>
      </c>
      <c r="M183">
        <v>79694445.751674473</v>
      </c>
      <c r="N183">
        <v>71787600</v>
      </c>
      <c r="O183">
        <v>15896000.959999999</v>
      </c>
      <c r="P183">
        <v>210.980604</v>
      </c>
      <c r="Q183">
        <v>1.2701427010374078</v>
      </c>
      <c r="R183">
        <v>43.750112000000001</v>
      </c>
      <c r="S183">
        <v>782.59191099999998</v>
      </c>
      <c r="T183">
        <v>3.6593312099999998E-10</v>
      </c>
      <c r="U183">
        <v>23.452939582101131</v>
      </c>
      <c r="V183">
        <v>100.934</v>
      </c>
      <c r="W183">
        <v>-239.62502280039959</v>
      </c>
      <c r="X183">
        <v>62.9191298</v>
      </c>
      <c r="Y183">
        <v>92.4768337</v>
      </c>
      <c r="Z183">
        <v>144.29</v>
      </c>
      <c r="AA183">
        <v>236.50331800000001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1.2701427010374078</v>
      </c>
    </row>
    <row r="184" spans="1:41" x14ac:dyDescent="0.3">
      <c r="A184">
        <v>910</v>
      </c>
      <c r="B184">
        <v>39</v>
      </c>
      <c r="C184">
        <v>19</v>
      </c>
      <c r="D184">
        <v>15</v>
      </c>
      <c r="E184">
        <v>29</v>
      </c>
      <c r="F184">
        <v>5</v>
      </c>
      <c r="G184">
        <v>1.2</v>
      </c>
      <c r="H184">
        <v>29</v>
      </c>
      <c r="I184">
        <v>7</v>
      </c>
      <c r="J184">
        <v>0.3</v>
      </c>
      <c r="K184">
        <v>507560585.22492242</v>
      </c>
      <c r="L184">
        <v>54426300</v>
      </c>
      <c r="M184">
        <v>79694467.243101776</v>
      </c>
      <c r="N184">
        <v>71787600</v>
      </c>
      <c r="O184">
        <v>15901166.639999999</v>
      </c>
      <c r="P184">
        <v>208.43909400000001</v>
      </c>
      <c r="Q184">
        <v>1.2853702592779512</v>
      </c>
      <c r="R184">
        <v>43.897617199999999</v>
      </c>
      <c r="S184">
        <v>783.28994399999999</v>
      </c>
      <c r="T184">
        <v>1.86116895E-10</v>
      </c>
      <c r="U184">
        <v>24.682058703804387</v>
      </c>
      <c r="V184">
        <v>100.934</v>
      </c>
      <c r="W184">
        <v>-232.98559298989889</v>
      </c>
      <c r="X184">
        <v>62.772123999999998</v>
      </c>
      <c r="Y184">
        <v>92.056487200000007</v>
      </c>
      <c r="Z184">
        <v>180.98100000000002</v>
      </c>
      <c r="AA184">
        <v>245.00195500000001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1.2853702592779512</v>
      </c>
    </row>
    <row r="185" spans="1:41" x14ac:dyDescent="0.3">
      <c r="A185">
        <v>936.46597253244533</v>
      </c>
      <c r="B185">
        <v>39</v>
      </c>
      <c r="C185">
        <v>16</v>
      </c>
      <c r="D185">
        <v>7.1853864726469414</v>
      </c>
      <c r="E185">
        <v>29</v>
      </c>
      <c r="F185">
        <v>14</v>
      </c>
      <c r="G185">
        <v>0.3</v>
      </c>
      <c r="H185">
        <v>16</v>
      </c>
      <c r="I185">
        <v>14</v>
      </c>
      <c r="J185">
        <v>1.4</v>
      </c>
      <c r="K185">
        <v>508565772.32804155</v>
      </c>
      <c r="L185">
        <v>54426300</v>
      </c>
      <c r="M185">
        <v>79694408.010656446</v>
      </c>
      <c r="N185">
        <v>71787600</v>
      </c>
      <c r="O185">
        <v>15889551.84</v>
      </c>
      <c r="P185">
        <v>213.53946099999999</v>
      </c>
      <c r="Q185">
        <v>1.2578648810655664</v>
      </c>
      <c r="R185">
        <v>43.704821000000003</v>
      </c>
      <c r="S185">
        <v>781.533006</v>
      </c>
      <c r="T185">
        <v>1.5615212599999999E-16</v>
      </c>
      <c r="U185">
        <v>22.639342897753998</v>
      </c>
      <c r="V185">
        <v>100.934</v>
      </c>
      <c r="W185">
        <v>-239.79410378520038</v>
      </c>
      <c r="X185">
        <v>62.897842400000002</v>
      </c>
      <c r="Y185">
        <v>92.304640399999997</v>
      </c>
      <c r="Z185">
        <v>177.97</v>
      </c>
      <c r="AA185">
        <v>235.52578399999999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1.2578648810655664</v>
      </c>
    </row>
    <row r="186" spans="1:41" x14ac:dyDescent="0.3">
      <c r="A186">
        <v>910</v>
      </c>
      <c r="B186">
        <v>27</v>
      </c>
      <c r="C186">
        <v>10</v>
      </c>
      <c r="D186">
        <v>1</v>
      </c>
      <c r="E186">
        <v>10</v>
      </c>
      <c r="F186">
        <v>5</v>
      </c>
      <c r="G186">
        <v>1.2</v>
      </c>
      <c r="H186">
        <v>10</v>
      </c>
      <c r="I186">
        <v>7</v>
      </c>
      <c r="J186">
        <v>0.3</v>
      </c>
      <c r="K186">
        <v>507725085.12109077</v>
      </c>
      <c r="L186">
        <v>54426300</v>
      </c>
      <c r="M186">
        <v>79694465.901775062</v>
      </c>
      <c r="N186">
        <v>71787600</v>
      </c>
      <c r="O186">
        <v>15893957.359999999</v>
      </c>
      <c r="P186">
        <v>206.18921800000001</v>
      </c>
      <c r="Q186">
        <v>1.2999374385123608</v>
      </c>
      <c r="R186">
        <v>43.707115399999999</v>
      </c>
      <c r="S186">
        <v>783.15417099999991</v>
      </c>
      <c r="T186">
        <v>3.08825899E-10</v>
      </c>
      <c r="U186">
        <v>23.421110350776658</v>
      </c>
      <c r="V186">
        <v>80.72</v>
      </c>
      <c r="W186">
        <v>-148.56400158162796</v>
      </c>
      <c r="X186">
        <v>63.051402500000002</v>
      </c>
      <c r="Y186">
        <v>94.977520999999996</v>
      </c>
      <c r="Z186">
        <v>144.29</v>
      </c>
      <c r="AA186">
        <v>239.13825399999999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1.2999374385123608</v>
      </c>
    </row>
    <row r="187" spans="1:41" x14ac:dyDescent="0.3">
      <c r="A187">
        <v>910</v>
      </c>
      <c r="B187">
        <v>39</v>
      </c>
      <c r="C187">
        <v>10</v>
      </c>
      <c r="D187">
        <v>1</v>
      </c>
      <c r="E187">
        <v>29</v>
      </c>
      <c r="F187">
        <v>5</v>
      </c>
      <c r="G187">
        <v>1.2</v>
      </c>
      <c r="H187">
        <v>10</v>
      </c>
      <c r="I187">
        <v>7</v>
      </c>
      <c r="J187">
        <v>1.4</v>
      </c>
      <c r="K187">
        <v>507507527.27453196</v>
      </c>
      <c r="L187">
        <v>54426300</v>
      </c>
      <c r="M187">
        <v>79694450.227831081</v>
      </c>
      <c r="N187">
        <v>71787600</v>
      </c>
      <c r="O187">
        <v>15889809.84</v>
      </c>
      <c r="P187">
        <v>206.846138</v>
      </c>
      <c r="Q187">
        <v>1.2950949736222339</v>
      </c>
      <c r="R187">
        <v>43.840829200000002</v>
      </c>
      <c r="S187">
        <v>783.451686</v>
      </c>
      <c r="T187">
        <v>1.6573891100000001E-10</v>
      </c>
      <c r="U187">
        <v>24.288185012348677</v>
      </c>
      <c r="V187">
        <v>80.72</v>
      </c>
      <c r="W187">
        <v>-135.06565461358545</v>
      </c>
      <c r="X187">
        <v>64.235621499999993</v>
      </c>
      <c r="Y187">
        <v>94.960261399999993</v>
      </c>
      <c r="Z187">
        <v>180.98100000000002</v>
      </c>
      <c r="AA187">
        <v>244.013373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1.2950949736222339</v>
      </c>
    </row>
    <row r="188" spans="1:41" x14ac:dyDescent="0.3">
      <c r="A188">
        <v>910</v>
      </c>
      <c r="B188">
        <v>39</v>
      </c>
      <c r="C188">
        <v>19</v>
      </c>
      <c r="D188">
        <v>1</v>
      </c>
      <c r="E188">
        <v>10</v>
      </c>
      <c r="F188">
        <v>5</v>
      </c>
      <c r="G188">
        <v>1.2</v>
      </c>
      <c r="H188">
        <v>29</v>
      </c>
      <c r="I188">
        <v>7</v>
      </c>
      <c r="J188">
        <v>0.3</v>
      </c>
      <c r="K188">
        <v>507692952.59289092</v>
      </c>
      <c r="L188">
        <v>54426300</v>
      </c>
      <c r="M188">
        <v>79694454.834442943</v>
      </c>
      <c r="N188">
        <v>71787600</v>
      </c>
      <c r="O188">
        <v>15890957.84</v>
      </c>
      <c r="P188">
        <v>206.98142999999999</v>
      </c>
      <c r="Q188">
        <v>1.294856599282284</v>
      </c>
      <c r="R188">
        <v>43.693413399999997</v>
      </c>
      <c r="S188">
        <v>783.42466400000001</v>
      </c>
      <c r="T188">
        <v>3.1623316599999998E-10</v>
      </c>
      <c r="U188">
        <v>23.640989788144768</v>
      </c>
      <c r="V188">
        <v>80.72</v>
      </c>
      <c r="W188">
        <v>-147.86368049441799</v>
      </c>
      <c r="X188">
        <v>63.108666599999999</v>
      </c>
      <c r="Y188">
        <v>94.914198799999994</v>
      </c>
      <c r="Z188">
        <v>144.29</v>
      </c>
      <c r="AA188">
        <v>236.153244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1.294856599282284</v>
      </c>
    </row>
    <row r="189" spans="1:41" x14ac:dyDescent="0.3">
      <c r="A189">
        <v>910</v>
      </c>
      <c r="B189">
        <v>27</v>
      </c>
      <c r="C189">
        <v>10</v>
      </c>
      <c r="D189">
        <v>15</v>
      </c>
      <c r="E189">
        <v>29</v>
      </c>
      <c r="F189">
        <v>5</v>
      </c>
      <c r="G189">
        <v>1.2</v>
      </c>
      <c r="H189">
        <v>29</v>
      </c>
      <c r="I189">
        <v>14</v>
      </c>
      <c r="J189">
        <v>0.3</v>
      </c>
      <c r="K189">
        <v>507554616.96486878</v>
      </c>
      <c r="L189">
        <v>54426300</v>
      </c>
      <c r="M189">
        <v>79694466.084412441</v>
      </c>
      <c r="N189">
        <v>71787600</v>
      </c>
      <c r="O189">
        <v>15900895.68</v>
      </c>
      <c r="P189">
        <v>208.511169</v>
      </c>
      <c r="Q189">
        <v>1.2849065208325832</v>
      </c>
      <c r="R189">
        <v>43.8959385</v>
      </c>
      <c r="S189">
        <v>783.28210300000001</v>
      </c>
      <c r="T189">
        <v>1.8582776600000001E-10</v>
      </c>
      <c r="U189">
        <v>24.672929783896492</v>
      </c>
      <c r="V189">
        <v>100.934</v>
      </c>
      <c r="W189">
        <v>-232.90400459764976</v>
      </c>
      <c r="X189">
        <v>62.782278300000002</v>
      </c>
      <c r="Y189">
        <v>92.402701699999994</v>
      </c>
      <c r="Z189">
        <v>180.98100000000002</v>
      </c>
      <c r="AA189">
        <v>245.129515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1.2849065208325832</v>
      </c>
    </row>
    <row r="190" spans="1:41" x14ac:dyDescent="0.3">
      <c r="A190">
        <v>910</v>
      </c>
      <c r="B190">
        <v>39</v>
      </c>
      <c r="C190">
        <v>10</v>
      </c>
      <c r="D190">
        <v>1</v>
      </c>
      <c r="E190">
        <v>29</v>
      </c>
      <c r="F190">
        <v>5</v>
      </c>
      <c r="G190">
        <v>1.2</v>
      </c>
      <c r="H190">
        <v>29</v>
      </c>
      <c r="I190">
        <v>7</v>
      </c>
      <c r="J190">
        <v>1.4</v>
      </c>
      <c r="K190">
        <v>507498528.73884672</v>
      </c>
      <c r="L190">
        <v>54426300</v>
      </c>
      <c r="M190">
        <v>79694447.412051633</v>
      </c>
      <c r="N190">
        <v>71787600</v>
      </c>
      <c r="O190">
        <v>15889099.359999999</v>
      </c>
      <c r="P190">
        <v>207.018214</v>
      </c>
      <c r="Q190">
        <v>1.293988967245733</v>
      </c>
      <c r="R190">
        <v>43.841351099999997</v>
      </c>
      <c r="S190">
        <v>783.40820300000007</v>
      </c>
      <c r="T190">
        <v>1.65540334E-10</v>
      </c>
      <c r="U190">
        <v>24.271335602106316</v>
      </c>
      <c r="V190">
        <v>80.72</v>
      </c>
      <c r="W190">
        <v>-135.1028700048621</v>
      </c>
      <c r="X190">
        <v>64.256002100000003</v>
      </c>
      <c r="Y190">
        <v>94.970858500000006</v>
      </c>
      <c r="Z190">
        <v>180.98100000000002</v>
      </c>
      <c r="AA190">
        <v>243.107877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1.293988967245733</v>
      </c>
    </row>
    <row r="191" spans="1:41" x14ac:dyDescent="0.3">
      <c r="A191">
        <v>910</v>
      </c>
      <c r="B191">
        <v>39</v>
      </c>
      <c r="C191">
        <v>19</v>
      </c>
      <c r="D191">
        <v>15</v>
      </c>
      <c r="E191">
        <v>21</v>
      </c>
      <c r="F191">
        <v>14</v>
      </c>
      <c r="G191">
        <v>1.2</v>
      </c>
      <c r="H191">
        <v>10</v>
      </c>
      <c r="I191">
        <v>7</v>
      </c>
      <c r="J191">
        <v>1.4</v>
      </c>
      <c r="K191">
        <v>507494356.07915473</v>
      </c>
      <c r="L191">
        <v>54426300</v>
      </c>
      <c r="M191">
        <v>79694451.10876368</v>
      </c>
      <c r="N191">
        <v>71787600</v>
      </c>
      <c r="O191">
        <v>15897273.359999999</v>
      </c>
      <c r="P191">
        <v>209.37059099999999</v>
      </c>
      <c r="Q191">
        <v>1.2794368637164768</v>
      </c>
      <c r="R191">
        <v>43.891872999999997</v>
      </c>
      <c r="S191">
        <v>783.76881200000003</v>
      </c>
      <c r="T191">
        <v>1.7319278900000001E-20</v>
      </c>
      <c r="U191">
        <v>24.585663268093562</v>
      </c>
      <c r="V191">
        <v>100.934</v>
      </c>
      <c r="W191">
        <v>-237.09758189005808</v>
      </c>
      <c r="X191">
        <v>62.885547099999997</v>
      </c>
      <c r="Y191">
        <v>92.122120100000004</v>
      </c>
      <c r="Z191">
        <v>165.7</v>
      </c>
      <c r="AA191">
        <v>245.734914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1.2794368637164768</v>
      </c>
    </row>
    <row r="192" spans="1:41" x14ac:dyDescent="0.3">
      <c r="A192">
        <v>910</v>
      </c>
      <c r="B192">
        <v>27</v>
      </c>
      <c r="C192">
        <v>10</v>
      </c>
      <c r="D192">
        <v>15</v>
      </c>
      <c r="E192">
        <v>29</v>
      </c>
      <c r="F192">
        <v>5</v>
      </c>
      <c r="G192">
        <v>0.3</v>
      </c>
      <c r="H192">
        <v>10</v>
      </c>
      <c r="I192">
        <v>7</v>
      </c>
      <c r="J192">
        <v>1.4</v>
      </c>
      <c r="K192">
        <v>507699288.9220193</v>
      </c>
      <c r="L192">
        <v>54426300</v>
      </c>
      <c r="M192">
        <v>79694445.676277488</v>
      </c>
      <c r="N192">
        <v>71787600</v>
      </c>
      <c r="O192">
        <v>15896066.24</v>
      </c>
      <c r="P192">
        <v>211.69032899999999</v>
      </c>
      <c r="Q192">
        <v>1.2660737657688543</v>
      </c>
      <c r="R192">
        <v>43.717124400000003</v>
      </c>
      <c r="S192">
        <v>781.79728499999999</v>
      </c>
      <c r="T192">
        <v>4.0252671499999996E-9</v>
      </c>
      <c r="U192">
        <v>22.531244001848432</v>
      </c>
      <c r="V192">
        <v>100.934</v>
      </c>
      <c r="W192">
        <v>-238.10789924559796</v>
      </c>
      <c r="X192">
        <v>62.925527700000004</v>
      </c>
      <c r="Y192">
        <v>92.480301699999998</v>
      </c>
      <c r="Z192">
        <v>177.97</v>
      </c>
      <c r="AA192">
        <v>234.82940500000001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1.2660737657688543</v>
      </c>
    </row>
    <row r="193" spans="1:41" x14ac:dyDescent="0.3">
      <c r="A193">
        <v>910</v>
      </c>
      <c r="B193">
        <v>39</v>
      </c>
      <c r="C193">
        <v>10</v>
      </c>
      <c r="D193">
        <v>1.2920736872918477</v>
      </c>
      <c r="E193">
        <v>10</v>
      </c>
      <c r="F193">
        <v>5</v>
      </c>
      <c r="G193">
        <v>0.3</v>
      </c>
      <c r="H193">
        <v>15</v>
      </c>
      <c r="I193">
        <v>13</v>
      </c>
      <c r="J193">
        <v>1.4</v>
      </c>
      <c r="K193">
        <v>507809189.4963491</v>
      </c>
      <c r="L193">
        <v>54426300</v>
      </c>
      <c r="M193">
        <v>79694445.213212639</v>
      </c>
      <c r="N193">
        <v>71787600</v>
      </c>
      <c r="O193">
        <v>15888812.239999998</v>
      </c>
      <c r="P193">
        <v>211.171468</v>
      </c>
      <c r="Q193">
        <v>1.2695378836967126</v>
      </c>
      <c r="R193">
        <v>43.542440900000003</v>
      </c>
      <c r="S193">
        <v>782.97101399999997</v>
      </c>
      <c r="T193">
        <v>5.3081121700000001E-9</v>
      </c>
      <c r="U193">
        <v>22.832430788729237</v>
      </c>
      <c r="V193">
        <v>91.850000000000009</v>
      </c>
      <c r="W193">
        <v>-176.27867885140034</v>
      </c>
      <c r="X193">
        <v>63.073155700000001</v>
      </c>
      <c r="Y193">
        <v>94.2126789</v>
      </c>
      <c r="Z193">
        <v>144.29</v>
      </c>
      <c r="AA193">
        <v>230.43419299999999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1.2695378836967126</v>
      </c>
    </row>
    <row r="194" spans="1:41" x14ac:dyDescent="0.3">
      <c r="A194">
        <v>918.82844690279444</v>
      </c>
      <c r="B194">
        <v>39</v>
      </c>
      <c r="C194">
        <v>19</v>
      </c>
      <c r="D194">
        <v>15</v>
      </c>
      <c r="E194">
        <v>10</v>
      </c>
      <c r="F194">
        <v>5</v>
      </c>
      <c r="G194">
        <v>0.3</v>
      </c>
      <c r="H194">
        <v>29</v>
      </c>
      <c r="I194">
        <v>7</v>
      </c>
      <c r="J194">
        <v>1.4</v>
      </c>
      <c r="K194">
        <v>508130185.23380077</v>
      </c>
      <c r="L194">
        <v>54426300</v>
      </c>
      <c r="M194">
        <v>79694431.541705698</v>
      </c>
      <c r="N194">
        <v>71787600</v>
      </c>
      <c r="O194">
        <v>15898091.6</v>
      </c>
      <c r="P194">
        <v>212.95724799999999</v>
      </c>
      <c r="Q194">
        <v>1.259915267983134</v>
      </c>
      <c r="R194">
        <v>43.589837500000002</v>
      </c>
      <c r="S194">
        <v>782.28261499999996</v>
      </c>
      <c r="T194">
        <v>5.5710314199999996E-9</v>
      </c>
      <c r="U194">
        <v>22.783779602997846</v>
      </c>
      <c r="V194">
        <v>100.934</v>
      </c>
      <c r="W194">
        <v>-242.18139581923609</v>
      </c>
      <c r="X194">
        <v>62.905142499999997</v>
      </c>
      <c r="Y194">
        <v>92.135994999999994</v>
      </c>
      <c r="Z194">
        <v>144.29</v>
      </c>
      <c r="AA194">
        <v>229.847802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1.259915267983134</v>
      </c>
    </row>
    <row r="195" spans="1:41" x14ac:dyDescent="0.3">
      <c r="A195">
        <v>910</v>
      </c>
      <c r="B195">
        <v>39</v>
      </c>
      <c r="C195">
        <v>19</v>
      </c>
      <c r="D195">
        <v>15</v>
      </c>
      <c r="E195">
        <v>19</v>
      </c>
      <c r="F195">
        <v>5</v>
      </c>
      <c r="G195">
        <v>0.3</v>
      </c>
      <c r="H195">
        <v>21</v>
      </c>
      <c r="I195">
        <v>7</v>
      </c>
      <c r="J195">
        <v>1.4</v>
      </c>
      <c r="K195">
        <v>507720384.85368705</v>
      </c>
      <c r="L195">
        <v>54426300</v>
      </c>
      <c r="M195">
        <v>79694445.490763932</v>
      </c>
      <c r="N195">
        <v>71787600</v>
      </c>
      <c r="O195">
        <v>15895952.639999999</v>
      </c>
      <c r="P195">
        <v>211.657353</v>
      </c>
      <c r="Q195">
        <v>1.2663386804009473</v>
      </c>
      <c r="R195">
        <v>43.697168699999999</v>
      </c>
      <c r="S195">
        <v>782.01441800000009</v>
      </c>
      <c r="T195">
        <v>4.2029806099999999E-9</v>
      </c>
      <c r="U195">
        <v>22.780737228135912</v>
      </c>
      <c r="V195">
        <v>100.934</v>
      </c>
      <c r="W195">
        <v>-240.24282717313679</v>
      </c>
      <c r="X195">
        <v>62.917897600000003</v>
      </c>
      <c r="Y195">
        <v>92.140885499999996</v>
      </c>
      <c r="Z195">
        <v>177.97</v>
      </c>
      <c r="AA195">
        <v>232.52780000000001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1.2663386804009473</v>
      </c>
    </row>
    <row r="196" spans="1:41" x14ac:dyDescent="0.3">
      <c r="A196">
        <v>910</v>
      </c>
      <c r="B196">
        <v>27</v>
      </c>
      <c r="C196">
        <v>10</v>
      </c>
      <c r="D196">
        <v>15</v>
      </c>
      <c r="E196">
        <v>13</v>
      </c>
      <c r="F196">
        <v>5</v>
      </c>
      <c r="G196">
        <v>1.2</v>
      </c>
      <c r="H196">
        <v>14</v>
      </c>
      <c r="I196">
        <v>12</v>
      </c>
      <c r="J196">
        <v>0.3</v>
      </c>
      <c r="K196">
        <v>507724074.20636833</v>
      </c>
      <c r="L196">
        <v>54426300</v>
      </c>
      <c r="M196">
        <v>79694490.313551471</v>
      </c>
      <c r="N196">
        <v>71787600</v>
      </c>
      <c r="O196">
        <v>15907246.559999999</v>
      </c>
      <c r="P196">
        <v>207.941205</v>
      </c>
      <c r="Q196">
        <v>1.2889816505158174</v>
      </c>
      <c r="R196">
        <v>43.804980899999997</v>
      </c>
      <c r="S196">
        <v>783.55164200000002</v>
      </c>
      <c r="T196">
        <v>2.7356982199999998E-10</v>
      </c>
      <c r="U196">
        <v>24.088704712193657</v>
      </c>
      <c r="V196">
        <v>100.934</v>
      </c>
      <c r="W196">
        <v>-233.38877810128159</v>
      </c>
      <c r="X196">
        <v>62.659656599999998</v>
      </c>
      <c r="Y196">
        <v>92.336566500000004</v>
      </c>
      <c r="Z196">
        <v>165.7</v>
      </c>
      <c r="AA196">
        <v>253.47629800000001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1.2889816505158174</v>
      </c>
    </row>
    <row r="197" spans="1:41" x14ac:dyDescent="0.3">
      <c r="A197">
        <v>923.92481354704762</v>
      </c>
      <c r="B197">
        <v>39</v>
      </c>
      <c r="C197">
        <v>19</v>
      </c>
      <c r="D197">
        <v>15</v>
      </c>
      <c r="E197">
        <v>29</v>
      </c>
      <c r="F197">
        <v>14</v>
      </c>
      <c r="G197">
        <v>1.2</v>
      </c>
      <c r="H197">
        <v>29</v>
      </c>
      <c r="I197">
        <v>7</v>
      </c>
      <c r="J197">
        <v>0.3</v>
      </c>
      <c r="K197">
        <v>508032552.05441701</v>
      </c>
      <c r="L197">
        <v>54426300</v>
      </c>
      <c r="M197">
        <v>79694451.791856229</v>
      </c>
      <c r="N197">
        <v>71787600</v>
      </c>
      <c r="O197">
        <v>15906265.119999999</v>
      </c>
      <c r="P197">
        <v>208.43579500000001</v>
      </c>
      <c r="Q197">
        <v>1.2869277534543084</v>
      </c>
      <c r="R197">
        <v>43.9441828</v>
      </c>
      <c r="S197">
        <v>784.04436299999998</v>
      </c>
      <c r="T197">
        <v>3.9138283399999998E-21</v>
      </c>
      <c r="U197">
        <v>25.357477985961363</v>
      </c>
      <c r="V197">
        <v>100.934</v>
      </c>
      <c r="W197">
        <v>-232.23834777290392</v>
      </c>
      <c r="X197">
        <v>62.709165300000002</v>
      </c>
      <c r="Y197">
        <v>92.024162799999999</v>
      </c>
      <c r="Z197">
        <v>180.98100000000002</v>
      </c>
      <c r="AA197">
        <v>253.29172800000001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0.14299119438454538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1.4299189478388539</v>
      </c>
    </row>
    <row r="198" spans="1:41" x14ac:dyDescent="0.3">
      <c r="A198">
        <v>910</v>
      </c>
      <c r="B198">
        <v>27</v>
      </c>
      <c r="C198">
        <v>19</v>
      </c>
      <c r="D198">
        <v>15</v>
      </c>
      <c r="E198">
        <v>10</v>
      </c>
      <c r="F198">
        <v>5</v>
      </c>
      <c r="G198">
        <v>1.2</v>
      </c>
      <c r="H198">
        <v>29</v>
      </c>
      <c r="I198">
        <v>7</v>
      </c>
      <c r="J198">
        <v>0.3</v>
      </c>
      <c r="K198">
        <v>507674930.91640007</v>
      </c>
      <c r="L198">
        <v>54426300</v>
      </c>
      <c r="M198">
        <v>79694455.939922959</v>
      </c>
      <c r="N198">
        <v>71787600</v>
      </c>
      <c r="O198">
        <v>15898466.560000001</v>
      </c>
      <c r="P198">
        <v>210.25596200000001</v>
      </c>
      <c r="Q198">
        <v>1.2746322810906183</v>
      </c>
      <c r="R198">
        <v>43.747802999999998</v>
      </c>
      <c r="S198">
        <v>782.7863900000001</v>
      </c>
      <c r="T198">
        <v>3.68844364E-10</v>
      </c>
      <c r="U198">
        <v>23.525937562514748</v>
      </c>
      <c r="V198">
        <v>91.850000000000009</v>
      </c>
      <c r="W198">
        <v>-239.29231924339663</v>
      </c>
      <c r="X198">
        <v>62.848036399999998</v>
      </c>
      <c r="Y198">
        <v>92.463356300000001</v>
      </c>
      <c r="Z198">
        <v>144.29</v>
      </c>
      <c r="AA198">
        <v>234.682515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1.2746322810906183</v>
      </c>
    </row>
    <row r="199" spans="1:41" x14ac:dyDescent="0.3">
      <c r="A199">
        <v>946.13029709281057</v>
      </c>
      <c r="B199">
        <v>39</v>
      </c>
      <c r="C199">
        <v>19</v>
      </c>
      <c r="D199">
        <v>1</v>
      </c>
      <c r="E199">
        <v>29</v>
      </c>
      <c r="F199">
        <v>14</v>
      </c>
      <c r="G199">
        <v>0.3</v>
      </c>
      <c r="H199">
        <v>10</v>
      </c>
      <c r="I199">
        <v>7</v>
      </c>
      <c r="J199">
        <v>1.4</v>
      </c>
      <c r="K199">
        <v>508979269.74700999</v>
      </c>
      <c r="L199">
        <v>54426300</v>
      </c>
      <c r="M199">
        <v>79694391.559733197</v>
      </c>
      <c r="N199">
        <v>71787600</v>
      </c>
      <c r="O199">
        <v>15891352.880000001</v>
      </c>
      <c r="P199">
        <v>210.78424100000001</v>
      </c>
      <c r="Q199">
        <v>1.2756385025720787</v>
      </c>
      <c r="R199">
        <v>43.654951099999998</v>
      </c>
      <c r="S199">
        <v>782.4775269999999</v>
      </c>
      <c r="T199">
        <v>3.4198624000000002E-9</v>
      </c>
      <c r="U199">
        <v>22.581489938711918</v>
      </c>
      <c r="V199">
        <v>80.72</v>
      </c>
      <c r="W199">
        <v>-146.69359625642088</v>
      </c>
      <c r="X199">
        <v>63.130481400000001</v>
      </c>
      <c r="Y199">
        <v>94.928191600000005</v>
      </c>
      <c r="Z199">
        <v>177.97</v>
      </c>
      <c r="AA199">
        <v>233.61604299999999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1.2756385025720787</v>
      </c>
    </row>
    <row r="200" spans="1:41" x14ac:dyDescent="0.3">
      <c r="A200">
        <v>910</v>
      </c>
      <c r="B200">
        <v>34</v>
      </c>
      <c r="C200">
        <v>10</v>
      </c>
      <c r="D200">
        <v>15</v>
      </c>
      <c r="E200">
        <v>16</v>
      </c>
      <c r="F200">
        <v>14</v>
      </c>
      <c r="G200">
        <v>1.2</v>
      </c>
      <c r="H200">
        <v>10</v>
      </c>
      <c r="I200">
        <v>7</v>
      </c>
      <c r="J200">
        <v>1.4</v>
      </c>
      <c r="K200">
        <v>507680274.19579387</v>
      </c>
      <c r="L200">
        <v>54426300</v>
      </c>
      <c r="M200">
        <v>79694445.787832156</v>
      </c>
      <c r="N200">
        <v>71787600</v>
      </c>
      <c r="O200">
        <v>15896072.319999998</v>
      </c>
      <c r="P200">
        <v>211.01937799999999</v>
      </c>
      <c r="Q200">
        <v>1.270038165734503</v>
      </c>
      <c r="R200">
        <v>43.706395899999997</v>
      </c>
      <c r="S200">
        <v>784.27535799999998</v>
      </c>
      <c r="T200">
        <v>1.17392533E-18</v>
      </c>
      <c r="U200">
        <v>23.507601388456472</v>
      </c>
      <c r="V200">
        <v>100.934</v>
      </c>
      <c r="W200">
        <v>-239.6746394412375</v>
      </c>
      <c r="X200">
        <v>62.923050500000002</v>
      </c>
      <c r="Y200">
        <v>92.285511</v>
      </c>
      <c r="Z200">
        <v>121.52199999999999</v>
      </c>
      <c r="AA200">
        <v>235.67533800000001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1.270038165734503</v>
      </c>
    </row>
    <row r="201" spans="1:41" x14ac:dyDescent="0.3">
      <c r="A201">
        <v>921.75632575806515</v>
      </c>
      <c r="B201">
        <v>27</v>
      </c>
      <c r="C201">
        <v>19</v>
      </c>
      <c r="D201">
        <v>15</v>
      </c>
      <c r="E201">
        <v>10</v>
      </c>
      <c r="F201">
        <v>5</v>
      </c>
      <c r="G201">
        <v>1.2</v>
      </c>
      <c r="H201">
        <v>29</v>
      </c>
      <c r="I201">
        <v>14</v>
      </c>
      <c r="J201">
        <v>0.3</v>
      </c>
      <c r="K201">
        <v>508099277.48916835</v>
      </c>
      <c r="L201">
        <v>54426300</v>
      </c>
      <c r="M201">
        <v>79694437.651942968</v>
      </c>
      <c r="N201">
        <v>71787600</v>
      </c>
      <c r="O201">
        <v>15901538.640000001</v>
      </c>
      <c r="P201">
        <v>211.07084699999999</v>
      </c>
      <c r="Q201">
        <v>1.2710760870830644</v>
      </c>
      <c r="R201">
        <v>43.747526499999999</v>
      </c>
      <c r="S201">
        <v>782.81018500000005</v>
      </c>
      <c r="T201">
        <v>3.6749492500000001E-10</v>
      </c>
      <c r="U201">
        <v>23.530658939097965</v>
      </c>
      <c r="V201">
        <v>91.850000000000009</v>
      </c>
      <c r="W201">
        <v>-239.37242481612998</v>
      </c>
      <c r="X201">
        <v>62.830525799999997</v>
      </c>
      <c r="Y201">
        <v>92.456512700000005</v>
      </c>
      <c r="Z201">
        <v>144.29</v>
      </c>
      <c r="AA201">
        <v>234.67977099999999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1.2710760870830644</v>
      </c>
    </row>
    <row r="202" spans="1:41" x14ac:dyDescent="0.3">
      <c r="A202">
        <v>910</v>
      </c>
      <c r="B202">
        <v>39</v>
      </c>
      <c r="C202">
        <v>19</v>
      </c>
      <c r="D202">
        <v>1</v>
      </c>
      <c r="E202">
        <v>29</v>
      </c>
      <c r="F202">
        <v>5</v>
      </c>
      <c r="G202">
        <v>0.3</v>
      </c>
      <c r="H202">
        <v>29</v>
      </c>
      <c r="I202">
        <v>14</v>
      </c>
      <c r="J202">
        <v>1.4</v>
      </c>
      <c r="K202">
        <v>507734223.14879978</v>
      </c>
      <c r="L202">
        <v>54426300</v>
      </c>
      <c r="M202">
        <v>79694445.429542407</v>
      </c>
      <c r="N202">
        <v>71787600</v>
      </c>
      <c r="O202">
        <v>15888675.119999999</v>
      </c>
      <c r="P202">
        <v>208.30868599999999</v>
      </c>
      <c r="Q202">
        <v>1.286740809707362</v>
      </c>
      <c r="R202">
        <v>43.655666400000001</v>
      </c>
      <c r="S202">
        <v>782.42380500000002</v>
      </c>
      <c r="T202">
        <v>3.45466995E-9</v>
      </c>
      <c r="U202">
        <v>22.574654189368683</v>
      </c>
      <c r="V202">
        <v>80.72</v>
      </c>
      <c r="W202">
        <v>-146.45876497434691</v>
      </c>
      <c r="X202">
        <v>64.292099800000003</v>
      </c>
      <c r="Y202">
        <v>94.953264599999997</v>
      </c>
      <c r="Z202">
        <v>177.97</v>
      </c>
      <c r="AA202">
        <v>231.61347900000001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1.286740809707362</v>
      </c>
    </row>
    <row r="203" spans="1:41" x14ac:dyDescent="0.3">
      <c r="A203">
        <v>910</v>
      </c>
      <c r="B203">
        <v>39</v>
      </c>
      <c r="C203">
        <v>10</v>
      </c>
      <c r="D203">
        <v>15</v>
      </c>
      <c r="E203">
        <v>29</v>
      </c>
      <c r="F203">
        <v>14</v>
      </c>
      <c r="G203">
        <v>0.3</v>
      </c>
      <c r="H203">
        <v>18</v>
      </c>
      <c r="I203">
        <v>7</v>
      </c>
      <c r="J203">
        <v>0.3</v>
      </c>
      <c r="K203">
        <v>507722845.42463374</v>
      </c>
      <c r="L203">
        <v>54426300</v>
      </c>
      <c r="M203">
        <v>79694455.016463995</v>
      </c>
      <c r="N203">
        <v>71787600</v>
      </c>
      <c r="O203">
        <v>15898258.32</v>
      </c>
      <c r="P203">
        <v>211.06854899999999</v>
      </c>
      <c r="Q203">
        <v>1.2698792157157037</v>
      </c>
      <c r="R203">
        <v>43.701976500000001</v>
      </c>
      <c r="S203">
        <v>781.722261</v>
      </c>
      <c r="T203">
        <v>1.60311188E-16</v>
      </c>
      <c r="U203">
        <v>22.711697253473996</v>
      </c>
      <c r="V203">
        <v>100.934</v>
      </c>
      <c r="W203">
        <v>-237.95330201997376</v>
      </c>
      <c r="X203">
        <v>62.8540128</v>
      </c>
      <c r="Y203">
        <v>92.113274700000005</v>
      </c>
      <c r="Z203">
        <v>177.97</v>
      </c>
      <c r="AA203">
        <v>236.465723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1.2698792157157037</v>
      </c>
    </row>
    <row r="204" spans="1:41" x14ac:dyDescent="0.3">
      <c r="A204">
        <v>910</v>
      </c>
      <c r="B204">
        <v>39</v>
      </c>
      <c r="C204">
        <v>10</v>
      </c>
      <c r="D204">
        <v>1</v>
      </c>
      <c r="E204">
        <v>16</v>
      </c>
      <c r="F204">
        <v>14</v>
      </c>
      <c r="G204">
        <v>1.2</v>
      </c>
      <c r="H204">
        <v>10</v>
      </c>
      <c r="I204">
        <v>7</v>
      </c>
      <c r="J204">
        <v>0.3</v>
      </c>
      <c r="K204">
        <v>507737358.16584712</v>
      </c>
      <c r="L204">
        <v>54426300</v>
      </c>
      <c r="M204">
        <v>79694463.002586439</v>
      </c>
      <c r="N204">
        <v>71787600</v>
      </c>
      <c r="O204">
        <v>15893276.640000001</v>
      </c>
      <c r="P204">
        <v>207.14262400000001</v>
      </c>
      <c r="Q204">
        <v>1.2939944968308492</v>
      </c>
      <c r="R204">
        <v>43.657180599999997</v>
      </c>
      <c r="S204">
        <v>785.31116599999996</v>
      </c>
      <c r="T204">
        <v>7.2515349500000003E-19</v>
      </c>
      <c r="U204">
        <v>23.597050054673758</v>
      </c>
      <c r="V204">
        <v>80.72</v>
      </c>
      <c r="W204">
        <v>-140.11778143623405</v>
      </c>
      <c r="X204">
        <v>63.0841371</v>
      </c>
      <c r="Y204">
        <v>94.922619699999998</v>
      </c>
      <c r="Z204">
        <v>100.934</v>
      </c>
      <c r="AA204">
        <v>238.18297000000001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1.2939944968308492</v>
      </c>
    </row>
    <row r="205" spans="1:41" x14ac:dyDescent="0.3">
      <c r="A205">
        <v>910</v>
      </c>
      <c r="B205">
        <v>27</v>
      </c>
      <c r="C205">
        <v>10</v>
      </c>
      <c r="D205">
        <v>1</v>
      </c>
      <c r="E205">
        <v>10</v>
      </c>
      <c r="F205">
        <v>5</v>
      </c>
      <c r="G205">
        <v>1.2</v>
      </c>
      <c r="H205">
        <v>29</v>
      </c>
      <c r="I205">
        <v>14</v>
      </c>
      <c r="J205">
        <v>1.4</v>
      </c>
      <c r="K205">
        <v>507670390.47383475</v>
      </c>
      <c r="L205">
        <v>54426300</v>
      </c>
      <c r="M205">
        <v>79694445.650186434</v>
      </c>
      <c r="N205">
        <v>71787600</v>
      </c>
      <c r="O205">
        <v>15888713.84</v>
      </c>
      <c r="P205">
        <v>207.28527500000001</v>
      </c>
      <c r="Q205">
        <v>1.2928846689870446</v>
      </c>
      <c r="R205">
        <v>43.710746399999998</v>
      </c>
      <c r="S205">
        <v>782.86708599999997</v>
      </c>
      <c r="T205">
        <v>3.0697185600000001E-10</v>
      </c>
      <c r="U205">
        <v>23.304868025330354</v>
      </c>
      <c r="V205">
        <v>80.72</v>
      </c>
      <c r="W205">
        <v>-148.90790320517081</v>
      </c>
      <c r="X205">
        <v>64.304255100000006</v>
      </c>
      <c r="Y205">
        <v>95.044972200000004</v>
      </c>
      <c r="Z205">
        <v>144.29</v>
      </c>
      <c r="AA205">
        <v>234.637821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1.2928846689870446</v>
      </c>
    </row>
    <row r="206" spans="1:41" x14ac:dyDescent="0.3">
      <c r="A206">
        <v>921.22197169520223</v>
      </c>
      <c r="B206">
        <v>39</v>
      </c>
      <c r="C206">
        <v>10</v>
      </c>
      <c r="D206">
        <v>1</v>
      </c>
      <c r="E206">
        <v>10</v>
      </c>
      <c r="F206">
        <v>5</v>
      </c>
      <c r="G206">
        <v>1.2</v>
      </c>
      <c r="H206">
        <v>18</v>
      </c>
      <c r="I206">
        <v>14</v>
      </c>
      <c r="J206">
        <v>1.4</v>
      </c>
      <c r="K206">
        <v>508059251.65388143</v>
      </c>
      <c r="L206">
        <v>54426300</v>
      </c>
      <c r="M206">
        <v>79694428.225471079</v>
      </c>
      <c r="N206">
        <v>71787600</v>
      </c>
      <c r="O206">
        <v>15891581.52</v>
      </c>
      <c r="P206">
        <v>208.906081</v>
      </c>
      <c r="Q206">
        <v>1.2841174046949224</v>
      </c>
      <c r="R206">
        <v>43.696707199999999</v>
      </c>
      <c r="S206">
        <v>783.26960800000006</v>
      </c>
      <c r="T206">
        <v>3.2441464399999999E-10</v>
      </c>
      <c r="U206">
        <v>23.354419551900232</v>
      </c>
      <c r="V206">
        <v>80.72</v>
      </c>
      <c r="W206">
        <v>-139.93681628635812</v>
      </c>
      <c r="X206">
        <v>64.250844700000002</v>
      </c>
      <c r="Y206">
        <v>94.967396399999998</v>
      </c>
      <c r="Z206">
        <v>144.29</v>
      </c>
      <c r="AA206">
        <v>235.821023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1.2841174046949224</v>
      </c>
    </row>
    <row r="207" spans="1:41" x14ac:dyDescent="0.3">
      <c r="A207">
        <v>910</v>
      </c>
      <c r="B207">
        <v>27</v>
      </c>
      <c r="C207">
        <v>19</v>
      </c>
      <c r="D207">
        <v>15</v>
      </c>
      <c r="E207">
        <v>23</v>
      </c>
      <c r="F207">
        <v>5</v>
      </c>
      <c r="G207">
        <v>0.3</v>
      </c>
      <c r="H207">
        <v>10</v>
      </c>
      <c r="I207">
        <v>7</v>
      </c>
      <c r="J207">
        <v>0.3</v>
      </c>
      <c r="K207">
        <v>507755887.23983312</v>
      </c>
      <c r="L207">
        <v>54426300</v>
      </c>
      <c r="M207">
        <v>79694463.544540763</v>
      </c>
      <c r="N207">
        <v>71787600</v>
      </c>
      <c r="O207">
        <v>15900687.92</v>
      </c>
      <c r="P207">
        <v>210.73335299999999</v>
      </c>
      <c r="Q207">
        <v>1.2720055475599665</v>
      </c>
      <c r="R207">
        <v>43.703150899999997</v>
      </c>
      <c r="S207">
        <v>782.18189299999995</v>
      </c>
      <c r="T207">
        <v>4.1285595299999998E-9</v>
      </c>
      <c r="U207">
        <v>22.758115392925617</v>
      </c>
      <c r="V207">
        <v>91.850000000000009</v>
      </c>
      <c r="W207">
        <v>-238.44881768184203</v>
      </c>
      <c r="X207">
        <v>62.8313548</v>
      </c>
      <c r="Y207">
        <v>92.454277099999999</v>
      </c>
      <c r="Z207">
        <v>177.97</v>
      </c>
      <c r="AA207">
        <v>238.024643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1.2720055475599665</v>
      </c>
    </row>
    <row r="208" spans="1:41" x14ac:dyDescent="0.3">
      <c r="A208">
        <v>910</v>
      </c>
      <c r="B208">
        <v>39</v>
      </c>
      <c r="C208">
        <v>10</v>
      </c>
      <c r="D208">
        <v>1</v>
      </c>
      <c r="E208">
        <v>16</v>
      </c>
      <c r="F208">
        <v>14</v>
      </c>
      <c r="G208">
        <v>1.2</v>
      </c>
      <c r="H208">
        <v>29</v>
      </c>
      <c r="I208">
        <v>14</v>
      </c>
      <c r="J208">
        <v>0.3</v>
      </c>
      <c r="K208">
        <v>507714248.97113252</v>
      </c>
      <c r="L208">
        <v>54426300</v>
      </c>
      <c r="M208">
        <v>79694453.059018612</v>
      </c>
      <c r="N208">
        <v>71787600</v>
      </c>
      <c r="O208">
        <v>15890533.84</v>
      </c>
      <c r="P208">
        <v>207.50400999999999</v>
      </c>
      <c r="Q208">
        <v>1.2916652922508223</v>
      </c>
      <c r="R208">
        <v>43.658368299999999</v>
      </c>
      <c r="S208">
        <v>785.21657199999993</v>
      </c>
      <c r="T208">
        <v>7.2409390600000004E-19</v>
      </c>
      <c r="U208">
        <v>23.558459646503792</v>
      </c>
      <c r="V208">
        <v>80.72</v>
      </c>
      <c r="W208">
        <v>-140.17637067124167</v>
      </c>
      <c r="X208">
        <v>63.122235199999999</v>
      </c>
      <c r="Y208">
        <v>94.944691500000005</v>
      </c>
      <c r="Z208">
        <v>100.934</v>
      </c>
      <c r="AA208">
        <v>235.46396899999999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1.2916652922508223</v>
      </c>
    </row>
    <row r="209" spans="1:41" x14ac:dyDescent="0.3">
      <c r="A209">
        <v>910</v>
      </c>
      <c r="B209">
        <v>27</v>
      </c>
      <c r="C209">
        <v>19</v>
      </c>
      <c r="D209">
        <v>15</v>
      </c>
      <c r="E209">
        <v>29</v>
      </c>
      <c r="F209">
        <v>14</v>
      </c>
      <c r="G209">
        <v>0.3</v>
      </c>
      <c r="H209">
        <v>29</v>
      </c>
      <c r="I209">
        <v>14</v>
      </c>
      <c r="J209">
        <v>0.3</v>
      </c>
      <c r="K209">
        <v>507715299.63358927</v>
      </c>
      <c r="L209">
        <v>54426300</v>
      </c>
      <c r="M209">
        <v>79694452.976842061</v>
      </c>
      <c r="N209">
        <v>71787600</v>
      </c>
      <c r="O209">
        <v>15897767.680000002</v>
      </c>
      <c r="P209">
        <v>211.16587999999999</v>
      </c>
      <c r="Q209">
        <v>1.2692696422710876</v>
      </c>
      <c r="R209">
        <v>43.701544200000001</v>
      </c>
      <c r="S209">
        <v>781.67054999999993</v>
      </c>
      <c r="T209">
        <v>1.72904559E-12</v>
      </c>
      <c r="U209">
        <v>22.692747211903999</v>
      </c>
      <c r="V209">
        <v>91.850000000000009</v>
      </c>
      <c r="W209">
        <v>-239.19497474463759</v>
      </c>
      <c r="X209">
        <v>62.868013099999999</v>
      </c>
      <c r="Y209">
        <v>92.474228400000001</v>
      </c>
      <c r="Z209">
        <v>177.97</v>
      </c>
      <c r="AA209">
        <v>236.21893700000001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1.2692696422710876</v>
      </c>
    </row>
    <row r="210" spans="1:41" x14ac:dyDescent="0.3">
      <c r="A210">
        <v>960</v>
      </c>
      <c r="B210">
        <v>39</v>
      </c>
      <c r="C210">
        <v>10</v>
      </c>
      <c r="D210">
        <v>15</v>
      </c>
      <c r="E210">
        <v>29</v>
      </c>
      <c r="F210">
        <v>14</v>
      </c>
      <c r="G210">
        <v>1.2</v>
      </c>
      <c r="H210">
        <v>29</v>
      </c>
      <c r="I210">
        <v>7</v>
      </c>
      <c r="J210">
        <v>0.3</v>
      </c>
      <c r="K210">
        <v>503764166.4806543</v>
      </c>
      <c r="L210">
        <v>54426300</v>
      </c>
      <c r="M210">
        <v>79694529.411509752</v>
      </c>
      <c r="N210">
        <v>71787600</v>
      </c>
      <c r="O210">
        <v>16389418.08</v>
      </c>
      <c r="P210">
        <v>202.65599800000001</v>
      </c>
      <c r="Q210">
        <v>1.3093330402318732</v>
      </c>
      <c r="R210">
        <v>43.943040600000003</v>
      </c>
      <c r="S210">
        <v>784.10351900000001</v>
      </c>
      <c r="T210">
        <v>3.8432395199999999E-21</v>
      </c>
      <c r="U210">
        <v>25.352108998886418</v>
      </c>
      <c r="V210">
        <v>100.934</v>
      </c>
      <c r="W210">
        <v>-230.51067976694432</v>
      </c>
      <c r="X210">
        <v>62.770794600000002</v>
      </c>
      <c r="Y210">
        <v>92.0488991</v>
      </c>
      <c r="Z210">
        <v>180.98100000000002</v>
      </c>
      <c r="AA210">
        <v>253.292878</v>
      </c>
      <c r="AB210">
        <v>100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0.14084359955456735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101.45017663978645</v>
      </c>
    </row>
    <row r="211" spans="1:41" x14ac:dyDescent="0.3">
      <c r="A211">
        <v>960</v>
      </c>
      <c r="B211">
        <v>27</v>
      </c>
      <c r="C211">
        <v>19</v>
      </c>
      <c r="D211">
        <v>1</v>
      </c>
      <c r="E211">
        <v>29</v>
      </c>
      <c r="F211">
        <v>14</v>
      </c>
      <c r="G211">
        <v>0.3</v>
      </c>
      <c r="H211">
        <v>29</v>
      </c>
      <c r="I211">
        <v>14</v>
      </c>
      <c r="J211">
        <v>0.3</v>
      </c>
      <c r="K211">
        <v>504006969.42884219</v>
      </c>
      <c r="L211">
        <v>54426300</v>
      </c>
      <c r="M211">
        <v>79694506.167256653</v>
      </c>
      <c r="N211">
        <v>71787600</v>
      </c>
      <c r="O211">
        <v>16376634.800000001</v>
      </c>
      <c r="P211">
        <v>200.87416400000001</v>
      </c>
      <c r="Q211">
        <v>1.3217679004651239</v>
      </c>
      <c r="R211">
        <v>43.660740199999999</v>
      </c>
      <c r="S211">
        <v>781.33244300000001</v>
      </c>
      <c r="T211">
        <v>2.45924978E-9</v>
      </c>
      <c r="U211">
        <v>22.542453694625003</v>
      </c>
      <c r="V211">
        <v>68.709999999999994</v>
      </c>
      <c r="W211">
        <v>-169.22764719875732</v>
      </c>
      <c r="X211">
        <v>64.470631299999994</v>
      </c>
      <c r="Y211">
        <v>95.219055400000002</v>
      </c>
      <c r="Z211">
        <v>177.97</v>
      </c>
      <c r="AA211">
        <v>233.58137199999999</v>
      </c>
      <c r="AB211">
        <v>100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101.32176790046512</v>
      </c>
    </row>
    <row r="212" spans="1:41" x14ac:dyDescent="0.3">
      <c r="A212">
        <v>944.5366650006647</v>
      </c>
      <c r="B212">
        <v>27</v>
      </c>
      <c r="C212">
        <v>10</v>
      </c>
      <c r="D212">
        <v>6.0748706801014869</v>
      </c>
      <c r="E212">
        <v>29</v>
      </c>
      <c r="F212">
        <v>14</v>
      </c>
      <c r="G212">
        <v>0.3</v>
      </c>
      <c r="H212">
        <v>10</v>
      </c>
      <c r="I212">
        <v>7</v>
      </c>
      <c r="J212">
        <v>0.3</v>
      </c>
      <c r="K212">
        <v>508936518.69035012</v>
      </c>
      <c r="L212">
        <v>54426300</v>
      </c>
      <c r="M212">
        <v>79694413.488339737</v>
      </c>
      <c r="N212">
        <v>71787600</v>
      </c>
      <c r="O212">
        <v>15898058</v>
      </c>
      <c r="P212">
        <v>213.021581</v>
      </c>
      <c r="Q212">
        <v>1.2621043864150989</v>
      </c>
      <c r="R212">
        <v>43.696434199999999</v>
      </c>
      <c r="S212">
        <v>781.91301499999997</v>
      </c>
      <c r="T212">
        <v>1.59308022E-16</v>
      </c>
      <c r="U212">
        <v>22.756652211852</v>
      </c>
      <c r="V212">
        <v>100.934</v>
      </c>
      <c r="W212">
        <v>-236.9398930286599</v>
      </c>
      <c r="X212">
        <v>62.777449400000002</v>
      </c>
      <c r="Y212">
        <v>92.565071000000003</v>
      </c>
      <c r="Z212">
        <v>177.97</v>
      </c>
      <c r="AA212">
        <v>238.82173499999999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1.2621043864150989</v>
      </c>
    </row>
    <row r="213" spans="1:41" x14ac:dyDescent="0.3">
      <c r="A213">
        <v>918.85456495493997</v>
      </c>
      <c r="B213">
        <v>39</v>
      </c>
      <c r="C213">
        <v>10</v>
      </c>
      <c r="D213">
        <v>4.8290962729184557</v>
      </c>
      <c r="E213">
        <v>10</v>
      </c>
      <c r="F213">
        <v>5</v>
      </c>
      <c r="G213">
        <v>0.3</v>
      </c>
      <c r="H213">
        <v>29</v>
      </c>
      <c r="I213">
        <v>7</v>
      </c>
      <c r="J213">
        <v>0.3</v>
      </c>
      <c r="K213">
        <v>508138474.91354787</v>
      </c>
      <c r="L213">
        <v>54426300</v>
      </c>
      <c r="M213">
        <v>79694437.944491476</v>
      </c>
      <c r="N213">
        <v>71787600</v>
      </c>
      <c r="O213">
        <v>15894381.359999999</v>
      </c>
      <c r="P213">
        <v>212.49453500000001</v>
      </c>
      <c r="Q213">
        <v>1.2626852529381056</v>
      </c>
      <c r="R213">
        <v>43.584437000000001</v>
      </c>
      <c r="S213">
        <v>782.45242500000006</v>
      </c>
      <c r="T213">
        <v>5.5845754299999999E-9</v>
      </c>
      <c r="U213">
        <v>22.832103800797483</v>
      </c>
      <c r="V213">
        <v>100.934</v>
      </c>
      <c r="W213">
        <v>-239.70445350871725</v>
      </c>
      <c r="X213">
        <v>62.866084700000002</v>
      </c>
      <c r="Y213">
        <v>92.478084699999997</v>
      </c>
      <c r="Z213">
        <v>144.29</v>
      </c>
      <c r="AA213">
        <v>233.417033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1.2626852529381056</v>
      </c>
    </row>
    <row r="214" spans="1:41" x14ac:dyDescent="0.3">
      <c r="A214">
        <v>910</v>
      </c>
      <c r="B214">
        <v>36</v>
      </c>
      <c r="C214">
        <v>19</v>
      </c>
      <c r="D214">
        <v>15</v>
      </c>
      <c r="E214">
        <v>29</v>
      </c>
      <c r="F214">
        <v>5</v>
      </c>
      <c r="G214">
        <v>0.3</v>
      </c>
      <c r="H214">
        <v>16</v>
      </c>
      <c r="I214">
        <v>14</v>
      </c>
      <c r="J214">
        <v>0.3</v>
      </c>
      <c r="K214">
        <v>507786064.4062165</v>
      </c>
      <c r="L214">
        <v>54426300</v>
      </c>
      <c r="M214">
        <v>79694474.603655234</v>
      </c>
      <c r="N214">
        <v>71787600</v>
      </c>
      <c r="O214">
        <v>15903711.520000001</v>
      </c>
      <c r="P214">
        <v>210.38608400000001</v>
      </c>
      <c r="Q214">
        <v>1.2742025275584661</v>
      </c>
      <c r="R214">
        <v>43.711762499999999</v>
      </c>
      <c r="S214">
        <v>782.19526800000006</v>
      </c>
      <c r="T214">
        <v>4.0826576900000003E-9</v>
      </c>
      <c r="U214">
        <v>22.666361118080662</v>
      </c>
      <c r="V214">
        <v>100.934</v>
      </c>
      <c r="W214">
        <v>-235.99551513271396</v>
      </c>
      <c r="X214">
        <v>62.790333799999999</v>
      </c>
      <c r="Y214">
        <v>92.152982199999997</v>
      </c>
      <c r="Z214">
        <v>177.97</v>
      </c>
      <c r="AA214">
        <v>242.647291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1.2742025275584661</v>
      </c>
    </row>
    <row r="215" spans="1:41" x14ac:dyDescent="0.3">
      <c r="A215">
        <v>910</v>
      </c>
      <c r="B215">
        <v>39</v>
      </c>
      <c r="C215">
        <v>19</v>
      </c>
      <c r="D215">
        <v>1</v>
      </c>
      <c r="E215">
        <v>29</v>
      </c>
      <c r="F215">
        <v>14</v>
      </c>
      <c r="G215">
        <v>0.3</v>
      </c>
      <c r="H215">
        <v>10</v>
      </c>
      <c r="I215">
        <v>7</v>
      </c>
      <c r="J215">
        <v>1.4</v>
      </c>
      <c r="K215">
        <v>507717992.84432638</v>
      </c>
      <c r="L215">
        <v>54426300</v>
      </c>
      <c r="M215">
        <v>79694445.582185343</v>
      </c>
      <c r="N215">
        <v>71787600</v>
      </c>
      <c r="O215">
        <v>15888787.76</v>
      </c>
      <c r="P215">
        <v>208.43149500000001</v>
      </c>
      <c r="Q215">
        <v>1.2859297932271088</v>
      </c>
      <c r="R215">
        <v>43.643939000000003</v>
      </c>
      <c r="S215">
        <v>782.14475500000003</v>
      </c>
      <c r="T215">
        <v>9.9110688099999996E-17</v>
      </c>
      <c r="U215">
        <v>22.691552401437999</v>
      </c>
      <c r="V215">
        <v>80.72</v>
      </c>
      <c r="W215">
        <v>-147.87292158607897</v>
      </c>
      <c r="X215">
        <v>64.300827799999993</v>
      </c>
      <c r="Y215">
        <v>94.957818599999996</v>
      </c>
      <c r="Z215">
        <v>177.97</v>
      </c>
      <c r="AA215">
        <v>234.07699500000001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1.2859297932271088</v>
      </c>
    </row>
    <row r="216" spans="1:41" x14ac:dyDescent="0.3">
      <c r="A216">
        <v>910</v>
      </c>
      <c r="B216">
        <v>27</v>
      </c>
      <c r="C216">
        <v>10</v>
      </c>
      <c r="D216">
        <v>15</v>
      </c>
      <c r="E216">
        <v>29</v>
      </c>
      <c r="F216">
        <v>5</v>
      </c>
      <c r="G216">
        <v>0.3</v>
      </c>
      <c r="H216">
        <v>18</v>
      </c>
      <c r="I216">
        <v>14</v>
      </c>
      <c r="J216">
        <v>0.3</v>
      </c>
      <c r="K216">
        <v>507728222.66714472</v>
      </c>
      <c r="L216">
        <v>54426300</v>
      </c>
      <c r="M216">
        <v>79694454.798696145</v>
      </c>
      <c r="N216">
        <v>71787600</v>
      </c>
      <c r="O216">
        <v>15898210.719999999</v>
      </c>
      <c r="P216">
        <v>211.00994299999999</v>
      </c>
      <c r="Q216">
        <v>1.2702492120714948</v>
      </c>
      <c r="R216">
        <v>43.713575800000001</v>
      </c>
      <c r="S216">
        <v>782.01056900000003</v>
      </c>
      <c r="T216">
        <v>4.05278587E-9</v>
      </c>
      <c r="U216">
        <v>22.601310268343994</v>
      </c>
      <c r="V216">
        <v>100.934</v>
      </c>
      <c r="W216">
        <v>-236.88191251760338</v>
      </c>
      <c r="X216">
        <v>62.856368000000003</v>
      </c>
      <c r="Y216">
        <v>92.442790099999996</v>
      </c>
      <c r="Z216">
        <v>177.97</v>
      </c>
      <c r="AA216">
        <v>236.11361199999999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1.2702492120714948</v>
      </c>
    </row>
    <row r="217" spans="1:41" x14ac:dyDescent="0.3">
      <c r="A217">
        <v>921.35012227163543</v>
      </c>
      <c r="B217">
        <v>39</v>
      </c>
      <c r="C217">
        <v>19</v>
      </c>
      <c r="D217">
        <v>1</v>
      </c>
      <c r="E217">
        <v>10</v>
      </c>
      <c r="F217">
        <v>5</v>
      </c>
      <c r="G217">
        <v>1.2</v>
      </c>
      <c r="H217">
        <v>10</v>
      </c>
      <c r="I217">
        <v>7</v>
      </c>
      <c r="J217">
        <v>1.4</v>
      </c>
      <c r="K217">
        <v>508067413.86264133</v>
      </c>
      <c r="L217">
        <v>54426300</v>
      </c>
      <c r="M217">
        <v>79694428.326959118</v>
      </c>
      <c r="N217">
        <v>71787600</v>
      </c>
      <c r="O217">
        <v>15891730.4</v>
      </c>
      <c r="P217">
        <v>208.42493300000001</v>
      </c>
      <c r="Q217">
        <v>1.2871083687283411</v>
      </c>
      <c r="R217">
        <v>43.695234900000003</v>
      </c>
      <c r="S217">
        <v>783.27750800000001</v>
      </c>
      <c r="T217">
        <v>3.1409303299999998E-10</v>
      </c>
      <c r="U217">
        <v>23.576764579706566</v>
      </c>
      <c r="V217">
        <v>80.72</v>
      </c>
      <c r="W217">
        <v>-148.13505917215167</v>
      </c>
      <c r="X217">
        <v>64.277504100000002</v>
      </c>
      <c r="Y217">
        <v>94.9449051</v>
      </c>
      <c r="Z217">
        <v>144.29</v>
      </c>
      <c r="AA217">
        <v>236.30165199999999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1.2871083687283411</v>
      </c>
    </row>
    <row r="218" spans="1:41" x14ac:dyDescent="0.3">
      <c r="A218">
        <v>919.9892386919214</v>
      </c>
      <c r="B218">
        <v>27</v>
      </c>
      <c r="C218">
        <v>10</v>
      </c>
      <c r="D218">
        <v>15</v>
      </c>
      <c r="E218">
        <v>10</v>
      </c>
      <c r="F218">
        <v>5</v>
      </c>
      <c r="G218">
        <v>0.3</v>
      </c>
      <c r="H218">
        <v>29</v>
      </c>
      <c r="I218">
        <v>7</v>
      </c>
      <c r="J218">
        <v>1.4</v>
      </c>
      <c r="K218">
        <v>508172728.47622097</v>
      </c>
      <c r="L218">
        <v>54426300</v>
      </c>
      <c r="M218">
        <v>79694429.703621745</v>
      </c>
      <c r="N218">
        <v>71787600</v>
      </c>
      <c r="O218">
        <v>15898436.799999999</v>
      </c>
      <c r="P218">
        <v>213.02597900000001</v>
      </c>
      <c r="Q218">
        <v>1.2596443407541493</v>
      </c>
      <c r="R218">
        <v>43.587833699999997</v>
      </c>
      <c r="S218">
        <v>782.30463800000007</v>
      </c>
      <c r="T218">
        <v>5.56376381E-9</v>
      </c>
      <c r="U218">
        <v>22.785056189772135</v>
      </c>
      <c r="V218">
        <v>100.934</v>
      </c>
      <c r="W218">
        <v>-241.9442649253333</v>
      </c>
      <c r="X218">
        <v>62.904984800000001</v>
      </c>
      <c r="Y218">
        <v>92.471368200000001</v>
      </c>
      <c r="Z218">
        <v>144.29</v>
      </c>
      <c r="AA218">
        <v>229.84704199999999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1.2596443407541493</v>
      </c>
    </row>
    <row r="219" spans="1:41" x14ac:dyDescent="0.3">
      <c r="A219">
        <v>918.16656123199448</v>
      </c>
      <c r="B219">
        <v>39</v>
      </c>
      <c r="C219">
        <v>10</v>
      </c>
      <c r="D219">
        <v>15</v>
      </c>
      <c r="E219">
        <v>29</v>
      </c>
      <c r="F219">
        <v>14</v>
      </c>
      <c r="G219">
        <v>1.2</v>
      </c>
      <c r="H219">
        <v>16</v>
      </c>
      <c r="I219">
        <v>14</v>
      </c>
      <c r="J219">
        <v>1.4</v>
      </c>
      <c r="K219">
        <v>507750296.92524803</v>
      </c>
      <c r="L219">
        <v>54426300</v>
      </c>
      <c r="M219">
        <v>79694434.63072215</v>
      </c>
      <c r="N219">
        <v>71787600</v>
      </c>
      <c r="O219">
        <v>15898371.119999999</v>
      </c>
      <c r="P219">
        <v>210.42390800000001</v>
      </c>
      <c r="Q219">
        <v>1.2738580972377627</v>
      </c>
      <c r="R219">
        <v>43.902919799999999</v>
      </c>
      <c r="S219">
        <v>782.85114699999997</v>
      </c>
      <c r="T219">
        <v>1.83249795E-10</v>
      </c>
      <c r="U219">
        <v>24.52552236459605</v>
      </c>
      <c r="V219">
        <v>100.934</v>
      </c>
      <c r="W219">
        <v>-235.37507381900411</v>
      </c>
      <c r="X219">
        <v>62.905797800000002</v>
      </c>
      <c r="Y219">
        <v>92.145176899999996</v>
      </c>
      <c r="Z219">
        <v>180.98100000000002</v>
      </c>
      <c r="AA219">
        <v>251.73373900000001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1.2738580972377627</v>
      </c>
    </row>
    <row r="220" spans="1:41" x14ac:dyDescent="0.3">
      <c r="A220">
        <v>910</v>
      </c>
      <c r="B220">
        <v>39</v>
      </c>
      <c r="C220">
        <v>10</v>
      </c>
      <c r="D220">
        <v>1</v>
      </c>
      <c r="E220">
        <v>29</v>
      </c>
      <c r="F220">
        <v>5</v>
      </c>
      <c r="G220">
        <v>0.3</v>
      </c>
      <c r="H220">
        <v>19</v>
      </c>
      <c r="I220">
        <v>14</v>
      </c>
      <c r="J220">
        <v>0.3</v>
      </c>
      <c r="K220">
        <v>507736198.85832542</v>
      </c>
      <c r="L220">
        <v>54426300</v>
      </c>
      <c r="M220">
        <v>79694454.606197581</v>
      </c>
      <c r="N220">
        <v>71787600</v>
      </c>
      <c r="O220">
        <v>15891031.92</v>
      </c>
      <c r="P220">
        <v>208.28087600000001</v>
      </c>
      <c r="Q220">
        <v>1.2869190569049209</v>
      </c>
      <c r="R220">
        <v>43.659115900000003</v>
      </c>
      <c r="S220">
        <v>782.54579799999999</v>
      </c>
      <c r="T220">
        <v>3.5237904599999999E-9</v>
      </c>
      <c r="U220">
        <v>22.42518584603885</v>
      </c>
      <c r="V220">
        <v>80.72</v>
      </c>
      <c r="W220">
        <v>-137.95171543596928</v>
      </c>
      <c r="X220">
        <v>63.123268600000003</v>
      </c>
      <c r="Y220">
        <v>94.945289099999997</v>
      </c>
      <c r="Z220">
        <v>177.97</v>
      </c>
      <c r="AA220">
        <v>234.62620200000001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1.2869190569049209</v>
      </c>
    </row>
    <row r="221" spans="1:41" x14ac:dyDescent="0.3">
      <c r="A221">
        <v>910</v>
      </c>
      <c r="B221">
        <v>39</v>
      </c>
      <c r="C221">
        <v>19</v>
      </c>
      <c r="D221">
        <v>8.627111844526647</v>
      </c>
      <c r="E221">
        <v>29</v>
      </c>
      <c r="F221">
        <v>5</v>
      </c>
      <c r="G221">
        <v>1.2</v>
      </c>
      <c r="H221">
        <v>10</v>
      </c>
      <c r="I221">
        <v>7</v>
      </c>
      <c r="J221">
        <v>0.3</v>
      </c>
      <c r="K221">
        <v>507632664.17387372</v>
      </c>
      <c r="L221">
        <v>54426300</v>
      </c>
      <c r="M221">
        <v>79694487.429976374</v>
      </c>
      <c r="N221">
        <v>71787600</v>
      </c>
      <c r="O221">
        <v>15902939.200000001</v>
      </c>
      <c r="P221">
        <v>207.19118399999999</v>
      </c>
      <c r="Q221">
        <v>1.2933481931462902</v>
      </c>
      <c r="R221">
        <v>43.891881099999999</v>
      </c>
      <c r="S221">
        <v>783.70158400000003</v>
      </c>
      <c r="T221">
        <v>1.8823987300000001E-10</v>
      </c>
      <c r="U221">
        <v>24.823692165755091</v>
      </c>
      <c r="V221">
        <v>100.934</v>
      </c>
      <c r="W221">
        <v>-230.66805877878883</v>
      </c>
      <c r="X221">
        <v>62.645146199999999</v>
      </c>
      <c r="Y221">
        <v>92.110247200000003</v>
      </c>
      <c r="Z221">
        <v>180.98100000000002</v>
      </c>
      <c r="AA221">
        <v>254.33169899999999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1.2933481931462902</v>
      </c>
    </row>
    <row r="222" spans="1:41" x14ac:dyDescent="0.3">
      <c r="A222">
        <v>918.63050104772788</v>
      </c>
      <c r="B222">
        <v>39</v>
      </c>
      <c r="C222">
        <v>19</v>
      </c>
      <c r="D222">
        <v>15</v>
      </c>
      <c r="E222">
        <v>29</v>
      </c>
      <c r="F222">
        <v>5</v>
      </c>
      <c r="G222">
        <v>1.2</v>
      </c>
      <c r="H222">
        <v>29</v>
      </c>
      <c r="I222">
        <v>14</v>
      </c>
      <c r="J222">
        <v>1.4</v>
      </c>
      <c r="K222">
        <v>507778127.33157349</v>
      </c>
      <c r="L222">
        <v>54426300</v>
      </c>
      <c r="M222">
        <v>79694434.520400137</v>
      </c>
      <c r="N222">
        <v>71787600</v>
      </c>
      <c r="O222">
        <v>15898586.799999999</v>
      </c>
      <c r="P222">
        <v>210.348907</v>
      </c>
      <c r="Q222">
        <v>1.2744021145407709</v>
      </c>
      <c r="R222">
        <v>43.902700899999999</v>
      </c>
      <c r="S222">
        <v>782.88413100000002</v>
      </c>
      <c r="T222">
        <v>1.8343007000000001E-10</v>
      </c>
      <c r="U222">
        <v>24.537402527636466</v>
      </c>
      <c r="V222">
        <v>100.934</v>
      </c>
      <c r="W222">
        <v>-235.47664732552263</v>
      </c>
      <c r="X222">
        <v>62.8930851</v>
      </c>
      <c r="Y222">
        <v>92.128942300000006</v>
      </c>
      <c r="Z222">
        <v>180.98100000000002</v>
      </c>
      <c r="AA222">
        <v>246.12793199999999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1.2744021145407709</v>
      </c>
    </row>
    <row r="223" spans="1:41" x14ac:dyDescent="0.3">
      <c r="A223">
        <v>922.58980765692206</v>
      </c>
      <c r="B223">
        <v>39</v>
      </c>
      <c r="C223">
        <v>19</v>
      </c>
      <c r="D223">
        <v>1</v>
      </c>
      <c r="E223">
        <v>10</v>
      </c>
      <c r="F223">
        <v>5</v>
      </c>
      <c r="G223">
        <v>1.2</v>
      </c>
      <c r="H223">
        <v>29</v>
      </c>
      <c r="I223">
        <v>7</v>
      </c>
      <c r="J223">
        <v>1.4</v>
      </c>
      <c r="K223">
        <v>508119724.26490343</v>
      </c>
      <c r="L223">
        <v>54426300</v>
      </c>
      <c r="M223">
        <v>79694426.028481051</v>
      </c>
      <c r="N223">
        <v>71787600</v>
      </c>
      <c r="O223">
        <v>15891918.24</v>
      </c>
      <c r="P223">
        <v>208.48290600000001</v>
      </c>
      <c r="Q223">
        <v>1.2869207929236031</v>
      </c>
      <c r="R223">
        <v>43.695099399999997</v>
      </c>
      <c r="S223">
        <v>783.28797199999997</v>
      </c>
      <c r="T223">
        <v>3.1403463099999999E-10</v>
      </c>
      <c r="U223">
        <v>23.580431697857581</v>
      </c>
      <c r="V223">
        <v>80.72</v>
      </c>
      <c r="W223">
        <v>-148.13286634858508</v>
      </c>
      <c r="X223">
        <v>64.271929999999998</v>
      </c>
      <c r="Y223">
        <v>94.941914299999993</v>
      </c>
      <c r="Z223">
        <v>144.29</v>
      </c>
      <c r="AA223">
        <v>234.98591500000001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1.2869207929236031</v>
      </c>
    </row>
    <row r="224" spans="1:41" x14ac:dyDescent="0.3">
      <c r="A224">
        <v>910</v>
      </c>
      <c r="B224">
        <v>39</v>
      </c>
      <c r="C224">
        <v>19</v>
      </c>
      <c r="D224">
        <v>1</v>
      </c>
      <c r="E224">
        <v>10</v>
      </c>
      <c r="F224">
        <v>5</v>
      </c>
      <c r="G224">
        <v>1.2</v>
      </c>
      <c r="H224">
        <v>20</v>
      </c>
      <c r="I224">
        <v>14</v>
      </c>
      <c r="J224">
        <v>1.4</v>
      </c>
      <c r="K224">
        <v>507663787.53961349</v>
      </c>
      <c r="L224">
        <v>54426300</v>
      </c>
      <c r="M224">
        <v>79694445.649364665</v>
      </c>
      <c r="N224">
        <v>71787600</v>
      </c>
      <c r="O224">
        <v>15888713.6</v>
      </c>
      <c r="P224">
        <v>207.61763199999999</v>
      </c>
      <c r="Q224">
        <v>1.2907934125678528</v>
      </c>
      <c r="R224">
        <v>43.695485300000001</v>
      </c>
      <c r="S224">
        <v>783.26022799999998</v>
      </c>
      <c r="T224">
        <v>3.1512067300000001E-10</v>
      </c>
      <c r="U224">
        <v>23.574546933321912</v>
      </c>
      <c r="V224">
        <v>80.72</v>
      </c>
      <c r="W224">
        <v>-148.05877276797355</v>
      </c>
      <c r="X224">
        <v>64.2920321</v>
      </c>
      <c r="Y224">
        <v>94.953232700000001</v>
      </c>
      <c r="Z224">
        <v>144.29</v>
      </c>
      <c r="AA224">
        <v>235.12029899999999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1.2907934125678528</v>
      </c>
    </row>
    <row r="225" spans="1:41" x14ac:dyDescent="0.3">
      <c r="A225">
        <v>919.68011676710285</v>
      </c>
      <c r="B225">
        <v>39</v>
      </c>
      <c r="C225">
        <v>10</v>
      </c>
      <c r="D225">
        <v>15</v>
      </c>
      <c r="E225">
        <v>21</v>
      </c>
      <c r="F225">
        <v>5</v>
      </c>
      <c r="G225">
        <v>1.2</v>
      </c>
      <c r="H225">
        <v>29</v>
      </c>
      <c r="I225">
        <v>7</v>
      </c>
      <c r="J225">
        <v>1.4</v>
      </c>
      <c r="K225">
        <v>507837658.7224313</v>
      </c>
      <c r="L225">
        <v>54426300</v>
      </c>
      <c r="M225">
        <v>79694432.537480026</v>
      </c>
      <c r="N225">
        <v>71787600</v>
      </c>
      <c r="O225">
        <v>15898821.040000001</v>
      </c>
      <c r="P225">
        <v>210.569365</v>
      </c>
      <c r="Q225">
        <v>1.273259788107538</v>
      </c>
      <c r="R225">
        <v>43.885002900000003</v>
      </c>
      <c r="S225">
        <v>782.87345900000003</v>
      </c>
      <c r="T225">
        <v>1.9651345500000001E-10</v>
      </c>
      <c r="U225">
        <v>24.347143969770105</v>
      </c>
      <c r="V225">
        <v>100.934</v>
      </c>
      <c r="W225">
        <v>-235.71587988145697</v>
      </c>
      <c r="X225">
        <v>62.893925400000001</v>
      </c>
      <c r="Y225">
        <v>92.138756400000005</v>
      </c>
      <c r="Z225">
        <v>180.98100000000002</v>
      </c>
      <c r="AA225">
        <v>244.185261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1.273259788107538</v>
      </c>
    </row>
    <row r="226" spans="1:41" x14ac:dyDescent="0.3">
      <c r="A226">
        <v>916.56974855800013</v>
      </c>
      <c r="B226">
        <v>39</v>
      </c>
      <c r="C226">
        <v>10</v>
      </c>
      <c r="D226">
        <v>1</v>
      </c>
      <c r="E226">
        <v>18</v>
      </c>
      <c r="F226">
        <v>5</v>
      </c>
      <c r="G226">
        <v>0.3</v>
      </c>
      <c r="H226">
        <v>10</v>
      </c>
      <c r="I226">
        <v>7</v>
      </c>
      <c r="J226">
        <v>1.4</v>
      </c>
      <c r="K226">
        <v>508054296.54845375</v>
      </c>
      <c r="L226">
        <v>54426300</v>
      </c>
      <c r="M226">
        <v>79694433.156474873</v>
      </c>
      <c r="N226">
        <v>71787600</v>
      </c>
      <c r="O226">
        <v>15893458.16</v>
      </c>
      <c r="P226">
        <v>209.505101</v>
      </c>
      <c r="Q226">
        <v>1.2804297818027817</v>
      </c>
      <c r="R226">
        <v>43.6351844</v>
      </c>
      <c r="S226">
        <v>782.66863000000001</v>
      </c>
      <c r="T226">
        <v>3.6902666399999998E-9</v>
      </c>
      <c r="U226">
        <v>22.661726210247814</v>
      </c>
      <c r="V226">
        <v>80.72</v>
      </c>
      <c r="W226">
        <v>-140.38424137401452</v>
      </c>
      <c r="X226">
        <v>64.263343500000005</v>
      </c>
      <c r="Y226">
        <v>94.974043600000002</v>
      </c>
      <c r="Z226">
        <v>177.97</v>
      </c>
      <c r="AA226">
        <v>233.49739099999999</v>
      </c>
      <c r="AB226">
        <v>100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101.28042978180278</v>
      </c>
    </row>
    <row r="227" spans="1:41" x14ac:dyDescent="0.3">
      <c r="A227">
        <v>959.08500606420046</v>
      </c>
      <c r="B227">
        <v>39</v>
      </c>
      <c r="C227">
        <v>19</v>
      </c>
      <c r="D227">
        <v>1.0367050479625264</v>
      </c>
      <c r="E227">
        <v>10</v>
      </c>
      <c r="F227">
        <v>8</v>
      </c>
      <c r="G227">
        <v>0.3</v>
      </c>
      <c r="H227">
        <v>10</v>
      </c>
      <c r="I227">
        <v>7</v>
      </c>
      <c r="J227">
        <v>0.3</v>
      </c>
      <c r="K227">
        <v>504223473.05000675</v>
      </c>
      <c r="L227">
        <v>54426300</v>
      </c>
      <c r="M227">
        <v>79694504.870099843</v>
      </c>
      <c r="N227">
        <v>71787600</v>
      </c>
      <c r="O227">
        <v>16377507.76</v>
      </c>
      <c r="P227">
        <v>206.92936800000001</v>
      </c>
      <c r="Q227">
        <v>1.2838003574266577</v>
      </c>
      <c r="R227">
        <v>43.352997000000002</v>
      </c>
      <c r="S227">
        <v>783.89574700000003</v>
      </c>
      <c r="T227">
        <v>4.9989316300000003E-11</v>
      </c>
      <c r="U227">
        <v>22.507533991710755</v>
      </c>
      <c r="V227">
        <v>80.72</v>
      </c>
      <c r="W227">
        <v>-150.05324247289033</v>
      </c>
      <c r="X227">
        <v>64.407301700000005</v>
      </c>
      <c r="Y227">
        <v>94.850245700000002</v>
      </c>
      <c r="Z227">
        <v>100.934</v>
      </c>
      <c r="AA227">
        <v>231.16269600000001</v>
      </c>
      <c r="AB227">
        <v>100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101.28380035742666</v>
      </c>
    </row>
    <row r="228" spans="1:41" x14ac:dyDescent="0.3">
      <c r="A228">
        <v>910</v>
      </c>
      <c r="B228">
        <v>27</v>
      </c>
      <c r="C228">
        <v>19</v>
      </c>
      <c r="D228">
        <v>15</v>
      </c>
      <c r="E228">
        <v>10</v>
      </c>
      <c r="F228">
        <v>5</v>
      </c>
      <c r="G228">
        <v>0.3</v>
      </c>
      <c r="H228">
        <v>20</v>
      </c>
      <c r="I228">
        <v>14</v>
      </c>
      <c r="J228">
        <v>1.4</v>
      </c>
      <c r="K228">
        <v>507813079.10134351</v>
      </c>
      <c r="L228">
        <v>54426300</v>
      </c>
      <c r="M228">
        <v>79694445.2070494</v>
      </c>
      <c r="N228">
        <v>71787600</v>
      </c>
      <c r="O228">
        <v>15895914.720000001</v>
      </c>
      <c r="P228">
        <v>212.29712699999999</v>
      </c>
      <c r="Q228">
        <v>1.2628188748881528</v>
      </c>
      <c r="R228">
        <v>43.588785000000001</v>
      </c>
      <c r="S228">
        <v>782.26177799999994</v>
      </c>
      <c r="T228">
        <v>5.5733618300000004E-9</v>
      </c>
      <c r="U228">
        <v>22.778265465528538</v>
      </c>
      <c r="V228">
        <v>91.850000000000009</v>
      </c>
      <c r="W228">
        <v>-242.79870111619863</v>
      </c>
      <c r="X228">
        <v>62.918989199999999</v>
      </c>
      <c r="Y228">
        <v>92.501996399999996</v>
      </c>
      <c r="Z228">
        <v>144.29</v>
      </c>
      <c r="AA228">
        <v>229.994587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1.2628188748881528</v>
      </c>
    </row>
    <row r="229" spans="1:41" x14ac:dyDescent="0.3">
      <c r="A229">
        <v>920.80369826613548</v>
      </c>
      <c r="B229">
        <v>27</v>
      </c>
      <c r="C229">
        <v>10</v>
      </c>
      <c r="D229">
        <v>15</v>
      </c>
      <c r="E229">
        <v>29</v>
      </c>
      <c r="F229">
        <v>5</v>
      </c>
      <c r="G229">
        <v>0.3</v>
      </c>
      <c r="H229">
        <v>29</v>
      </c>
      <c r="I229">
        <v>14</v>
      </c>
      <c r="J229">
        <v>1.4</v>
      </c>
      <c r="K229">
        <v>508095577.44678319</v>
      </c>
      <c r="L229">
        <v>54426300</v>
      </c>
      <c r="M229">
        <v>79694428.725309938</v>
      </c>
      <c r="N229">
        <v>71787600</v>
      </c>
      <c r="O229">
        <v>15898730.640000001</v>
      </c>
      <c r="P229">
        <v>212.38288800000001</v>
      </c>
      <c r="Q229">
        <v>1.2632119142731377</v>
      </c>
      <c r="R229">
        <v>43.716522500000004</v>
      </c>
      <c r="S229">
        <v>781.83760900000004</v>
      </c>
      <c r="T229">
        <v>4.01468579E-9</v>
      </c>
      <c r="U229">
        <v>22.541330265040934</v>
      </c>
      <c r="V229">
        <v>100.934</v>
      </c>
      <c r="W229">
        <v>-238.07753085274558</v>
      </c>
      <c r="X229">
        <v>62.903374200000002</v>
      </c>
      <c r="Y229">
        <v>92.470682600000004</v>
      </c>
      <c r="Z229">
        <v>177.97</v>
      </c>
      <c r="AA229">
        <v>233.18787499999999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1.2632119142731377</v>
      </c>
    </row>
    <row r="230" spans="1:41" x14ac:dyDescent="0.3">
      <c r="A230">
        <v>944.10462062640443</v>
      </c>
      <c r="B230">
        <v>27</v>
      </c>
      <c r="C230">
        <v>19</v>
      </c>
      <c r="D230">
        <v>1</v>
      </c>
      <c r="E230">
        <v>29</v>
      </c>
      <c r="F230">
        <v>14</v>
      </c>
      <c r="G230">
        <v>0.3</v>
      </c>
      <c r="H230">
        <v>10</v>
      </c>
      <c r="I230">
        <v>7</v>
      </c>
      <c r="J230">
        <v>1.4</v>
      </c>
      <c r="K230">
        <v>508942617.03973246</v>
      </c>
      <c r="L230">
        <v>54426300</v>
      </c>
      <c r="M230">
        <v>79694394.895073861</v>
      </c>
      <c r="N230">
        <v>71787600</v>
      </c>
      <c r="O230">
        <v>15890180.640000001</v>
      </c>
      <c r="P230">
        <v>208.30291700000001</v>
      </c>
      <c r="Q230">
        <v>1.2907145783124245</v>
      </c>
      <c r="R230">
        <v>43.662232500000002</v>
      </c>
      <c r="S230">
        <v>781.232485</v>
      </c>
      <c r="T230">
        <v>2.2909995999999999E-9</v>
      </c>
      <c r="U230">
        <v>22.518633899986</v>
      </c>
      <c r="V230">
        <v>68.709999999999994</v>
      </c>
      <c r="W230">
        <v>-170.11530761845003</v>
      </c>
      <c r="X230">
        <v>64.432601000000005</v>
      </c>
      <c r="Y230">
        <v>95.191688900000003</v>
      </c>
      <c r="Z230">
        <v>177.97</v>
      </c>
      <c r="AA230">
        <v>232.06662399999999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1.2907145783124245</v>
      </c>
    </row>
    <row r="231" spans="1:41" x14ac:dyDescent="0.3">
      <c r="A231">
        <v>910</v>
      </c>
      <c r="B231">
        <v>31</v>
      </c>
      <c r="C231">
        <v>10</v>
      </c>
      <c r="D231">
        <v>15</v>
      </c>
      <c r="E231">
        <v>10</v>
      </c>
      <c r="F231">
        <v>5</v>
      </c>
      <c r="G231">
        <v>1.2</v>
      </c>
      <c r="H231">
        <v>21</v>
      </c>
      <c r="I231">
        <v>7</v>
      </c>
      <c r="J231">
        <v>1.4</v>
      </c>
      <c r="K231">
        <v>507640053.62904298</v>
      </c>
      <c r="L231">
        <v>54426300</v>
      </c>
      <c r="M231">
        <v>79694445.755577862</v>
      </c>
      <c r="N231">
        <v>71787600</v>
      </c>
      <c r="O231">
        <v>15896000.24</v>
      </c>
      <c r="P231">
        <v>210.98532399999999</v>
      </c>
      <c r="Q231">
        <v>1.2701137441756034</v>
      </c>
      <c r="R231">
        <v>43.7506871</v>
      </c>
      <c r="S231">
        <v>782.58720400000004</v>
      </c>
      <c r="T231">
        <v>3.66065109E-10</v>
      </c>
      <c r="U231">
        <v>23.452905328432344</v>
      </c>
      <c r="V231">
        <v>100.934</v>
      </c>
      <c r="W231">
        <v>-239.57751514712183</v>
      </c>
      <c r="X231">
        <v>62.918782200000003</v>
      </c>
      <c r="Y231">
        <v>92.362136800000002</v>
      </c>
      <c r="Z231">
        <v>144.29</v>
      </c>
      <c r="AA231">
        <v>236.51795999999999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1.2701137441756034</v>
      </c>
    </row>
    <row r="232" spans="1:41" x14ac:dyDescent="0.3">
      <c r="A232">
        <v>949.42855937847651</v>
      </c>
      <c r="B232">
        <v>27</v>
      </c>
      <c r="C232">
        <v>19</v>
      </c>
      <c r="D232">
        <v>1</v>
      </c>
      <c r="E232">
        <v>10</v>
      </c>
      <c r="F232">
        <v>5</v>
      </c>
      <c r="G232">
        <v>1.2</v>
      </c>
      <c r="H232">
        <v>29</v>
      </c>
      <c r="I232">
        <v>14</v>
      </c>
      <c r="J232">
        <v>1.4</v>
      </c>
      <c r="K232">
        <v>509094277.56846225</v>
      </c>
      <c r="L232">
        <v>54426300</v>
      </c>
      <c r="M232">
        <v>79694385.760123283</v>
      </c>
      <c r="N232">
        <v>71787600</v>
      </c>
      <c r="O232">
        <v>15893244.960000001</v>
      </c>
      <c r="P232">
        <v>207.76768100000001</v>
      </c>
      <c r="Q232">
        <v>1.294535155368457</v>
      </c>
      <c r="R232">
        <v>43.7290098</v>
      </c>
      <c r="S232">
        <v>782.36207100000001</v>
      </c>
      <c r="T232">
        <v>2.5606104399999998E-9</v>
      </c>
      <c r="U232">
        <v>23.469975473055339</v>
      </c>
      <c r="V232">
        <v>68.709999999999994</v>
      </c>
      <c r="W232">
        <v>-169.33705651830115</v>
      </c>
      <c r="X232">
        <v>63.121892600000002</v>
      </c>
      <c r="Y232">
        <v>95.179060500000006</v>
      </c>
      <c r="Z232">
        <v>144.29</v>
      </c>
      <c r="AA232">
        <v>232.54334800000001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1.294535155368457</v>
      </c>
    </row>
    <row r="233" spans="1:41" x14ac:dyDescent="0.3">
      <c r="A233">
        <v>948.71867982518961</v>
      </c>
      <c r="B233">
        <v>39</v>
      </c>
      <c r="C233">
        <v>10</v>
      </c>
      <c r="D233">
        <v>1</v>
      </c>
      <c r="E233">
        <v>29</v>
      </c>
      <c r="F233">
        <v>5</v>
      </c>
      <c r="G233">
        <v>0.3</v>
      </c>
      <c r="H233">
        <v>10</v>
      </c>
      <c r="I233">
        <v>7</v>
      </c>
      <c r="J233">
        <v>0.3</v>
      </c>
      <c r="K233">
        <v>509119752.81985193</v>
      </c>
      <c r="L233">
        <v>54426300</v>
      </c>
      <c r="M233">
        <v>79694404.235876694</v>
      </c>
      <c r="N233">
        <v>71787600</v>
      </c>
      <c r="O233">
        <v>15897404.479999999</v>
      </c>
      <c r="P233">
        <v>210.595159</v>
      </c>
      <c r="Q233">
        <v>1.2772366776427653</v>
      </c>
      <c r="R233">
        <v>43.656697200000004</v>
      </c>
      <c r="S233">
        <v>782.702135</v>
      </c>
      <c r="T233">
        <v>3.4951271700000001E-9</v>
      </c>
      <c r="U233">
        <v>22.469611447729765</v>
      </c>
      <c r="V233">
        <v>80.72</v>
      </c>
      <c r="W233">
        <v>-138.05797191188859</v>
      </c>
      <c r="X233">
        <v>63.035445600000003</v>
      </c>
      <c r="Y233">
        <v>94.896242700000002</v>
      </c>
      <c r="Z233">
        <v>177.97</v>
      </c>
      <c r="AA233">
        <v>237.310529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1.2772366776427653</v>
      </c>
    </row>
    <row r="234" spans="1:41" x14ac:dyDescent="0.3">
      <c r="A234">
        <v>929.39753485137032</v>
      </c>
      <c r="B234">
        <v>27</v>
      </c>
      <c r="C234">
        <v>10</v>
      </c>
      <c r="D234">
        <v>1</v>
      </c>
      <c r="E234">
        <v>10</v>
      </c>
      <c r="F234">
        <v>5</v>
      </c>
      <c r="G234">
        <v>1.2</v>
      </c>
      <c r="H234">
        <v>29</v>
      </c>
      <c r="I234">
        <v>14</v>
      </c>
      <c r="J234">
        <v>0.3</v>
      </c>
      <c r="K234">
        <v>508301442.52425694</v>
      </c>
      <c r="L234">
        <v>54426300</v>
      </c>
      <c r="M234">
        <v>79694428.658541486</v>
      </c>
      <c r="N234">
        <v>71787600</v>
      </c>
      <c r="O234">
        <v>15885214.48</v>
      </c>
      <c r="P234">
        <v>207.812612</v>
      </c>
      <c r="Q234">
        <v>1.2916653348832876</v>
      </c>
      <c r="R234">
        <v>43.708195099999998</v>
      </c>
      <c r="S234">
        <v>783.0644289999999</v>
      </c>
      <c r="T234">
        <v>3.0661145300000002E-10</v>
      </c>
      <c r="U234">
        <v>23.377887975088669</v>
      </c>
      <c r="V234">
        <v>80.72</v>
      </c>
      <c r="W234">
        <v>-148.8144222963596</v>
      </c>
      <c r="X234">
        <v>63.0762128</v>
      </c>
      <c r="Y234">
        <v>94.992334099999994</v>
      </c>
      <c r="Z234">
        <v>144.29</v>
      </c>
      <c r="AA234">
        <v>235.95114599999999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1.2916653348832876</v>
      </c>
    </row>
    <row r="235" spans="1:41" x14ac:dyDescent="0.3">
      <c r="A235">
        <v>941.21715446063706</v>
      </c>
      <c r="B235">
        <v>39</v>
      </c>
      <c r="C235">
        <v>10</v>
      </c>
      <c r="D235">
        <v>7.2747530016194437</v>
      </c>
      <c r="E235">
        <v>29</v>
      </c>
      <c r="F235">
        <v>14</v>
      </c>
      <c r="G235">
        <v>1.2</v>
      </c>
      <c r="H235">
        <v>10</v>
      </c>
      <c r="I235">
        <v>7</v>
      </c>
      <c r="J235">
        <v>0.3</v>
      </c>
      <c r="K235">
        <v>508689435.68313444</v>
      </c>
      <c r="L235">
        <v>54426300</v>
      </c>
      <c r="M235">
        <v>79694442.212125078</v>
      </c>
      <c r="N235">
        <v>71787600</v>
      </c>
      <c r="O235">
        <v>15902222.239999998</v>
      </c>
      <c r="P235">
        <v>209.178866</v>
      </c>
      <c r="Q235">
        <v>1.2844879760261081</v>
      </c>
      <c r="R235">
        <v>43.890292299999999</v>
      </c>
      <c r="S235">
        <v>783.77283</v>
      </c>
      <c r="T235">
        <v>1.8652103299999999E-10</v>
      </c>
      <c r="U235">
        <v>24.836536222054644</v>
      </c>
      <c r="V235">
        <v>100.934</v>
      </c>
      <c r="W235">
        <v>-230.05702998832678</v>
      </c>
      <c r="X235">
        <v>62.604785200000002</v>
      </c>
      <c r="Y235">
        <v>92.167879400000004</v>
      </c>
      <c r="Z235">
        <v>180.98100000000002</v>
      </c>
      <c r="AA235">
        <v>254.31222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1.2844879760261081</v>
      </c>
    </row>
    <row r="236" spans="1:41" x14ac:dyDescent="0.3">
      <c r="A236">
        <v>910</v>
      </c>
      <c r="B236">
        <v>27</v>
      </c>
      <c r="C236">
        <v>10</v>
      </c>
      <c r="D236">
        <v>15</v>
      </c>
      <c r="E236">
        <v>29</v>
      </c>
      <c r="F236">
        <v>14</v>
      </c>
      <c r="G236">
        <v>0.3</v>
      </c>
      <c r="H236">
        <v>10</v>
      </c>
      <c r="I236">
        <v>7</v>
      </c>
      <c r="J236">
        <v>0.3</v>
      </c>
      <c r="K236">
        <v>507746932.65130913</v>
      </c>
      <c r="L236">
        <v>54426300</v>
      </c>
      <c r="M236">
        <v>79694464.600920305</v>
      </c>
      <c r="N236">
        <v>71787600</v>
      </c>
      <c r="O236">
        <v>15900922.32</v>
      </c>
      <c r="P236">
        <v>210.751698</v>
      </c>
      <c r="Q236">
        <v>1.271865981376878</v>
      </c>
      <c r="R236">
        <v>43.698559199999998</v>
      </c>
      <c r="S236">
        <v>781.83477599999992</v>
      </c>
      <c r="T236">
        <v>1.6123608E-16</v>
      </c>
      <c r="U236">
        <v>22.743814971709</v>
      </c>
      <c r="V236">
        <v>100.934</v>
      </c>
      <c r="W236">
        <v>-237.46172777955923</v>
      </c>
      <c r="X236">
        <v>62.823534299999999</v>
      </c>
      <c r="Y236">
        <v>92.425007199999996</v>
      </c>
      <c r="Z236">
        <v>177.97</v>
      </c>
      <c r="AA236">
        <v>238.84647000000001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1.271865981376878</v>
      </c>
    </row>
    <row r="237" spans="1:41" x14ac:dyDescent="0.3">
      <c r="A237">
        <v>910</v>
      </c>
      <c r="B237">
        <v>39</v>
      </c>
      <c r="C237">
        <v>19</v>
      </c>
      <c r="D237">
        <v>15</v>
      </c>
      <c r="E237">
        <v>16</v>
      </c>
      <c r="F237">
        <v>14</v>
      </c>
      <c r="G237">
        <v>1.2</v>
      </c>
      <c r="H237">
        <v>29</v>
      </c>
      <c r="I237">
        <v>7</v>
      </c>
      <c r="J237">
        <v>0.3</v>
      </c>
      <c r="K237">
        <v>507707851.72793961</v>
      </c>
      <c r="L237">
        <v>54426300</v>
      </c>
      <c r="M237">
        <v>79694453.521878019</v>
      </c>
      <c r="N237">
        <v>71787600</v>
      </c>
      <c r="O237">
        <v>15897886.16</v>
      </c>
      <c r="P237">
        <v>210.448173</v>
      </c>
      <c r="Q237">
        <v>1.273574301443563</v>
      </c>
      <c r="R237">
        <v>43.704416600000002</v>
      </c>
      <c r="S237">
        <v>784.44757099999993</v>
      </c>
      <c r="T237">
        <v>1.18948542E-18</v>
      </c>
      <c r="U237">
        <v>23.568289329475871</v>
      </c>
      <c r="V237">
        <v>100.934</v>
      </c>
      <c r="W237">
        <v>-238.93367543840719</v>
      </c>
      <c r="X237">
        <v>62.863205700000002</v>
      </c>
      <c r="Y237">
        <v>92.109173999999996</v>
      </c>
      <c r="Z237">
        <v>103.47</v>
      </c>
      <c r="AA237">
        <v>235.93789699999999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1.273574301443563</v>
      </c>
    </row>
    <row r="238" spans="1:41" x14ac:dyDescent="0.3">
      <c r="A238">
        <v>922.47954451936414</v>
      </c>
      <c r="B238">
        <v>39</v>
      </c>
      <c r="C238">
        <v>10</v>
      </c>
      <c r="D238">
        <v>14.891096744502287</v>
      </c>
      <c r="E238">
        <v>16</v>
      </c>
      <c r="F238">
        <v>14</v>
      </c>
      <c r="G238">
        <v>1.1916202180053577</v>
      </c>
      <c r="H238">
        <v>29</v>
      </c>
      <c r="I238">
        <v>7</v>
      </c>
      <c r="J238">
        <v>0.31070486165346334</v>
      </c>
      <c r="K238">
        <v>508156404.84930611</v>
      </c>
      <c r="L238">
        <v>54426300</v>
      </c>
      <c r="M238">
        <v>79694432.793459967</v>
      </c>
      <c r="N238">
        <v>71787600</v>
      </c>
      <c r="O238">
        <v>15900758.799999999</v>
      </c>
      <c r="P238">
        <v>211.41627500000001</v>
      </c>
      <c r="Q238">
        <v>1.2691827415046233</v>
      </c>
      <c r="R238">
        <v>43.702553600000002</v>
      </c>
      <c r="S238">
        <v>784.43554699999993</v>
      </c>
      <c r="T238">
        <v>1.22930084E-18</v>
      </c>
      <c r="U238">
        <v>23.553592314771691</v>
      </c>
      <c r="V238">
        <v>100.934</v>
      </c>
      <c r="W238">
        <v>-238.84754184664462</v>
      </c>
      <c r="X238">
        <v>62.853461199999998</v>
      </c>
      <c r="Y238">
        <v>92.117562899999996</v>
      </c>
      <c r="Z238">
        <v>103.47</v>
      </c>
      <c r="AA238">
        <v>235.69720799999999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1.2691827415046233</v>
      </c>
    </row>
    <row r="239" spans="1:41" x14ac:dyDescent="0.3">
      <c r="A239">
        <v>910</v>
      </c>
      <c r="B239">
        <v>27</v>
      </c>
      <c r="C239">
        <v>10</v>
      </c>
      <c r="D239">
        <v>15</v>
      </c>
      <c r="E239">
        <v>16</v>
      </c>
      <c r="F239">
        <v>14</v>
      </c>
      <c r="G239">
        <v>0.3</v>
      </c>
      <c r="H239">
        <v>29</v>
      </c>
      <c r="I239">
        <v>14</v>
      </c>
      <c r="J239">
        <v>1.4</v>
      </c>
      <c r="K239">
        <v>507982338.57749712</v>
      </c>
      <c r="L239">
        <v>54426300</v>
      </c>
      <c r="M239">
        <v>79694444.725289375</v>
      </c>
      <c r="N239">
        <v>71787600</v>
      </c>
      <c r="O239">
        <v>15895849.120000001</v>
      </c>
      <c r="P239">
        <v>213.90199799999999</v>
      </c>
      <c r="Q239">
        <v>1.2538813299104012</v>
      </c>
      <c r="R239">
        <v>43.407426100000002</v>
      </c>
      <c r="S239">
        <v>783.18593899999996</v>
      </c>
      <c r="T239">
        <v>2.4419494299999999E-15</v>
      </c>
      <c r="U239">
        <v>22.450364551250026</v>
      </c>
      <c r="V239">
        <v>100.934</v>
      </c>
      <c r="W239">
        <v>-237.87253103241341</v>
      </c>
      <c r="X239">
        <v>62.920473899999998</v>
      </c>
      <c r="Y239">
        <v>92.477558500000001</v>
      </c>
      <c r="Z239">
        <v>100.934</v>
      </c>
      <c r="AA239">
        <v>227.01121900000001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1.2538813299104012</v>
      </c>
    </row>
    <row r="240" spans="1:41" x14ac:dyDescent="0.3">
      <c r="A240">
        <v>910</v>
      </c>
      <c r="B240">
        <v>39</v>
      </c>
      <c r="C240">
        <v>10</v>
      </c>
      <c r="D240">
        <v>1</v>
      </c>
      <c r="E240">
        <v>29</v>
      </c>
      <c r="F240">
        <v>14</v>
      </c>
      <c r="G240">
        <v>0.3</v>
      </c>
      <c r="H240">
        <v>29</v>
      </c>
      <c r="I240">
        <v>14</v>
      </c>
      <c r="J240">
        <v>0.3</v>
      </c>
      <c r="K240">
        <v>507725584.61901182</v>
      </c>
      <c r="L240">
        <v>54426300</v>
      </c>
      <c r="M240">
        <v>79694452.227391943</v>
      </c>
      <c r="N240">
        <v>71787600</v>
      </c>
      <c r="O240">
        <v>15890338.719999999</v>
      </c>
      <c r="P240">
        <v>208.38112100000001</v>
      </c>
      <c r="Q240">
        <v>1.2862653857328545</v>
      </c>
      <c r="R240">
        <v>43.646759199999998</v>
      </c>
      <c r="S240">
        <v>782.27237700000001</v>
      </c>
      <c r="T240">
        <v>1.0534564E-16</v>
      </c>
      <c r="U240">
        <v>22.543369636822</v>
      </c>
      <c r="V240">
        <v>80.72</v>
      </c>
      <c r="W240">
        <v>-139.43021470345369</v>
      </c>
      <c r="X240">
        <v>63.128478999999999</v>
      </c>
      <c r="Y240">
        <v>94.948322599999997</v>
      </c>
      <c r="Z240">
        <v>177.97</v>
      </c>
      <c r="AA240">
        <v>235.67263800000001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1.2862653857328545</v>
      </c>
    </row>
    <row r="241" spans="1:41" x14ac:dyDescent="0.3">
      <c r="A241">
        <v>934.05746812545078</v>
      </c>
      <c r="B241">
        <v>27</v>
      </c>
      <c r="C241">
        <v>19</v>
      </c>
      <c r="D241">
        <v>1</v>
      </c>
      <c r="E241">
        <v>29</v>
      </c>
      <c r="F241">
        <v>5</v>
      </c>
      <c r="G241">
        <v>0.3</v>
      </c>
      <c r="H241">
        <v>29</v>
      </c>
      <c r="I241">
        <v>14</v>
      </c>
      <c r="J241">
        <v>1.4</v>
      </c>
      <c r="K241">
        <v>508570205.60477388</v>
      </c>
      <c r="L241">
        <v>54426300</v>
      </c>
      <c r="M241">
        <v>79694411.691960394</v>
      </c>
      <c r="N241">
        <v>71787600</v>
      </c>
      <c r="O241">
        <v>15884938.319999998</v>
      </c>
      <c r="P241">
        <v>207.38812899999999</v>
      </c>
      <c r="Q241">
        <v>1.2951888787530077</v>
      </c>
      <c r="R241">
        <v>43.668943800000001</v>
      </c>
      <c r="S241">
        <v>781.5546129999999</v>
      </c>
      <c r="T241">
        <v>5.4190123000000002E-9</v>
      </c>
      <c r="U241">
        <v>22.459612815315712</v>
      </c>
      <c r="V241">
        <v>68.709999999999994</v>
      </c>
      <c r="W241">
        <v>-169.37534806430187</v>
      </c>
      <c r="X241">
        <v>64.436199099999996</v>
      </c>
      <c r="Y241">
        <v>95.194395400000005</v>
      </c>
      <c r="Z241">
        <v>177.97</v>
      </c>
      <c r="AA241">
        <v>229.24862400000001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1.2951888787530077</v>
      </c>
    </row>
    <row r="242" spans="1:41" x14ac:dyDescent="0.3">
      <c r="A242">
        <v>932.18360114018867</v>
      </c>
      <c r="B242">
        <v>39</v>
      </c>
      <c r="C242">
        <v>19</v>
      </c>
      <c r="D242">
        <v>1</v>
      </c>
      <c r="E242">
        <v>29</v>
      </c>
      <c r="F242">
        <v>14</v>
      </c>
      <c r="G242">
        <v>0.3</v>
      </c>
      <c r="H242">
        <v>29</v>
      </c>
      <c r="I242">
        <v>14</v>
      </c>
      <c r="J242">
        <v>1.4</v>
      </c>
      <c r="K242">
        <v>508434897.75906372</v>
      </c>
      <c r="L242">
        <v>54426300</v>
      </c>
      <c r="M242">
        <v>79694414.965463206</v>
      </c>
      <c r="N242">
        <v>71787600</v>
      </c>
      <c r="O242">
        <v>15884141.439999999</v>
      </c>
      <c r="P242">
        <v>209.712729</v>
      </c>
      <c r="Q242">
        <v>1.280394113997108</v>
      </c>
      <c r="R242">
        <v>43.643005000000002</v>
      </c>
      <c r="S242">
        <v>782.2046620000001</v>
      </c>
      <c r="T242">
        <v>9.8900313699999994E-17</v>
      </c>
      <c r="U242">
        <v>22.706977432341997</v>
      </c>
      <c r="V242">
        <v>80.72</v>
      </c>
      <c r="W242">
        <v>-147.97160781561476</v>
      </c>
      <c r="X242">
        <v>63.145513100000002</v>
      </c>
      <c r="Y242">
        <v>94.9362177</v>
      </c>
      <c r="Z242">
        <v>177.97</v>
      </c>
      <c r="AA242">
        <v>232.137484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1.280394113997108</v>
      </c>
    </row>
    <row r="243" spans="1:41" x14ac:dyDescent="0.3">
      <c r="A243">
        <v>910</v>
      </c>
      <c r="B243">
        <v>39</v>
      </c>
      <c r="C243">
        <v>19</v>
      </c>
      <c r="D243">
        <v>1</v>
      </c>
      <c r="E243">
        <v>18</v>
      </c>
      <c r="F243">
        <v>5</v>
      </c>
      <c r="G243">
        <v>0.3</v>
      </c>
      <c r="H243">
        <v>29</v>
      </c>
      <c r="I243">
        <v>14</v>
      </c>
      <c r="J243">
        <v>1.4</v>
      </c>
      <c r="K243">
        <v>507751615.57759005</v>
      </c>
      <c r="L243">
        <v>54426300</v>
      </c>
      <c r="M243">
        <v>79694445.385372505</v>
      </c>
      <c r="N243">
        <v>71787600</v>
      </c>
      <c r="O243">
        <v>15888668.879999999</v>
      </c>
      <c r="P243">
        <v>208.33271099999999</v>
      </c>
      <c r="Q243">
        <v>1.28664909579232</v>
      </c>
      <c r="R243">
        <v>43.629741199999998</v>
      </c>
      <c r="S243">
        <v>782.67789200000004</v>
      </c>
      <c r="T243">
        <v>3.64541595E-9</v>
      </c>
      <c r="U243">
        <v>22.869444152779437</v>
      </c>
      <c r="V243">
        <v>80.72</v>
      </c>
      <c r="W243">
        <v>-148.73083595736509</v>
      </c>
      <c r="X243">
        <v>64.292183300000005</v>
      </c>
      <c r="Y243">
        <v>94.953308100000001</v>
      </c>
      <c r="Z243">
        <v>177.97</v>
      </c>
      <c r="AA243">
        <v>230.862695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1.28664909579232</v>
      </c>
    </row>
    <row r="244" spans="1:41" x14ac:dyDescent="0.3">
      <c r="A244">
        <v>960</v>
      </c>
      <c r="B244">
        <v>39</v>
      </c>
      <c r="C244">
        <v>19</v>
      </c>
      <c r="D244">
        <v>1</v>
      </c>
      <c r="E244">
        <v>29</v>
      </c>
      <c r="F244">
        <v>5</v>
      </c>
      <c r="G244">
        <v>1.2</v>
      </c>
      <c r="H244">
        <v>10</v>
      </c>
      <c r="I244">
        <v>7</v>
      </c>
      <c r="J244">
        <v>0.3</v>
      </c>
      <c r="K244">
        <v>503882134.52007949</v>
      </c>
      <c r="L244">
        <v>54426300</v>
      </c>
      <c r="M244">
        <v>79694536.340225443</v>
      </c>
      <c r="N244">
        <v>71787600</v>
      </c>
      <c r="O244">
        <v>16384111.440000001</v>
      </c>
      <c r="P244">
        <v>199.648833</v>
      </c>
      <c r="Q244">
        <v>1.3294556907855766</v>
      </c>
      <c r="R244">
        <v>43.829187099999999</v>
      </c>
      <c r="S244">
        <v>783.953531</v>
      </c>
      <c r="T244">
        <v>1.61480399E-10</v>
      </c>
      <c r="U244">
        <v>24.605783070010791</v>
      </c>
      <c r="V244">
        <v>80.72</v>
      </c>
      <c r="W244">
        <v>-142.31063478619893</v>
      </c>
      <c r="X244">
        <v>62.978966100000001</v>
      </c>
      <c r="Y244">
        <v>94.837491499999999</v>
      </c>
      <c r="Z244">
        <v>180.98100000000002</v>
      </c>
      <c r="AA244">
        <v>246.809641</v>
      </c>
      <c r="AB244">
        <v>100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101.32945569078558</v>
      </c>
    </row>
    <row r="245" spans="1:41" x14ac:dyDescent="0.3">
      <c r="A245">
        <v>920.34634061983456</v>
      </c>
      <c r="B245">
        <v>39</v>
      </c>
      <c r="C245">
        <v>10</v>
      </c>
      <c r="D245">
        <v>1</v>
      </c>
      <c r="E245">
        <v>29</v>
      </c>
      <c r="F245">
        <v>5</v>
      </c>
      <c r="G245">
        <v>0.3</v>
      </c>
      <c r="H245">
        <v>29</v>
      </c>
      <c r="I245">
        <v>14</v>
      </c>
      <c r="J245">
        <v>0.3</v>
      </c>
      <c r="K245">
        <v>508113987.92771614</v>
      </c>
      <c r="L245">
        <v>54426300</v>
      </c>
      <c r="M245">
        <v>79694437.876901269</v>
      </c>
      <c r="N245">
        <v>71787600</v>
      </c>
      <c r="O245">
        <v>15893342</v>
      </c>
      <c r="P245">
        <v>208.92110099999999</v>
      </c>
      <c r="Q245">
        <v>1.2842029420410084</v>
      </c>
      <c r="R245">
        <v>43.658466900000001</v>
      </c>
      <c r="S245">
        <v>782.58741499999996</v>
      </c>
      <c r="T245">
        <v>3.5160592099999999E-9</v>
      </c>
      <c r="U245">
        <v>22.437051049013395</v>
      </c>
      <c r="V245">
        <v>80.72</v>
      </c>
      <c r="W245">
        <v>-137.98153582491102</v>
      </c>
      <c r="X245">
        <v>63.099334399999996</v>
      </c>
      <c r="Y245">
        <v>94.9318983</v>
      </c>
      <c r="Z245">
        <v>177.97</v>
      </c>
      <c r="AA245">
        <v>235.19778099999999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1.2842029420410084</v>
      </c>
    </row>
    <row r="246" spans="1:41" x14ac:dyDescent="0.3">
      <c r="A246">
        <v>929.53203290068768</v>
      </c>
      <c r="B246">
        <v>39</v>
      </c>
      <c r="C246">
        <v>10</v>
      </c>
      <c r="D246">
        <v>1</v>
      </c>
      <c r="E246">
        <v>16</v>
      </c>
      <c r="F246">
        <v>14</v>
      </c>
      <c r="G246">
        <v>0.3</v>
      </c>
      <c r="H246">
        <v>29</v>
      </c>
      <c r="I246">
        <v>12</v>
      </c>
      <c r="J246">
        <v>0.3</v>
      </c>
      <c r="K246">
        <v>508592663.07253879</v>
      </c>
      <c r="L246">
        <v>54426300</v>
      </c>
      <c r="M246">
        <v>79694418.773319021</v>
      </c>
      <c r="N246">
        <v>71787600</v>
      </c>
      <c r="O246">
        <v>15883014.639999999</v>
      </c>
      <c r="P246">
        <v>212.21338499999999</v>
      </c>
      <c r="Q246">
        <v>1.2658110308793646</v>
      </c>
      <c r="R246">
        <v>43.350830000000002</v>
      </c>
      <c r="S246">
        <v>783.85522399999991</v>
      </c>
      <c r="T246">
        <v>1.75904724E-15</v>
      </c>
      <c r="U246">
        <v>22.333455534590012</v>
      </c>
      <c r="V246">
        <v>80.72</v>
      </c>
      <c r="W246">
        <v>-138.7436385291258</v>
      </c>
      <c r="X246">
        <v>63.1510526</v>
      </c>
      <c r="Y246">
        <v>94.962225200000006</v>
      </c>
      <c r="Z246">
        <v>100.934</v>
      </c>
      <c r="AA246">
        <v>227.49518900000001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1.2658110308793646</v>
      </c>
    </row>
    <row r="247" spans="1:41" x14ac:dyDescent="0.3">
      <c r="A247">
        <v>936.34997925903667</v>
      </c>
      <c r="B247">
        <v>27</v>
      </c>
      <c r="C247">
        <v>19</v>
      </c>
      <c r="D247">
        <v>1</v>
      </c>
      <c r="E247">
        <v>10</v>
      </c>
      <c r="F247">
        <v>5</v>
      </c>
      <c r="G247">
        <v>0.3</v>
      </c>
      <c r="H247">
        <v>29</v>
      </c>
      <c r="I247">
        <v>14</v>
      </c>
      <c r="J247">
        <v>1.4</v>
      </c>
      <c r="K247">
        <v>508743937.03824478</v>
      </c>
      <c r="L247">
        <v>54426300</v>
      </c>
      <c r="M247">
        <v>79694407.65031229</v>
      </c>
      <c r="N247">
        <v>71787600</v>
      </c>
      <c r="O247">
        <v>15885979.520000001</v>
      </c>
      <c r="P247">
        <v>208.16873000000001</v>
      </c>
      <c r="Q247">
        <v>1.2908986702274456</v>
      </c>
      <c r="R247">
        <v>43.5556573</v>
      </c>
      <c r="S247">
        <v>782.12388399999998</v>
      </c>
      <c r="T247">
        <v>6.5942617199999997E-9</v>
      </c>
      <c r="U247">
        <v>22.792061029557477</v>
      </c>
      <c r="V247">
        <v>68.709999999999994</v>
      </c>
      <c r="W247">
        <v>-171.40827028169232</v>
      </c>
      <c r="X247">
        <v>64.432833099999996</v>
      </c>
      <c r="Y247">
        <v>95.192431200000001</v>
      </c>
      <c r="Z247">
        <v>144.29</v>
      </c>
      <c r="AA247">
        <v>228.02893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1.2908986702274456</v>
      </c>
    </row>
    <row r="248" spans="1:41" x14ac:dyDescent="0.3">
      <c r="A248">
        <v>910</v>
      </c>
      <c r="B248">
        <v>27</v>
      </c>
      <c r="C248">
        <v>10</v>
      </c>
      <c r="D248">
        <v>15</v>
      </c>
      <c r="E248">
        <v>20</v>
      </c>
      <c r="F248">
        <v>5</v>
      </c>
      <c r="G248">
        <v>0.3</v>
      </c>
      <c r="H248">
        <v>29</v>
      </c>
      <c r="I248">
        <v>7</v>
      </c>
      <c r="J248">
        <v>0.3</v>
      </c>
      <c r="K248">
        <v>507738112.06641078</v>
      </c>
      <c r="L248">
        <v>54426300</v>
      </c>
      <c r="M248">
        <v>79694454.28981787</v>
      </c>
      <c r="N248">
        <v>71787600</v>
      </c>
      <c r="O248">
        <v>15898086.16</v>
      </c>
      <c r="P248">
        <v>211.041145</v>
      </c>
      <c r="Q248">
        <v>1.2700932195205921</v>
      </c>
      <c r="R248">
        <v>43.695734999999999</v>
      </c>
      <c r="S248">
        <v>782.195965</v>
      </c>
      <c r="T248">
        <v>4.1904848399999998E-9</v>
      </c>
      <c r="U248">
        <v>22.816761125397459</v>
      </c>
      <c r="V248">
        <v>100.934</v>
      </c>
      <c r="W248">
        <v>-238.67905825338707</v>
      </c>
      <c r="X248">
        <v>62.859313999999998</v>
      </c>
      <c r="Y248">
        <v>92.444386399999999</v>
      </c>
      <c r="Z248">
        <v>177.97</v>
      </c>
      <c r="AA248">
        <v>235.55030400000001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1.2700932195205921</v>
      </c>
    </row>
    <row r="249" spans="1:41" x14ac:dyDescent="0.3">
      <c r="A249">
        <v>910</v>
      </c>
      <c r="B249">
        <v>27</v>
      </c>
      <c r="C249">
        <v>19</v>
      </c>
      <c r="D249">
        <v>5.7524212661127514</v>
      </c>
      <c r="E249">
        <v>10</v>
      </c>
      <c r="F249">
        <v>5</v>
      </c>
      <c r="G249">
        <v>0.3</v>
      </c>
      <c r="H249">
        <v>29</v>
      </c>
      <c r="I249">
        <v>14</v>
      </c>
      <c r="J249">
        <v>1.4</v>
      </c>
      <c r="K249">
        <v>507816052.01778615</v>
      </c>
      <c r="L249">
        <v>54426300</v>
      </c>
      <c r="M249">
        <v>79694445.188970551</v>
      </c>
      <c r="N249">
        <v>71787600</v>
      </c>
      <c r="O249">
        <v>15891126.399999999</v>
      </c>
      <c r="P249">
        <v>212.213145</v>
      </c>
      <c r="Q249">
        <v>1.2633281375651182</v>
      </c>
      <c r="R249">
        <v>43.589102400000002</v>
      </c>
      <c r="S249">
        <v>782.22784999999999</v>
      </c>
      <c r="T249">
        <v>5.5579820599999999E-9</v>
      </c>
      <c r="U249">
        <v>22.773976413299515</v>
      </c>
      <c r="V249">
        <v>91.850000000000009</v>
      </c>
      <c r="W249">
        <v>-244.05673883557714</v>
      </c>
      <c r="X249">
        <v>62.918649899999998</v>
      </c>
      <c r="Y249">
        <v>92.691663000000005</v>
      </c>
      <c r="Z249">
        <v>144.29</v>
      </c>
      <c r="AA249">
        <v>229.35135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1.2633281375651182</v>
      </c>
    </row>
    <row r="250" spans="1:41" x14ac:dyDescent="0.3">
      <c r="A250">
        <v>910</v>
      </c>
      <c r="B250">
        <v>39</v>
      </c>
      <c r="C250">
        <v>18</v>
      </c>
      <c r="D250">
        <v>15</v>
      </c>
      <c r="E250">
        <v>16</v>
      </c>
      <c r="F250">
        <v>14</v>
      </c>
      <c r="G250">
        <v>1.2</v>
      </c>
      <c r="H250">
        <v>20</v>
      </c>
      <c r="I250">
        <v>14</v>
      </c>
      <c r="J250">
        <v>0.52987767069639102</v>
      </c>
      <c r="K250">
        <v>507521960.92857003</v>
      </c>
      <c r="L250">
        <v>54426300</v>
      </c>
      <c r="M250">
        <v>79694446.710674793</v>
      </c>
      <c r="N250">
        <v>71787600</v>
      </c>
      <c r="O250">
        <v>15896202.24</v>
      </c>
      <c r="P250">
        <v>210.194535</v>
      </c>
      <c r="Q250">
        <v>1.274510738335642</v>
      </c>
      <c r="R250">
        <v>43.854382299999997</v>
      </c>
      <c r="S250">
        <v>782.79708800000003</v>
      </c>
      <c r="T250">
        <v>2.25749754E-10</v>
      </c>
      <c r="U250">
        <v>24.061119269241576</v>
      </c>
      <c r="V250">
        <v>100.934</v>
      </c>
      <c r="W250">
        <v>-237.06099747823973</v>
      </c>
      <c r="X250">
        <v>62.913468399999999</v>
      </c>
      <c r="Y250">
        <v>92.135839399999995</v>
      </c>
      <c r="Z250">
        <v>177.97</v>
      </c>
      <c r="AA250">
        <v>241.800263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1.274510738335642</v>
      </c>
    </row>
    <row r="251" spans="1:41" x14ac:dyDescent="0.3">
      <c r="A251">
        <v>910</v>
      </c>
      <c r="B251">
        <v>27</v>
      </c>
      <c r="C251">
        <v>10</v>
      </c>
      <c r="D251">
        <v>15</v>
      </c>
      <c r="E251">
        <v>29</v>
      </c>
      <c r="F251">
        <v>14</v>
      </c>
      <c r="G251">
        <v>1.2</v>
      </c>
      <c r="H251">
        <v>29</v>
      </c>
      <c r="I251">
        <v>7</v>
      </c>
      <c r="J251">
        <v>1.4</v>
      </c>
      <c r="K251">
        <v>507411658.64201689</v>
      </c>
      <c r="L251">
        <v>54426300</v>
      </c>
      <c r="M251">
        <v>79694448.795288384</v>
      </c>
      <c r="N251">
        <v>71787600</v>
      </c>
      <c r="O251">
        <v>15896678.720000001</v>
      </c>
      <c r="P251">
        <v>209.15443500000001</v>
      </c>
      <c r="Q251">
        <v>1.2804907183756136</v>
      </c>
      <c r="R251">
        <v>43.948505099999998</v>
      </c>
      <c r="S251">
        <v>783.47950900000001</v>
      </c>
      <c r="T251">
        <v>3.80258841E-21</v>
      </c>
      <c r="U251">
        <v>25.152573202707458</v>
      </c>
      <c r="V251">
        <v>100.934</v>
      </c>
      <c r="W251">
        <v>-235.01115471633193</v>
      </c>
      <c r="X251">
        <v>62.902674400000002</v>
      </c>
      <c r="Y251">
        <v>92.467901800000007</v>
      </c>
      <c r="Z251">
        <v>180.98100000000002</v>
      </c>
      <c r="AA251">
        <v>254.95083099999999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6.1029281082983292E-2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1.3415199994585969</v>
      </c>
    </row>
    <row r="252" spans="1:41" x14ac:dyDescent="0.3">
      <c r="A252">
        <v>921.04475417384253</v>
      </c>
      <c r="B252">
        <v>39</v>
      </c>
      <c r="C252">
        <v>19</v>
      </c>
      <c r="D252">
        <v>15</v>
      </c>
      <c r="E252">
        <v>16</v>
      </c>
      <c r="F252">
        <v>14</v>
      </c>
      <c r="G252">
        <v>0.3</v>
      </c>
      <c r="H252">
        <v>29</v>
      </c>
      <c r="I252">
        <v>14</v>
      </c>
      <c r="J252">
        <v>0.3</v>
      </c>
      <c r="K252">
        <v>508370017.37342691</v>
      </c>
      <c r="L252">
        <v>54426300</v>
      </c>
      <c r="M252">
        <v>79694427.730768248</v>
      </c>
      <c r="N252">
        <v>71787600</v>
      </c>
      <c r="O252">
        <v>15898751.439999999</v>
      </c>
      <c r="P252">
        <v>214.70156700000001</v>
      </c>
      <c r="Q252">
        <v>1.2504375408664805</v>
      </c>
      <c r="R252">
        <v>43.409126000000001</v>
      </c>
      <c r="S252">
        <v>783.18644800000004</v>
      </c>
      <c r="T252">
        <v>2.43970104E-15</v>
      </c>
      <c r="U252">
        <v>22.453499191040024</v>
      </c>
      <c r="V252">
        <v>100.934</v>
      </c>
      <c r="W252">
        <v>-238.179511821136</v>
      </c>
      <c r="X252">
        <v>62.902455799999998</v>
      </c>
      <c r="Y252">
        <v>92.134990900000005</v>
      </c>
      <c r="Z252">
        <v>100.934</v>
      </c>
      <c r="AA252">
        <v>228.130818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1.2504375408664805</v>
      </c>
    </row>
    <row r="253" spans="1:41" x14ac:dyDescent="0.3">
      <c r="A253">
        <v>960</v>
      </c>
      <c r="B253">
        <v>39</v>
      </c>
      <c r="C253">
        <v>10</v>
      </c>
      <c r="D253">
        <v>1</v>
      </c>
      <c r="E253">
        <v>10</v>
      </c>
      <c r="F253">
        <v>5</v>
      </c>
      <c r="G253">
        <v>1.2</v>
      </c>
      <c r="H253">
        <v>29</v>
      </c>
      <c r="I253">
        <v>14</v>
      </c>
      <c r="J253">
        <v>1.4</v>
      </c>
      <c r="K253">
        <v>503890739.88988882</v>
      </c>
      <c r="L253">
        <v>54426300</v>
      </c>
      <c r="M253">
        <v>79694502.329406396</v>
      </c>
      <c r="N253">
        <v>71787600</v>
      </c>
      <c r="O253">
        <v>16375663.76</v>
      </c>
      <c r="P253">
        <v>203.23502500000001</v>
      </c>
      <c r="Q253">
        <v>1.3060254697237095</v>
      </c>
      <c r="R253">
        <v>43.697075699999999</v>
      </c>
      <c r="S253">
        <v>783.29618400000004</v>
      </c>
      <c r="T253">
        <v>3.18441334E-10</v>
      </c>
      <c r="U253">
        <v>23.347797515245635</v>
      </c>
      <c r="V253">
        <v>80.72</v>
      </c>
      <c r="W253">
        <v>-139.77388723427418</v>
      </c>
      <c r="X253">
        <v>64.297221500000006</v>
      </c>
      <c r="Y253">
        <v>94.997342599999996</v>
      </c>
      <c r="Z253">
        <v>144.29</v>
      </c>
      <c r="AA253">
        <v>235.39887300000001</v>
      </c>
      <c r="AB253">
        <v>100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101.30602546972371</v>
      </c>
    </row>
    <row r="254" spans="1:41" x14ac:dyDescent="0.3">
      <c r="A254">
        <v>910</v>
      </c>
      <c r="B254">
        <v>39</v>
      </c>
      <c r="C254">
        <v>10</v>
      </c>
      <c r="D254">
        <v>15</v>
      </c>
      <c r="E254">
        <v>29</v>
      </c>
      <c r="F254">
        <v>5</v>
      </c>
      <c r="G254">
        <v>1.2</v>
      </c>
      <c r="H254">
        <v>22</v>
      </c>
      <c r="I254">
        <v>7</v>
      </c>
      <c r="J254">
        <v>1.4</v>
      </c>
      <c r="K254">
        <v>507469051.72092605</v>
      </c>
      <c r="L254">
        <v>54426300</v>
      </c>
      <c r="M254">
        <v>79694447.88066341</v>
      </c>
      <c r="N254">
        <v>71787600</v>
      </c>
      <c r="O254">
        <v>15896466.32</v>
      </c>
      <c r="P254">
        <v>209.751521</v>
      </c>
      <c r="Q254">
        <v>1.2770313799549144</v>
      </c>
      <c r="R254">
        <v>43.902659</v>
      </c>
      <c r="S254">
        <v>782.87050199999999</v>
      </c>
      <c r="T254">
        <v>1.8388493E-10</v>
      </c>
      <c r="U254">
        <v>24.534860855219453</v>
      </c>
      <c r="V254">
        <v>100.934</v>
      </c>
      <c r="W254">
        <v>-235.1107581637763</v>
      </c>
      <c r="X254">
        <v>62.906503499999999</v>
      </c>
      <c r="Y254">
        <v>92.143374100000003</v>
      </c>
      <c r="Z254">
        <v>180.98100000000002</v>
      </c>
      <c r="AA254">
        <v>246.13448399999999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1.2770313799549144</v>
      </c>
    </row>
    <row r="255" spans="1:41" x14ac:dyDescent="0.3">
      <c r="A255">
        <v>910</v>
      </c>
      <c r="B255">
        <v>39</v>
      </c>
      <c r="C255">
        <v>19</v>
      </c>
      <c r="D255">
        <v>15</v>
      </c>
      <c r="E255">
        <v>29</v>
      </c>
      <c r="F255">
        <v>14</v>
      </c>
      <c r="G255">
        <v>0.3</v>
      </c>
      <c r="H255">
        <v>29</v>
      </c>
      <c r="I255">
        <v>7</v>
      </c>
      <c r="J255">
        <v>1.4</v>
      </c>
      <c r="K255">
        <v>507699259.66959321</v>
      </c>
      <c r="L255">
        <v>54426300</v>
      </c>
      <c r="M255">
        <v>79694445.557943255</v>
      </c>
      <c r="N255">
        <v>71787600</v>
      </c>
      <c r="O255">
        <v>15895964.24</v>
      </c>
      <c r="P255">
        <v>211.70651799999999</v>
      </c>
      <c r="Q255">
        <v>1.265976856488275</v>
      </c>
      <c r="R255">
        <v>43.705620099999997</v>
      </c>
      <c r="S255">
        <v>781.52140499999996</v>
      </c>
      <c r="T255">
        <v>1.5789965199999999E-16</v>
      </c>
      <c r="U255">
        <v>22.645595517444008</v>
      </c>
      <c r="V255">
        <v>100.934</v>
      </c>
      <c r="W255">
        <v>-239.39809020113222</v>
      </c>
      <c r="X255">
        <v>62.917796099999997</v>
      </c>
      <c r="Y255">
        <v>92.140826700000005</v>
      </c>
      <c r="Z255">
        <v>177.97</v>
      </c>
      <c r="AA255">
        <v>233.65652399999999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1.265976856488275</v>
      </c>
    </row>
    <row r="256" spans="1:41" x14ac:dyDescent="0.3">
      <c r="A256">
        <v>931.39774847048591</v>
      </c>
      <c r="B256">
        <v>39</v>
      </c>
      <c r="C256">
        <v>10</v>
      </c>
      <c r="D256">
        <v>1</v>
      </c>
      <c r="E256">
        <v>20</v>
      </c>
      <c r="F256">
        <v>5</v>
      </c>
      <c r="G256">
        <v>0.3</v>
      </c>
      <c r="H256">
        <v>29</v>
      </c>
      <c r="I256">
        <v>7</v>
      </c>
      <c r="J256">
        <v>1.4</v>
      </c>
      <c r="K256">
        <v>508413672.3986119</v>
      </c>
      <c r="L256">
        <v>54426300</v>
      </c>
      <c r="M256">
        <v>79694416.241459563</v>
      </c>
      <c r="N256">
        <v>71787600</v>
      </c>
      <c r="O256">
        <v>15883808.639999999</v>
      </c>
      <c r="P256">
        <v>210.08918</v>
      </c>
      <c r="Q256">
        <v>1.2780312384349235</v>
      </c>
      <c r="R256">
        <v>43.642435200000001</v>
      </c>
      <c r="S256">
        <v>782.663771</v>
      </c>
      <c r="T256">
        <v>3.61690376E-9</v>
      </c>
      <c r="U256">
        <v>22.617951933194355</v>
      </c>
      <c r="V256">
        <v>80.72</v>
      </c>
      <c r="W256">
        <v>-139.88980825978891</v>
      </c>
      <c r="X256">
        <v>63.1474519</v>
      </c>
      <c r="Y256">
        <v>94.960306900000006</v>
      </c>
      <c r="Z256">
        <v>177.97</v>
      </c>
      <c r="AA256">
        <v>231.66258099999999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1.2780312384349235</v>
      </c>
    </row>
    <row r="257" spans="1:41" x14ac:dyDescent="0.3">
      <c r="A257">
        <v>923.81894864736444</v>
      </c>
      <c r="B257">
        <v>27</v>
      </c>
      <c r="C257">
        <v>10</v>
      </c>
      <c r="D257">
        <v>15</v>
      </c>
      <c r="E257">
        <v>17</v>
      </c>
      <c r="F257">
        <v>5</v>
      </c>
      <c r="G257">
        <v>1.2</v>
      </c>
      <c r="H257">
        <v>29</v>
      </c>
      <c r="I257">
        <v>14</v>
      </c>
      <c r="J257">
        <v>1.4</v>
      </c>
      <c r="K257">
        <v>508013329.02764869</v>
      </c>
      <c r="L257">
        <v>54426300</v>
      </c>
      <c r="M257">
        <v>79694424.569230989</v>
      </c>
      <c r="N257">
        <v>71787600</v>
      </c>
      <c r="O257">
        <v>15899620.48</v>
      </c>
      <c r="P257">
        <v>211.10919000000001</v>
      </c>
      <c r="Q257">
        <v>1.2705688451961754</v>
      </c>
      <c r="R257">
        <v>43.860665099999999</v>
      </c>
      <c r="S257">
        <v>782.84791700000005</v>
      </c>
      <c r="T257">
        <v>2.16162729E-10</v>
      </c>
      <c r="U257">
        <v>24.132207202312721</v>
      </c>
      <c r="V257">
        <v>100.934</v>
      </c>
      <c r="W257">
        <v>-236.69023432078566</v>
      </c>
      <c r="X257">
        <v>62.897188900000003</v>
      </c>
      <c r="Y257">
        <v>92.468006900000006</v>
      </c>
      <c r="Z257">
        <v>177.97</v>
      </c>
      <c r="AA257">
        <v>241.984961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1.2705688451961754</v>
      </c>
    </row>
    <row r="258" spans="1:41" x14ac:dyDescent="0.3">
      <c r="A258">
        <v>926.81253969330476</v>
      </c>
      <c r="B258">
        <v>39</v>
      </c>
      <c r="C258">
        <v>19</v>
      </c>
      <c r="D258">
        <v>15</v>
      </c>
      <c r="E258">
        <v>21</v>
      </c>
      <c r="F258">
        <v>5</v>
      </c>
      <c r="G258">
        <v>1.2</v>
      </c>
      <c r="H258">
        <v>29</v>
      </c>
      <c r="I258">
        <v>7</v>
      </c>
      <c r="J258">
        <v>1.4</v>
      </c>
      <c r="K258">
        <v>507996970.43375438</v>
      </c>
      <c r="L258">
        <v>54426300</v>
      </c>
      <c r="M258">
        <v>79694425.747231811</v>
      </c>
      <c r="N258">
        <v>71787600</v>
      </c>
      <c r="O258">
        <v>15889772</v>
      </c>
      <c r="P258">
        <v>210.87676099999999</v>
      </c>
      <c r="Q258">
        <v>1.2719166083612219</v>
      </c>
      <c r="R258">
        <v>43.885144599999997</v>
      </c>
      <c r="S258">
        <v>782.87869499999999</v>
      </c>
      <c r="T258">
        <v>1.96278026E-10</v>
      </c>
      <c r="U258">
        <v>24.348204475734398</v>
      </c>
      <c r="V258">
        <v>100.934</v>
      </c>
      <c r="W258">
        <v>-236.05154976683232</v>
      </c>
      <c r="X258">
        <v>62.886753599999999</v>
      </c>
      <c r="Y258">
        <v>92.126817000000003</v>
      </c>
      <c r="Z258">
        <v>180.98100000000002</v>
      </c>
      <c r="AA258">
        <v>244.18095600000001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1.2719166083612219</v>
      </c>
    </row>
    <row r="259" spans="1:41" x14ac:dyDescent="0.3">
      <c r="A259">
        <v>918.85097113651136</v>
      </c>
      <c r="B259">
        <v>27</v>
      </c>
      <c r="C259">
        <v>10</v>
      </c>
      <c r="D259">
        <v>15</v>
      </c>
      <c r="E259">
        <v>10</v>
      </c>
      <c r="F259">
        <v>5</v>
      </c>
      <c r="G259">
        <v>0.3</v>
      </c>
      <c r="H259">
        <v>20</v>
      </c>
      <c r="I259">
        <v>14</v>
      </c>
      <c r="J259">
        <v>0.3</v>
      </c>
      <c r="K259">
        <v>508128800.5961808</v>
      </c>
      <c r="L259">
        <v>54426300</v>
      </c>
      <c r="M259">
        <v>79694436.406968251</v>
      </c>
      <c r="N259">
        <v>71787600</v>
      </c>
      <c r="O259">
        <v>15899422.959999999</v>
      </c>
      <c r="P259">
        <v>212.753849</v>
      </c>
      <c r="Q259">
        <v>1.2611153663054442</v>
      </c>
      <c r="R259">
        <v>43.586802200000001</v>
      </c>
      <c r="S259">
        <v>782.36209800000006</v>
      </c>
      <c r="T259">
        <v>5.5765819400000002E-9</v>
      </c>
      <c r="U259">
        <v>22.804606440207884</v>
      </c>
      <c r="V259">
        <v>100.934</v>
      </c>
      <c r="W259">
        <v>-241.59346775978338</v>
      </c>
      <c r="X259">
        <v>62.887343700000002</v>
      </c>
      <c r="Y259">
        <v>92.461535100000006</v>
      </c>
      <c r="Z259">
        <v>144.29</v>
      </c>
      <c r="AA259">
        <v>234.24037300000001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1.2611153663054442</v>
      </c>
    </row>
    <row r="260" spans="1:41" x14ac:dyDescent="0.3">
      <c r="A260">
        <v>919.94125211873529</v>
      </c>
      <c r="B260">
        <v>39</v>
      </c>
      <c r="C260">
        <v>10</v>
      </c>
      <c r="D260">
        <v>15</v>
      </c>
      <c r="E260">
        <v>10</v>
      </c>
      <c r="F260">
        <v>5</v>
      </c>
      <c r="G260">
        <v>1.2</v>
      </c>
      <c r="H260">
        <v>19</v>
      </c>
      <c r="I260">
        <v>14</v>
      </c>
      <c r="J260">
        <v>0.3</v>
      </c>
      <c r="K260">
        <v>508031770.24623048</v>
      </c>
      <c r="L260">
        <v>54426300</v>
      </c>
      <c r="M260">
        <v>79694443.58878772</v>
      </c>
      <c r="N260">
        <v>71787600</v>
      </c>
      <c r="O260">
        <v>15901781.92</v>
      </c>
      <c r="P260">
        <v>210.84657100000001</v>
      </c>
      <c r="Q260">
        <v>1.2722107710460213</v>
      </c>
      <c r="R260">
        <v>43.747809500000002</v>
      </c>
      <c r="S260">
        <v>782.85769200000004</v>
      </c>
      <c r="T260">
        <v>3.67683482E-10</v>
      </c>
      <c r="U260">
        <v>23.547144980468563</v>
      </c>
      <c r="V260">
        <v>100.934</v>
      </c>
      <c r="W260">
        <v>-238.13018891871127</v>
      </c>
      <c r="X260">
        <v>62.819368500000003</v>
      </c>
      <c r="Y260">
        <v>92.096117399999997</v>
      </c>
      <c r="Z260">
        <v>144.29</v>
      </c>
      <c r="AA260">
        <v>237.831784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1.2722107710460213</v>
      </c>
    </row>
    <row r="261" spans="1:41" x14ac:dyDescent="0.3">
      <c r="A261">
        <v>921.00936896894689</v>
      </c>
      <c r="B261">
        <v>39</v>
      </c>
      <c r="C261">
        <v>10</v>
      </c>
      <c r="D261">
        <v>15</v>
      </c>
      <c r="E261">
        <v>29</v>
      </c>
      <c r="F261">
        <v>5</v>
      </c>
      <c r="G261">
        <v>0.3</v>
      </c>
      <c r="H261">
        <v>19</v>
      </c>
      <c r="I261">
        <v>14</v>
      </c>
      <c r="J261">
        <v>0.3</v>
      </c>
      <c r="K261">
        <v>508121294.93761879</v>
      </c>
      <c r="L261">
        <v>54426300</v>
      </c>
      <c r="M261">
        <v>79694438.620599031</v>
      </c>
      <c r="N261">
        <v>71787600</v>
      </c>
      <c r="O261">
        <v>15901369.68</v>
      </c>
      <c r="P261">
        <v>211.82174900000001</v>
      </c>
      <c r="Q261">
        <v>1.2666407213914439</v>
      </c>
      <c r="R261">
        <v>43.715209000000002</v>
      </c>
      <c r="S261">
        <v>782.00469399999997</v>
      </c>
      <c r="T261">
        <v>4.0418451500000002E-9</v>
      </c>
      <c r="U261">
        <v>22.60131049666062</v>
      </c>
      <c r="V261">
        <v>100.934</v>
      </c>
      <c r="W261">
        <v>-236.9662609464244</v>
      </c>
      <c r="X261">
        <v>62.842930699999997</v>
      </c>
      <c r="Y261">
        <v>92.109897500000002</v>
      </c>
      <c r="Z261">
        <v>177.97</v>
      </c>
      <c r="AA261">
        <v>235.39982499999999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1.2666407213914439</v>
      </c>
    </row>
    <row r="262" spans="1:41" x14ac:dyDescent="0.3">
      <c r="A262">
        <v>929.17291804256411</v>
      </c>
      <c r="B262">
        <v>39</v>
      </c>
      <c r="C262">
        <v>19</v>
      </c>
      <c r="D262">
        <v>1</v>
      </c>
      <c r="E262">
        <v>29</v>
      </c>
      <c r="F262">
        <v>5</v>
      </c>
      <c r="G262">
        <v>1.2</v>
      </c>
      <c r="H262">
        <v>29</v>
      </c>
      <c r="I262">
        <v>7</v>
      </c>
      <c r="J262">
        <v>0.3</v>
      </c>
      <c r="K262">
        <v>508178897.6711663</v>
      </c>
      <c r="L262">
        <v>54426300</v>
      </c>
      <c r="M262">
        <v>79694436.381904408</v>
      </c>
      <c r="N262">
        <v>71787600</v>
      </c>
      <c r="O262">
        <v>15886185.76</v>
      </c>
      <c r="P262">
        <v>206.68693300000001</v>
      </c>
      <c r="Q262">
        <v>1.2982976377638706</v>
      </c>
      <c r="R262">
        <v>43.832697600000003</v>
      </c>
      <c r="S262">
        <v>783.65421000000003</v>
      </c>
      <c r="T262">
        <v>1.6274789500000001E-10</v>
      </c>
      <c r="U262">
        <v>24.517140304105702</v>
      </c>
      <c r="V262">
        <v>80.72</v>
      </c>
      <c r="W262">
        <v>-142.99544209318762</v>
      </c>
      <c r="X262">
        <v>63.0332127</v>
      </c>
      <c r="Y262">
        <v>94.871450999999993</v>
      </c>
      <c r="Z262">
        <v>180.98100000000002</v>
      </c>
      <c r="AA262">
        <v>240.868393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1.2982976377638706</v>
      </c>
    </row>
    <row r="263" spans="1:41" x14ac:dyDescent="0.3">
      <c r="A263">
        <v>919.98367110135166</v>
      </c>
      <c r="B263">
        <v>27</v>
      </c>
      <c r="C263">
        <v>19</v>
      </c>
      <c r="D263">
        <v>15</v>
      </c>
      <c r="E263">
        <v>10</v>
      </c>
      <c r="F263">
        <v>5</v>
      </c>
      <c r="G263">
        <v>1.2</v>
      </c>
      <c r="H263">
        <v>11</v>
      </c>
      <c r="I263">
        <v>9</v>
      </c>
      <c r="J263">
        <v>0.3</v>
      </c>
      <c r="K263">
        <v>508111229.80661726</v>
      </c>
      <c r="L263">
        <v>54426300</v>
      </c>
      <c r="M263">
        <v>79694466.308548987</v>
      </c>
      <c r="N263">
        <v>71787600</v>
      </c>
      <c r="O263">
        <v>15907825.6</v>
      </c>
      <c r="P263">
        <v>209.767481</v>
      </c>
      <c r="Q263">
        <v>1.2790124518585761</v>
      </c>
      <c r="R263">
        <v>43.742129200000001</v>
      </c>
      <c r="S263">
        <v>783.18132600000001</v>
      </c>
      <c r="T263">
        <v>3.7145935200000002E-10</v>
      </c>
      <c r="U263">
        <v>23.659232603113693</v>
      </c>
      <c r="V263">
        <v>91.850000000000009</v>
      </c>
      <c r="W263">
        <v>-237.19729466260358</v>
      </c>
      <c r="X263">
        <v>62.712913499999999</v>
      </c>
      <c r="Y263">
        <v>92.392204199999995</v>
      </c>
      <c r="Z263">
        <v>144.29</v>
      </c>
      <c r="AA263">
        <v>246.070483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1.2790124518585761</v>
      </c>
    </row>
    <row r="264" spans="1:41" x14ac:dyDescent="0.3">
      <c r="A264">
        <v>910.18968276432736</v>
      </c>
      <c r="B264">
        <v>27</v>
      </c>
      <c r="C264">
        <v>17</v>
      </c>
      <c r="D264">
        <v>3.4329655575815856</v>
      </c>
      <c r="E264">
        <v>10</v>
      </c>
      <c r="F264">
        <v>5</v>
      </c>
      <c r="G264">
        <v>0.67183490460189499</v>
      </c>
      <c r="H264">
        <v>16</v>
      </c>
      <c r="I264">
        <v>14</v>
      </c>
      <c r="J264">
        <v>1.3893270142781848</v>
      </c>
      <c r="K264">
        <v>507707683.26386893</v>
      </c>
      <c r="L264">
        <v>54426300</v>
      </c>
      <c r="M264">
        <v>79694445.243617967</v>
      </c>
      <c r="N264">
        <v>71787600</v>
      </c>
      <c r="O264">
        <v>15890008.32</v>
      </c>
      <c r="P264">
        <v>211.36497800000001</v>
      </c>
      <c r="Q264">
        <v>1.2680495751564462</v>
      </c>
      <c r="R264">
        <v>43.693502799999997</v>
      </c>
      <c r="S264">
        <v>782.28551300000004</v>
      </c>
      <c r="T264">
        <v>9.3880952800000008E-10</v>
      </c>
      <c r="U264">
        <v>23.137854336480899</v>
      </c>
      <c r="V264">
        <v>91.850000000000009</v>
      </c>
      <c r="W264">
        <v>-242.59487499617259</v>
      </c>
      <c r="X264">
        <v>62.918618100000003</v>
      </c>
      <c r="Y264">
        <v>92.8252071</v>
      </c>
      <c r="Z264">
        <v>144.29</v>
      </c>
      <c r="AA264">
        <v>233.78988699999999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1.2680495751564462</v>
      </c>
    </row>
    <row r="265" spans="1:41" x14ac:dyDescent="0.3">
      <c r="A265">
        <v>918.64686514692255</v>
      </c>
      <c r="B265">
        <v>39</v>
      </c>
      <c r="C265">
        <v>10</v>
      </c>
      <c r="D265">
        <v>15</v>
      </c>
      <c r="E265">
        <v>29</v>
      </c>
      <c r="F265">
        <v>14</v>
      </c>
      <c r="G265">
        <v>0.3</v>
      </c>
      <c r="H265">
        <v>29</v>
      </c>
      <c r="I265">
        <v>7</v>
      </c>
      <c r="J265">
        <v>0.3</v>
      </c>
      <c r="K265">
        <v>508038990.52878785</v>
      </c>
      <c r="L265">
        <v>54426300</v>
      </c>
      <c r="M265">
        <v>79694441.211420164</v>
      </c>
      <c r="N265">
        <v>71787600</v>
      </c>
      <c r="O265">
        <v>15900281.039999999</v>
      </c>
      <c r="P265">
        <v>211.62842499999999</v>
      </c>
      <c r="Q265">
        <v>1.2675337927318964</v>
      </c>
      <c r="R265">
        <v>43.715145399999997</v>
      </c>
      <c r="S265">
        <v>782.00812399999995</v>
      </c>
      <c r="T265">
        <v>4.04528117E-9</v>
      </c>
      <c r="U265">
        <v>22.603167481770477</v>
      </c>
      <c r="V265">
        <v>100.934</v>
      </c>
      <c r="W265">
        <v>-236.89996469166232</v>
      </c>
      <c r="X265">
        <v>62.8437901</v>
      </c>
      <c r="Y265">
        <v>92.109738500000006</v>
      </c>
      <c r="Z265">
        <v>177.97</v>
      </c>
      <c r="AA265">
        <v>235.776363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1.2675337927318964</v>
      </c>
    </row>
    <row r="266" spans="1:41" x14ac:dyDescent="0.3">
      <c r="A266">
        <v>933.21174679298304</v>
      </c>
      <c r="B266">
        <v>39</v>
      </c>
      <c r="C266">
        <v>19</v>
      </c>
      <c r="D266">
        <v>1</v>
      </c>
      <c r="E266">
        <v>16</v>
      </c>
      <c r="F266">
        <v>14</v>
      </c>
      <c r="G266">
        <v>0.3</v>
      </c>
      <c r="H266">
        <v>29</v>
      </c>
      <c r="I266">
        <v>7</v>
      </c>
      <c r="J266">
        <v>1.4</v>
      </c>
      <c r="K266">
        <v>508750001.49587375</v>
      </c>
      <c r="L266">
        <v>54426300</v>
      </c>
      <c r="M266">
        <v>79694412.503864691</v>
      </c>
      <c r="N266">
        <v>71787600</v>
      </c>
      <c r="O266">
        <v>15883811.040000001</v>
      </c>
      <c r="P266">
        <v>211.990938</v>
      </c>
      <c r="Q266">
        <v>1.2676431179717194</v>
      </c>
      <c r="R266">
        <v>43.347453100000003</v>
      </c>
      <c r="S266">
        <v>783.91260999999997</v>
      </c>
      <c r="T266">
        <v>1.6860214400000001E-15</v>
      </c>
      <c r="U266">
        <v>22.554982119310019</v>
      </c>
      <c r="V266">
        <v>80.72</v>
      </c>
      <c r="W266">
        <v>-146.8379894814681</v>
      </c>
      <c r="X266">
        <v>63.145003199999998</v>
      </c>
      <c r="Y266">
        <v>94.935960499999993</v>
      </c>
      <c r="Z266">
        <v>100.934</v>
      </c>
      <c r="AA266">
        <v>226.53371799999999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1.2676431179717194</v>
      </c>
    </row>
    <row r="267" spans="1:41" x14ac:dyDescent="0.3">
      <c r="A267">
        <v>917.72770040223179</v>
      </c>
      <c r="B267">
        <v>39</v>
      </c>
      <c r="C267">
        <v>19</v>
      </c>
      <c r="D267">
        <v>6.5755273614252934</v>
      </c>
      <c r="E267">
        <v>10</v>
      </c>
      <c r="F267">
        <v>5</v>
      </c>
      <c r="G267">
        <v>1.2</v>
      </c>
      <c r="H267">
        <v>29</v>
      </c>
      <c r="I267">
        <v>14</v>
      </c>
      <c r="J267">
        <v>1.4</v>
      </c>
      <c r="K267">
        <v>507917037.00664842</v>
      </c>
      <c r="L267">
        <v>54426300</v>
      </c>
      <c r="M267">
        <v>79694433.785741791</v>
      </c>
      <c r="N267">
        <v>71787600</v>
      </c>
      <c r="O267">
        <v>15893482</v>
      </c>
      <c r="P267">
        <v>211.523515</v>
      </c>
      <c r="Q267">
        <v>1.2677710627907364</v>
      </c>
      <c r="R267">
        <v>43.750792599999997</v>
      </c>
      <c r="S267">
        <v>782.598344</v>
      </c>
      <c r="T267">
        <v>3.65203811E-10</v>
      </c>
      <c r="U267">
        <v>23.455331620869778</v>
      </c>
      <c r="V267">
        <v>100.934</v>
      </c>
      <c r="W267">
        <v>-239.9357797085722</v>
      </c>
      <c r="X267">
        <v>62.906768599999999</v>
      </c>
      <c r="Y267">
        <v>92.343019100000006</v>
      </c>
      <c r="Z267">
        <v>144.29</v>
      </c>
      <c r="AA267">
        <v>236.488587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1.2677710627907364</v>
      </c>
    </row>
    <row r="268" spans="1:41" x14ac:dyDescent="0.3">
      <c r="A268">
        <v>924.71993687524014</v>
      </c>
      <c r="B268">
        <v>39</v>
      </c>
      <c r="C268">
        <v>19</v>
      </c>
      <c r="D268">
        <v>15</v>
      </c>
      <c r="E268">
        <v>29</v>
      </c>
      <c r="F268">
        <v>14</v>
      </c>
      <c r="G268">
        <v>0.3</v>
      </c>
      <c r="H268">
        <v>16</v>
      </c>
      <c r="I268">
        <v>14</v>
      </c>
      <c r="J268">
        <v>1.4</v>
      </c>
      <c r="K268">
        <v>508130102.41425788</v>
      </c>
      <c r="L268">
        <v>54426300</v>
      </c>
      <c r="M268">
        <v>79694427.074999392</v>
      </c>
      <c r="N268">
        <v>71787600</v>
      </c>
      <c r="O268">
        <v>15888757.120000001</v>
      </c>
      <c r="P268">
        <v>212.63079099999999</v>
      </c>
      <c r="Q268">
        <v>1.2618493807907614</v>
      </c>
      <c r="R268">
        <v>43.719277900000002</v>
      </c>
      <c r="S268">
        <v>781.77108799999996</v>
      </c>
      <c r="T268">
        <v>4.0114161700000003E-9</v>
      </c>
      <c r="U268">
        <v>22.524909650141822</v>
      </c>
      <c r="V268">
        <v>100.934</v>
      </c>
      <c r="W268">
        <v>-238.61245213811554</v>
      </c>
      <c r="X268">
        <v>62.915999100000001</v>
      </c>
      <c r="Y268">
        <v>92.143169499999999</v>
      </c>
      <c r="Z268">
        <v>177.97</v>
      </c>
      <c r="AA268">
        <v>235.078352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1.2618493807907614</v>
      </c>
    </row>
    <row r="269" spans="1:41" x14ac:dyDescent="0.3">
      <c r="A269">
        <v>945.94102865898867</v>
      </c>
      <c r="B269">
        <v>27</v>
      </c>
      <c r="C269">
        <v>10</v>
      </c>
      <c r="D269">
        <v>15</v>
      </c>
      <c r="E269">
        <v>29</v>
      </c>
      <c r="F269">
        <v>5</v>
      </c>
      <c r="G269">
        <v>0.3</v>
      </c>
      <c r="H269">
        <v>10</v>
      </c>
      <c r="I269">
        <v>7</v>
      </c>
      <c r="J269">
        <v>0.3</v>
      </c>
      <c r="K269">
        <v>508996912.9693588</v>
      </c>
      <c r="L269">
        <v>54426300</v>
      </c>
      <c r="M269">
        <v>79694410.517862946</v>
      </c>
      <c r="N269">
        <v>71787600</v>
      </c>
      <c r="O269">
        <v>15902833.280000001</v>
      </c>
      <c r="P269">
        <v>213.127252</v>
      </c>
      <c r="Q269">
        <v>1.2616709886867044</v>
      </c>
      <c r="R269">
        <v>43.711173299999999</v>
      </c>
      <c r="S269">
        <v>782.16758800000002</v>
      </c>
      <c r="T269">
        <v>4.0231617699999998E-9</v>
      </c>
      <c r="U269">
        <v>22.642333672535795</v>
      </c>
      <c r="V269">
        <v>100.934</v>
      </c>
      <c r="W269">
        <v>-236.63695533432468</v>
      </c>
      <c r="X269">
        <v>62.777492799999997</v>
      </c>
      <c r="Y269">
        <v>92.407778500000006</v>
      </c>
      <c r="Z269">
        <v>177.97</v>
      </c>
      <c r="AA269">
        <v>238.31136599999999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1.2616709886867044</v>
      </c>
    </row>
    <row r="270" spans="1:41" x14ac:dyDescent="0.3">
      <c r="A270">
        <v>910</v>
      </c>
      <c r="B270">
        <v>31</v>
      </c>
      <c r="C270">
        <v>10</v>
      </c>
      <c r="D270">
        <v>6.462912024173173</v>
      </c>
      <c r="E270">
        <v>10</v>
      </c>
      <c r="F270">
        <v>5</v>
      </c>
      <c r="G270">
        <v>0.3</v>
      </c>
      <c r="H270">
        <v>29</v>
      </c>
      <c r="I270">
        <v>7</v>
      </c>
      <c r="J270">
        <v>0.3</v>
      </c>
      <c r="K270">
        <v>507820236.53386956</v>
      </c>
      <c r="L270">
        <v>54426300</v>
      </c>
      <c r="M270">
        <v>79694451.642500356</v>
      </c>
      <c r="N270">
        <v>71787600</v>
      </c>
      <c r="O270">
        <v>15893067.76</v>
      </c>
      <c r="P270">
        <v>211.88819799999999</v>
      </c>
      <c r="Q270">
        <v>1.2652789558381605</v>
      </c>
      <c r="R270">
        <v>43.584988099999997</v>
      </c>
      <c r="S270">
        <v>782.42935899999998</v>
      </c>
      <c r="T270">
        <v>5.6011772500000002E-9</v>
      </c>
      <c r="U270">
        <v>22.827437873682953</v>
      </c>
      <c r="V270">
        <v>100.934</v>
      </c>
      <c r="W270">
        <v>-240.35634010648164</v>
      </c>
      <c r="X270">
        <v>62.877817</v>
      </c>
      <c r="Y270">
        <v>92.505361300000004</v>
      </c>
      <c r="Z270">
        <v>144.29</v>
      </c>
      <c r="AA270">
        <v>233.41807299999999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1.2652789558381605</v>
      </c>
    </row>
    <row r="271" spans="1:41" x14ac:dyDescent="0.3">
      <c r="A271">
        <v>910</v>
      </c>
      <c r="B271">
        <v>39</v>
      </c>
      <c r="C271">
        <v>19</v>
      </c>
      <c r="D271">
        <v>3.0313816230320221</v>
      </c>
      <c r="E271">
        <v>29</v>
      </c>
      <c r="F271">
        <v>5</v>
      </c>
      <c r="G271">
        <v>0.3</v>
      </c>
      <c r="H271">
        <v>16</v>
      </c>
      <c r="I271">
        <v>14</v>
      </c>
      <c r="J271">
        <v>1.4</v>
      </c>
      <c r="K271">
        <v>507699736.09544444</v>
      </c>
      <c r="L271">
        <v>54426300</v>
      </c>
      <c r="M271">
        <v>79694445.549520165</v>
      </c>
      <c r="N271">
        <v>71787600</v>
      </c>
      <c r="O271">
        <v>15889918.719999999</v>
      </c>
      <c r="P271">
        <v>211.78371300000001</v>
      </c>
      <c r="Q271">
        <v>1.2655169360443146</v>
      </c>
      <c r="R271">
        <v>43.716588999999999</v>
      </c>
      <c r="S271">
        <v>781.77454799999998</v>
      </c>
      <c r="T271">
        <v>4.01940451E-9</v>
      </c>
      <c r="U271">
        <v>22.520780861938679</v>
      </c>
      <c r="V271">
        <v>100.934</v>
      </c>
      <c r="W271">
        <v>-238.54458621268589</v>
      </c>
      <c r="X271">
        <v>62.935668</v>
      </c>
      <c r="Y271">
        <v>92.712806499999999</v>
      </c>
      <c r="Z271">
        <v>177.97</v>
      </c>
      <c r="AA271">
        <v>235.07634400000001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1.2655169360443146</v>
      </c>
    </row>
    <row r="272" spans="1:41" x14ac:dyDescent="0.3">
      <c r="A272">
        <v>910</v>
      </c>
      <c r="B272">
        <v>27</v>
      </c>
      <c r="C272">
        <v>19</v>
      </c>
      <c r="D272">
        <v>15</v>
      </c>
      <c r="E272">
        <v>21</v>
      </c>
      <c r="F272">
        <v>5</v>
      </c>
      <c r="G272">
        <v>1.2</v>
      </c>
      <c r="H272">
        <v>29</v>
      </c>
      <c r="I272">
        <v>14</v>
      </c>
      <c r="J272">
        <v>1.4</v>
      </c>
      <c r="K272">
        <v>507485631.28145742</v>
      </c>
      <c r="L272">
        <v>54426300</v>
      </c>
      <c r="M272">
        <v>79694446.307598829</v>
      </c>
      <c r="N272">
        <v>71787600</v>
      </c>
      <c r="O272">
        <v>15896092.08</v>
      </c>
      <c r="P272">
        <v>209.94697400000001</v>
      </c>
      <c r="Q272">
        <v>1.2758961195119964</v>
      </c>
      <c r="R272">
        <v>43.884466099999997</v>
      </c>
      <c r="S272">
        <v>782.81496500000003</v>
      </c>
      <c r="T272">
        <v>1.9809859899999999E-10</v>
      </c>
      <c r="U272">
        <v>24.326780185194949</v>
      </c>
      <c r="V272">
        <v>91.850000000000009</v>
      </c>
      <c r="W272">
        <v>-236.77872133511286</v>
      </c>
      <c r="X272">
        <v>62.916793400000003</v>
      </c>
      <c r="Y272">
        <v>92.500794900000002</v>
      </c>
      <c r="Z272">
        <v>180.98100000000002</v>
      </c>
      <c r="AA272">
        <v>244.134739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1.2758961195119964</v>
      </c>
    </row>
    <row r="273" spans="1:41" x14ac:dyDescent="0.3">
      <c r="A273">
        <v>917.2761070069198</v>
      </c>
      <c r="B273">
        <v>39</v>
      </c>
      <c r="C273">
        <v>19</v>
      </c>
      <c r="D273">
        <v>15</v>
      </c>
      <c r="E273">
        <v>29</v>
      </c>
      <c r="F273">
        <v>14</v>
      </c>
      <c r="G273">
        <v>0.3</v>
      </c>
      <c r="H273">
        <v>10</v>
      </c>
      <c r="I273">
        <v>7</v>
      </c>
      <c r="J273">
        <v>0.3</v>
      </c>
      <c r="K273">
        <v>508007448.24716341</v>
      </c>
      <c r="L273">
        <v>54426300</v>
      </c>
      <c r="M273">
        <v>79694453.399434969</v>
      </c>
      <c r="N273">
        <v>71787600</v>
      </c>
      <c r="O273">
        <v>15902667.199999999</v>
      </c>
      <c r="P273">
        <v>211.26676800000001</v>
      </c>
      <c r="Q273">
        <v>1.2696022667920817</v>
      </c>
      <c r="R273">
        <v>43.700336200000002</v>
      </c>
      <c r="S273">
        <v>781.82950200000005</v>
      </c>
      <c r="T273">
        <v>1.61406974E-16</v>
      </c>
      <c r="U273">
        <v>22.745697117129001</v>
      </c>
      <c r="V273">
        <v>100.934</v>
      </c>
      <c r="W273">
        <v>-237.75327854180651</v>
      </c>
      <c r="X273">
        <v>62.811304300000003</v>
      </c>
      <c r="Y273">
        <v>92.081193900000002</v>
      </c>
      <c r="Z273">
        <v>177.97</v>
      </c>
      <c r="AA273">
        <v>238.84353400000001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1.2696022667920817</v>
      </c>
    </row>
    <row r="274" spans="1:41" x14ac:dyDescent="0.3">
      <c r="A274">
        <v>926.76714947748098</v>
      </c>
      <c r="B274">
        <v>27</v>
      </c>
      <c r="C274">
        <v>19</v>
      </c>
      <c r="D274">
        <v>15</v>
      </c>
      <c r="E274">
        <v>29</v>
      </c>
      <c r="F274">
        <v>5</v>
      </c>
      <c r="G274">
        <v>0.3</v>
      </c>
      <c r="H274">
        <v>29</v>
      </c>
      <c r="I274">
        <v>7</v>
      </c>
      <c r="J274">
        <v>0.3</v>
      </c>
      <c r="K274">
        <v>508235477.95435321</v>
      </c>
      <c r="L274">
        <v>54426300</v>
      </c>
      <c r="M274">
        <v>79694432.828590453</v>
      </c>
      <c r="N274">
        <v>71787600</v>
      </c>
      <c r="O274">
        <v>15891512.960000001</v>
      </c>
      <c r="P274">
        <v>211.96431899999999</v>
      </c>
      <c r="Q274">
        <v>1.2661544544470975</v>
      </c>
      <c r="R274">
        <v>43.713814599999999</v>
      </c>
      <c r="S274">
        <v>782.009184</v>
      </c>
      <c r="T274">
        <v>4.0312153499999998E-9</v>
      </c>
      <c r="U274">
        <v>22.599612586872869</v>
      </c>
      <c r="V274">
        <v>91.850000000000009</v>
      </c>
      <c r="W274">
        <v>-237.93774119036368</v>
      </c>
      <c r="X274">
        <v>62.8359053</v>
      </c>
      <c r="Y274">
        <v>92.459942499999997</v>
      </c>
      <c r="Z274">
        <v>177.97</v>
      </c>
      <c r="AA274">
        <v>235.74526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1.2661544544470975</v>
      </c>
    </row>
    <row r="275" spans="1:41" x14ac:dyDescent="0.3">
      <c r="A275">
        <v>928.58968534945188</v>
      </c>
      <c r="B275">
        <v>39</v>
      </c>
      <c r="C275">
        <v>10</v>
      </c>
      <c r="D275">
        <v>9.9962788394323496</v>
      </c>
      <c r="E275">
        <v>10</v>
      </c>
      <c r="F275">
        <v>5</v>
      </c>
      <c r="G275">
        <v>1.2</v>
      </c>
      <c r="H275">
        <v>29</v>
      </c>
      <c r="I275">
        <v>7</v>
      </c>
      <c r="J275">
        <v>1.4</v>
      </c>
      <c r="K275">
        <v>508213704.14311528</v>
      </c>
      <c r="L275">
        <v>54426300</v>
      </c>
      <c r="M275">
        <v>79694421.089465037</v>
      </c>
      <c r="N275">
        <v>71787600</v>
      </c>
      <c r="O275">
        <v>15887450.960000001</v>
      </c>
      <c r="P275">
        <v>212.086579</v>
      </c>
      <c r="Q275">
        <v>1.2653548691658441</v>
      </c>
      <c r="R275">
        <v>43.750852199999997</v>
      </c>
      <c r="S275">
        <v>782.61461600000007</v>
      </c>
      <c r="T275">
        <v>3.6433216300000001E-10</v>
      </c>
      <c r="U275">
        <v>23.459537803853319</v>
      </c>
      <c r="V275">
        <v>100.934</v>
      </c>
      <c r="W275">
        <v>-239.45329028391359</v>
      </c>
      <c r="X275">
        <v>62.8951457</v>
      </c>
      <c r="Y275">
        <v>92.230643599999993</v>
      </c>
      <c r="Z275">
        <v>144.29</v>
      </c>
      <c r="AA275">
        <v>236.50486900000001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1.2653548691658441</v>
      </c>
    </row>
    <row r="276" spans="1:41" x14ac:dyDescent="0.3">
      <c r="A276">
        <v>935.15956671382366</v>
      </c>
      <c r="B276">
        <v>27</v>
      </c>
      <c r="C276">
        <v>10</v>
      </c>
      <c r="D276">
        <v>1</v>
      </c>
      <c r="E276">
        <v>15</v>
      </c>
      <c r="F276">
        <v>13</v>
      </c>
      <c r="G276">
        <v>1.2</v>
      </c>
      <c r="H276">
        <v>29</v>
      </c>
      <c r="I276">
        <v>14</v>
      </c>
      <c r="J276">
        <v>1.4</v>
      </c>
      <c r="K276">
        <v>508398668.97053075</v>
      </c>
      <c r="L276">
        <v>54426300</v>
      </c>
      <c r="M276">
        <v>79694410.556896806</v>
      </c>
      <c r="N276">
        <v>71787600</v>
      </c>
      <c r="O276">
        <v>15885558.639999999</v>
      </c>
      <c r="P276">
        <v>208.23090300000001</v>
      </c>
      <c r="Q276">
        <v>1.2893876263080566</v>
      </c>
      <c r="R276">
        <v>43.7993089</v>
      </c>
      <c r="S276">
        <v>782.99007799999993</v>
      </c>
      <c r="T276">
        <v>1.96645079E-10</v>
      </c>
      <c r="U276">
        <v>23.745462445385844</v>
      </c>
      <c r="V276">
        <v>80.72</v>
      </c>
      <c r="W276">
        <v>-146.32160667681578</v>
      </c>
      <c r="X276">
        <v>63.131941599999998</v>
      </c>
      <c r="Y276">
        <v>95.024745699999997</v>
      </c>
      <c r="Z276">
        <v>177.97</v>
      </c>
      <c r="AA276">
        <v>237.00284400000001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1.2893876263080566</v>
      </c>
    </row>
    <row r="277" spans="1:41" x14ac:dyDescent="0.3">
      <c r="A277">
        <v>945.89024295307604</v>
      </c>
      <c r="B277">
        <v>27</v>
      </c>
      <c r="C277">
        <v>19</v>
      </c>
      <c r="D277">
        <v>1</v>
      </c>
      <c r="E277">
        <v>16</v>
      </c>
      <c r="F277">
        <v>14</v>
      </c>
      <c r="G277">
        <v>1.2</v>
      </c>
      <c r="H277">
        <v>29</v>
      </c>
      <c r="I277">
        <v>7</v>
      </c>
      <c r="J277">
        <v>0.3</v>
      </c>
      <c r="K277">
        <v>508984909.66588426</v>
      </c>
      <c r="L277">
        <v>54426300</v>
      </c>
      <c r="M277">
        <v>79694398.10982044</v>
      </c>
      <c r="N277">
        <v>71787600</v>
      </c>
      <c r="O277">
        <v>15892626.399999999</v>
      </c>
      <c r="P277">
        <v>206.83237399999999</v>
      </c>
      <c r="Q277">
        <v>1.300030150226176</v>
      </c>
      <c r="R277">
        <v>43.707490100000001</v>
      </c>
      <c r="S277">
        <v>784.45934299999999</v>
      </c>
      <c r="T277">
        <v>2.3248983E-9</v>
      </c>
      <c r="U277">
        <v>23.886428620483318</v>
      </c>
      <c r="V277">
        <v>68.709999999999994</v>
      </c>
      <c r="W277">
        <v>-168.59446371786856</v>
      </c>
      <c r="X277">
        <v>63.083044999999998</v>
      </c>
      <c r="Y277">
        <v>95.156183200000001</v>
      </c>
      <c r="Z277">
        <v>100.934</v>
      </c>
      <c r="AA277">
        <v>234.06872000000001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1.300030150226176</v>
      </c>
    </row>
    <row r="278" spans="1:41" x14ac:dyDescent="0.3">
      <c r="A278">
        <v>942.08592656638996</v>
      </c>
      <c r="B278">
        <v>28</v>
      </c>
      <c r="C278">
        <v>19</v>
      </c>
      <c r="D278">
        <v>1</v>
      </c>
      <c r="E278">
        <v>16</v>
      </c>
      <c r="F278">
        <v>14</v>
      </c>
      <c r="G278">
        <v>1.2</v>
      </c>
      <c r="H278">
        <v>10</v>
      </c>
      <c r="I278">
        <v>7</v>
      </c>
      <c r="J278">
        <v>0.3</v>
      </c>
      <c r="K278">
        <v>508848053.26849103</v>
      </c>
      <c r="L278">
        <v>54426300</v>
      </c>
      <c r="M278">
        <v>79694413.303442508</v>
      </c>
      <c r="N278">
        <v>71787600</v>
      </c>
      <c r="O278">
        <v>15892974.319999998</v>
      </c>
      <c r="P278">
        <v>206.76680400000001</v>
      </c>
      <c r="Q278">
        <v>1.2999930906524473</v>
      </c>
      <c r="R278">
        <v>43.699126800000002</v>
      </c>
      <c r="S278">
        <v>784.66267300000004</v>
      </c>
      <c r="T278">
        <v>7.8053810899999999E-10</v>
      </c>
      <c r="U278">
        <v>23.899252564672597</v>
      </c>
      <c r="V278">
        <v>68.709999999999994</v>
      </c>
      <c r="W278">
        <v>-165.64883741070756</v>
      </c>
      <c r="X278">
        <v>63.0563754</v>
      </c>
      <c r="Y278">
        <v>95.092838900000004</v>
      </c>
      <c r="Z278">
        <v>100.934</v>
      </c>
      <c r="AA278">
        <v>236.21895699999999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1.2999930906524473</v>
      </c>
    </row>
    <row r="279" spans="1:41" x14ac:dyDescent="0.3">
      <c r="A279">
        <v>910</v>
      </c>
      <c r="B279">
        <v>27</v>
      </c>
      <c r="C279">
        <v>10</v>
      </c>
      <c r="D279">
        <v>1</v>
      </c>
      <c r="E279">
        <v>29</v>
      </c>
      <c r="F279">
        <v>5</v>
      </c>
      <c r="G279">
        <v>0.3</v>
      </c>
      <c r="H279">
        <v>29</v>
      </c>
      <c r="I279">
        <v>7</v>
      </c>
      <c r="J279">
        <v>0.3</v>
      </c>
      <c r="K279">
        <v>507756589.35704798</v>
      </c>
      <c r="L279">
        <v>54426300</v>
      </c>
      <c r="M279">
        <v>79694453.316436648</v>
      </c>
      <c r="N279">
        <v>71787600</v>
      </c>
      <c r="O279">
        <v>15890609.039999999</v>
      </c>
      <c r="P279">
        <v>207.44941700000001</v>
      </c>
      <c r="Q279">
        <v>1.2921437648956196</v>
      </c>
      <c r="R279">
        <v>43.666165999999997</v>
      </c>
      <c r="S279">
        <v>782.170029</v>
      </c>
      <c r="T279">
        <v>3.4028461700000002E-9</v>
      </c>
      <c r="U279">
        <v>22.348120617922309</v>
      </c>
      <c r="V279">
        <v>80.72</v>
      </c>
      <c r="W279">
        <v>-147.33301727162294</v>
      </c>
      <c r="X279">
        <v>63.110717100000002</v>
      </c>
      <c r="Y279">
        <v>95.011726400000001</v>
      </c>
      <c r="Z279">
        <v>177.97</v>
      </c>
      <c r="AA279">
        <v>234.61577500000001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1.2921437648956196</v>
      </c>
    </row>
    <row r="280" spans="1:41" x14ac:dyDescent="0.3">
      <c r="A280">
        <v>946.60538385348582</v>
      </c>
      <c r="B280">
        <v>39</v>
      </c>
      <c r="C280">
        <v>19</v>
      </c>
      <c r="D280">
        <v>15</v>
      </c>
      <c r="E280">
        <v>29</v>
      </c>
      <c r="F280">
        <v>5</v>
      </c>
      <c r="G280">
        <v>1.2</v>
      </c>
      <c r="H280">
        <v>10</v>
      </c>
      <c r="I280">
        <v>7</v>
      </c>
      <c r="J280">
        <v>1.4</v>
      </c>
      <c r="K280">
        <v>508753418.25352985</v>
      </c>
      <c r="L280">
        <v>54426300</v>
      </c>
      <c r="M280">
        <v>79694397.111991704</v>
      </c>
      <c r="N280">
        <v>71787600</v>
      </c>
      <c r="O280">
        <v>15900471.279999999</v>
      </c>
      <c r="P280">
        <v>211.93407500000001</v>
      </c>
      <c r="Q280">
        <v>1.2679941774889687</v>
      </c>
      <c r="R280">
        <v>43.9010696</v>
      </c>
      <c r="S280">
        <v>783.01929900000005</v>
      </c>
      <c r="T280">
        <v>1.82393862E-10</v>
      </c>
      <c r="U280">
        <v>24.575508296151298</v>
      </c>
      <c r="V280">
        <v>100.934</v>
      </c>
      <c r="W280">
        <v>-235.19663390701837</v>
      </c>
      <c r="X280">
        <v>62.828373800000001</v>
      </c>
      <c r="Y280">
        <v>92.098938000000004</v>
      </c>
      <c r="Z280">
        <v>180.98100000000002</v>
      </c>
      <c r="AA280">
        <v>246.95040800000001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1.2679941774889687</v>
      </c>
    </row>
    <row r="281" spans="1:41" x14ac:dyDescent="0.3">
      <c r="A281">
        <v>916.9897282621472</v>
      </c>
      <c r="B281">
        <v>39</v>
      </c>
      <c r="C281">
        <v>10</v>
      </c>
      <c r="D281">
        <v>15</v>
      </c>
      <c r="E281">
        <v>16</v>
      </c>
      <c r="F281">
        <v>14</v>
      </c>
      <c r="G281">
        <v>0.3</v>
      </c>
      <c r="H281">
        <v>16</v>
      </c>
      <c r="I281">
        <v>14</v>
      </c>
      <c r="J281">
        <v>1.4</v>
      </c>
      <c r="K281">
        <v>508232240.57876688</v>
      </c>
      <c r="L281">
        <v>54426300</v>
      </c>
      <c r="M281">
        <v>79694433.949067682</v>
      </c>
      <c r="N281">
        <v>71787600</v>
      </c>
      <c r="O281">
        <v>15897526.720000001</v>
      </c>
      <c r="P281">
        <v>214.41577799999999</v>
      </c>
      <c r="Q281">
        <v>1.2516680044725617</v>
      </c>
      <c r="R281">
        <v>43.409052000000003</v>
      </c>
      <c r="S281">
        <v>783.17851999999993</v>
      </c>
      <c r="T281">
        <v>2.4411789600000001E-15</v>
      </c>
      <c r="U281">
        <v>22.451420213740029</v>
      </c>
      <c r="V281">
        <v>100.934</v>
      </c>
      <c r="W281">
        <v>-237.88665790514187</v>
      </c>
      <c r="X281">
        <v>62.910721899999999</v>
      </c>
      <c r="Y281">
        <v>92.147661900000003</v>
      </c>
      <c r="Z281">
        <v>100.934</v>
      </c>
      <c r="AA281">
        <v>227.149946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1.2516680044725617</v>
      </c>
    </row>
    <row r="282" spans="1:41" x14ac:dyDescent="0.3">
      <c r="A282">
        <v>910</v>
      </c>
      <c r="B282">
        <v>39</v>
      </c>
      <c r="C282">
        <v>19</v>
      </c>
      <c r="D282">
        <v>7.1843753650524462</v>
      </c>
      <c r="E282">
        <v>29</v>
      </c>
      <c r="F282">
        <v>14</v>
      </c>
      <c r="G282">
        <v>1.2</v>
      </c>
      <c r="H282">
        <v>29</v>
      </c>
      <c r="I282">
        <v>14</v>
      </c>
      <c r="J282">
        <v>1.4</v>
      </c>
      <c r="K282">
        <v>507401725.46956897</v>
      </c>
      <c r="L282">
        <v>54426300</v>
      </c>
      <c r="M282">
        <v>79694446.684789181</v>
      </c>
      <c r="N282">
        <v>71787600</v>
      </c>
      <c r="O282">
        <v>15892123.359999999</v>
      </c>
      <c r="P282">
        <v>209.30713600000001</v>
      </c>
      <c r="Q282">
        <v>1.2795243136841052</v>
      </c>
      <c r="R282">
        <v>43.950038200000002</v>
      </c>
      <c r="S282">
        <v>783.42285099999992</v>
      </c>
      <c r="T282">
        <v>3.79859203E-21</v>
      </c>
      <c r="U282">
        <v>25.135152406295909</v>
      </c>
      <c r="V282">
        <v>100.934</v>
      </c>
      <c r="W282">
        <v>-235.52994911426813</v>
      </c>
      <c r="X282">
        <v>62.916070900000001</v>
      </c>
      <c r="Y282">
        <v>92.317606100000006</v>
      </c>
      <c r="Z282">
        <v>180.98100000000002</v>
      </c>
      <c r="AA282">
        <v>255.092378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5.4060962518363453E-2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1.3335852762024687</v>
      </c>
    </row>
    <row r="283" spans="1:41" x14ac:dyDescent="0.3">
      <c r="A283">
        <v>948.66174448302945</v>
      </c>
      <c r="B283">
        <v>39</v>
      </c>
      <c r="C283">
        <v>10</v>
      </c>
      <c r="D283">
        <v>15</v>
      </c>
      <c r="E283">
        <v>29</v>
      </c>
      <c r="F283">
        <v>14</v>
      </c>
      <c r="G283">
        <v>0.3</v>
      </c>
      <c r="H283">
        <v>10</v>
      </c>
      <c r="I283">
        <v>7</v>
      </c>
      <c r="J283">
        <v>1.4</v>
      </c>
      <c r="K283">
        <v>509047819.29157948</v>
      </c>
      <c r="L283">
        <v>54426300</v>
      </c>
      <c r="M283">
        <v>79694387.312232837</v>
      </c>
      <c r="N283">
        <v>71787600</v>
      </c>
      <c r="O283">
        <v>15900327.359999999</v>
      </c>
      <c r="P283">
        <v>214.373096</v>
      </c>
      <c r="Q283">
        <v>1.2544999059237527</v>
      </c>
      <c r="R283">
        <v>43.704645900000003</v>
      </c>
      <c r="S283">
        <v>781.58398599999998</v>
      </c>
      <c r="T283">
        <v>1.5604232200000001E-16</v>
      </c>
      <c r="U283">
        <v>22.654297933597999</v>
      </c>
      <c r="V283">
        <v>100.934</v>
      </c>
      <c r="W283">
        <v>-239.46165240870747</v>
      </c>
      <c r="X283">
        <v>62.868525599999998</v>
      </c>
      <c r="Y283">
        <v>92.131678399999998</v>
      </c>
      <c r="Z283">
        <v>177.97</v>
      </c>
      <c r="AA283">
        <v>235.255584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1.2544999059237527</v>
      </c>
    </row>
    <row r="284" spans="1:41" x14ac:dyDescent="0.3">
      <c r="A284">
        <v>932.65625241885368</v>
      </c>
      <c r="B284">
        <v>39</v>
      </c>
      <c r="C284">
        <v>10</v>
      </c>
      <c r="D284">
        <v>1</v>
      </c>
      <c r="E284">
        <v>29</v>
      </c>
      <c r="F284">
        <v>14</v>
      </c>
      <c r="G284">
        <v>1.2</v>
      </c>
      <c r="H284">
        <v>21</v>
      </c>
      <c r="I284">
        <v>7</v>
      </c>
      <c r="J284">
        <v>0.3</v>
      </c>
      <c r="K284">
        <v>508266390.55076981</v>
      </c>
      <c r="L284">
        <v>54426300</v>
      </c>
      <c r="M284">
        <v>79694439.471537188</v>
      </c>
      <c r="N284">
        <v>71787600</v>
      </c>
      <c r="O284">
        <v>15890467.119999999</v>
      </c>
      <c r="P284">
        <v>206.21897999999999</v>
      </c>
      <c r="Q284">
        <v>1.3015317593955549</v>
      </c>
      <c r="R284">
        <v>43.889573400000003</v>
      </c>
      <c r="S284">
        <v>784.38333299999999</v>
      </c>
      <c r="T284">
        <v>2.4353328200000002E-21</v>
      </c>
      <c r="U284">
        <v>25.156912611042092</v>
      </c>
      <c r="V284">
        <v>80.72</v>
      </c>
      <c r="W284">
        <v>-134.509658288352</v>
      </c>
      <c r="X284">
        <v>62.966606800000001</v>
      </c>
      <c r="Y284">
        <v>94.855799099999999</v>
      </c>
      <c r="Z284">
        <v>180.98100000000002</v>
      </c>
      <c r="AA284">
        <v>247.50399100000001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6.2765044416836696E-2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1.3642968038123915</v>
      </c>
    </row>
    <row r="285" spans="1:41" x14ac:dyDescent="0.3">
      <c r="A285">
        <v>910</v>
      </c>
      <c r="B285">
        <v>39</v>
      </c>
      <c r="C285">
        <v>19</v>
      </c>
      <c r="D285">
        <v>9.2097355403822867</v>
      </c>
      <c r="E285">
        <v>10</v>
      </c>
      <c r="F285">
        <v>5</v>
      </c>
      <c r="G285">
        <v>0.3</v>
      </c>
      <c r="H285">
        <v>21</v>
      </c>
      <c r="I285">
        <v>7</v>
      </c>
      <c r="J285">
        <v>0.3</v>
      </c>
      <c r="K285">
        <v>507820268.20785528</v>
      </c>
      <c r="L285">
        <v>54426300</v>
      </c>
      <c r="M285">
        <v>79694451.663660824</v>
      </c>
      <c r="N285">
        <v>71787600</v>
      </c>
      <c r="O285">
        <v>15894496.24</v>
      </c>
      <c r="P285">
        <v>211.91123999999999</v>
      </c>
      <c r="Q285">
        <v>1.2651414782052943</v>
      </c>
      <c r="R285">
        <v>43.587130700000003</v>
      </c>
      <c r="S285">
        <v>782.40519500000005</v>
      </c>
      <c r="T285">
        <v>5.6078041099999999E-9</v>
      </c>
      <c r="U285">
        <v>22.825382408320923</v>
      </c>
      <c r="V285">
        <v>100.934</v>
      </c>
      <c r="W285">
        <v>-241.35367252699271</v>
      </c>
      <c r="X285">
        <v>62.875006999999997</v>
      </c>
      <c r="Y285">
        <v>92.222042200000004</v>
      </c>
      <c r="Z285">
        <v>144.29</v>
      </c>
      <c r="AA285">
        <v>233.44883400000001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1.2651414782052943</v>
      </c>
    </row>
    <row r="286" spans="1:41" x14ac:dyDescent="0.3">
      <c r="A286">
        <v>944.86746892539315</v>
      </c>
      <c r="B286">
        <v>27</v>
      </c>
      <c r="C286">
        <v>19</v>
      </c>
      <c r="D286">
        <v>1</v>
      </c>
      <c r="E286">
        <v>29</v>
      </c>
      <c r="F286">
        <v>5</v>
      </c>
      <c r="G286">
        <v>0.3</v>
      </c>
      <c r="H286">
        <v>16</v>
      </c>
      <c r="I286">
        <v>14</v>
      </c>
      <c r="J286">
        <v>0.3</v>
      </c>
      <c r="K286">
        <v>509037472.17635787</v>
      </c>
      <c r="L286">
        <v>54426300</v>
      </c>
      <c r="M286">
        <v>79694414.241898686</v>
      </c>
      <c r="N286">
        <v>71787600</v>
      </c>
      <c r="O286">
        <v>15896471.040000001</v>
      </c>
      <c r="P286">
        <v>207.712761</v>
      </c>
      <c r="Q286">
        <v>1.2946917814664307</v>
      </c>
      <c r="R286">
        <v>43.666457000000001</v>
      </c>
      <c r="S286">
        <v>781.70230300000003</v>
      </c>
      <c r="T286">
        <v>5.4342018700000004E-9</v>
      </c>
      <c r="U286">
        <v>22.513458562866447</v>
      </c>
      <c r="V286">
        <v>68.709999999999994</v>
      </c>
      <c r="W286">
        <v>-169.36379059817457</v>
      </c>
      <c r="X286">
        <v>63.080390700000002</v>
      </c>
      <c r="Y286">
        <v>95.154732899999999</v>
      </c>
      <c r="Z286">
        <v>177.97</v>
      </c>
      <c r="AA286">
        <v>237.591264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1.2946917814664307</v>
      </c>
    </row>
    <row r="287" spans="1:41" x14ac:dyDescent="0.3">
      <c r="A287">
        <v>918.00872443725098</v>
      </c>
      <c r="B287">
        <v>39</v>
      </c>
      <c r="C287">
        <v>19</v>
      </c>
      <c r="D287">
        <v>15</v>
      </c>
      <c r="E287">
        <v>29</v>
      </c>
      <c r="F287">
        <v>5</v>
      </c>
      <c r="G287">
        <v>0.3</v>
      </c>
      <c r="H287">
        <v>20</v>
      </c>
      <c r="I287">
        <v>7</v>
      </c>
      <c r="J287">
        <v>0.3</v>
      </c>
      <c r="K287">
        <v>508015522.9438591</v>
      </c>
      <c r="L287">
        <v>54426300</v>
      </c>
      <c r="M287">
        <v>79694442.328404903</v>
      </c>
      <c r="N287">
        <v>71787600</v>
      </c>
      <c r="O287">
        <v>15900127.92</v>
      </c>
      <c r="P287">
        <v>211.58332999999999</v>
      </c>
      <c r="Q287">
        <v>1.2677286490379946</v>
      </c>
      <c r="R287">
        <v>43.715362599999999</v>
      </c>
      <c r="S287">
        <v>782.00537999999995</v>
      </c>
      <c r="T287">
        <v>4.0468978899999997E-9</v>
      </c>
      <c r="U287">
        <v>22.602800394242749</v>
      </c>
      <c r="V287">
        <v>100.934</v>
      </c>
      <c r="W287">
        <v>-237.1689596511884</v>
      </c>
      <c r="X287">
        <v>62.842963900000001</v>
      </c>
      <c r="Y287">
        <v>92.099646100000001</v>
      </c>
      <c r="Z287">
        <v>177.97</v>
      </c>
      <c r="AA287">
        <v>235.96462600000001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1.2677286490379946</v>
      </c>
    </row>
    <row r="288" spans="1:41" x14ac:dyDescent="0.3">
      <c r="A288">
        <v>910</v>
      </c>
      <c r="B288">
        <v>39</v>
      </c>
      <c r="C288">
        <v>19</v>
      </c>
      <c r="D288">
        <v>11.148745052800429</v>
      </c>
      <c r="E288">
        <v>22</v>
      </c>
      <c r="F288">
        <v>5</v>
      </c>
      <c r="G288">
        <v>0.3</v>
      </c>
      <c r="H288">
        <v>29</v>
      </c>
      <c r="I288">
        <v>14</v>
      </c>
      <c r="J288">
        <v>0.3</v>
      </c>
      <c r="K288">
        <v>507725943.60732329</v>
      </c>
      <c r="L288">
        <v>54426300</v>
      </c>
      <c r="M288">
        <v>79694452.595131993</v>
      </c>
      <c r="N288">
        <v>71787600</v>
      </c>
      <c r="O288">
        <v>15895695.279999999</v>
      </c>
      <c r="P288">
        <v>211.16269</v>
      </c>
      <c r="Q288">
        <v>1.2693230356345822</v>
      </c>
      <c r="R288">
        <v>43.703934599999997</v>
      </c>
      <c r="S288">
        <v>782.09298799999999</v>
      </c>
      <c r="T288">
        <v>4.1390174700000001E-9</v>
      </c>
      <c r="U288">
        <v>22.748988076680078</v>
      </c>
      <c r="V288">
        <v>100.934</v>
      </c>
      <c r="W288">
        <v>-238.66873144178464</v>
      </c>
      <c r="X288">
        <v>62.870076400000002</v>
      </c>
      <c r="Y288">
        <v>92.171355700000007</v>
      </c>
      <c r="Z288">
        <v>177.97</v>
      </c>
      <c r="AA288">
        <v>235.76037299999999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1.2693230356345822</v>
      </c>
    </row>
    <row r="289" spans="1:41" x14ac:dyDescent="0.3">
      <c r="A289">
        <v>920.81142601536624</v>
      </c>
      <c r="B289">
        <v>39</v>
      </c>
      <c r="C289">
        <v>18</v>
      </c>
      <c r="D289">
        <v>15</v>
      </c>
      <c r="E289">
        <v>16</v>
      </c>
      <c r="F289">
        <v>14</v>
      </c>
      <c r="G289">
        <v>0.3</v>
      </c>
      <c r="H289">
        <v>10</v>
      </c>
      <c r="I289">
        <v>7</v>
      </c>
      <c r="J289">
        <v>0.3</v>
      </c>
      <c r="K289">
        <v>508459287.7233156</v>
      </c>
      <c r="L289">
        <v>54426300</v>
      </c>
      <c r="M289">
        <v>79694429.827092007</v>
      </c>
      <c r="N289">
        <v>71787600</v>
      </c>
      <c r="O289">
        <v>15903935.040000001</v>
      </c>
      <c r="P289">
        <v>215.66232400000001</v>
      </c>
      <c r="Q289">
        <v>1.2451479521943172</v>
      </c>
      <c r="R289">
        <v>43.413817000000002</v>
      </c>
      <c r="S289">
        <v>782.93604100000005</v>
      </c>
      <c r="T289">
        <v>2.4007975899999999E-15</v>
      </c>
      <c r="U289">
        <v>22.372238595400027</v>
      </c>
      <c r="V289">
        <v>100.934</v>
      </c>
      <c r="W289">
        <v>-239.64705422227357</v>
      </c>
      <c r="X289">
        <v>62.982721699999999</v>
      </c>
      <c r="Y289">
        <v>92.179592200000002</v>
      </c>
      <c r="Z289">
        <v>100.934</v>
      </c>
      <c r="AA289">
        <v>231.96463299999999</v>
      </c>
      <c r="AB289">
        <v>100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101.24514795219432</v>
      </c>
    </row>
    <row r="290" spans="1:41" x14ac:dyDescent="0.3">
      <c r="A290">
        <v>921.99891087662218</v>
      </c>
      <c r="B290">
        <v>39</v>
      </c>
      <c r="C290">
        <v>10</v>
      </c>
      <c r="D290">
        <v>7.0288439534173701</v>
      </c>
      <c r="E290">
        <v>29</v>
      </c>
      <c r="F290">
        <v>14</v>
      </c>
      <c r="G290">
        <v>0.3</v>
      </c>
      <c r="H290">
        <v>29</v>
      </c>
      <c r="I290">
        <v>14</v>
      </c>
      <c r="J290">
        <v>0.3</v>
      </c>
      <c r="K290">
        <v>508156869.64311117</v>
      </c>
      <c r="L290">
        <v>54426300</v>
      </c>
      <c r="M290">
        <v>79694436.099217072</v>
      </c>
      <c r="N290">
        <v>71787600</v>
      </c>
      <c r="O290">
        <v>15897188.319999998</v>
      </c>
      <c r="P290">
        <v>211.90399199999999</v>
      </c>
      <c r="Q290">
        <v>1.2662630868740381</v>
      </c>
      <c r="R290">
        <v>43.7003092</v>
      </c>
      <c r="S290">
        <v>781.75840600000004</v>
      </c>
      <c r="T290">
        <v>1.5937131E-16</v>
      </c>
      <c r="U290">
        <v>22.716188966784003</v>
      </c>
      <c r="V290">
        <v>100.934</v>
      </c>
      <c r="W290">
        <v>-237.48734852443721</v>
      </c>
      <c r="X290">
        <v>62.839327099999998</v>
      </c>
      <c r="Y290">
        <v>92.305344399999996</v>
      </c>
      <c r="Z290">
        <v>177.97</v>
      </c>
      <c r="AA290">
        <v>236.08872700000001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1.2662630868740381</v>
      </c>
    </row>
    <row r="291" spans="1:41" x14ac:dyDescent="0.3">
      <c r="A291">
        <v>924.00582978500165</v>
      </c>
      <c r="B291">
        <v>27</v>
      </c>
      <c r="C291">
        <v>19</v>
      </c>
      <c r="D291">
        <v>1</v>
      </c>
      <c r="E291">
        <v>10</v>
      </c>
      <c r="F291">
        <v>5</v>
      </c>
      <c r="G291">
        <v>0.3</v>
      </c>
      <c r="H291">
        <v>29</v>
      </c>
      <c r="I291">
        <v>14</v>
      </c>
      <c r="J291">
        <v>0.3</v>
      </c>
      <c r="K291">
        <v>508372499.33703601</v>
      </c>
      <c r="L291">
        <v>54426300</v>
      </c>
      <c r="M291">
        <v>79694424.814322546</v>
      </c>
      <c r="N291">
        <v>71787600</v>
      </c>
      <c r="O291">
        <v>15892570.239999998</v>
      </c>
      <c r="P291">
        <v>207.37922499999999</v>
      </c>
      <c r="Q291">
        <v>1.29459729803394</v>
      </c>
      <c r="R291">
        <v>43.555456300000003</v>
      </c>
      <c r="S291">
        <v>782.13275800000008</v>
      </c>
      <c r="T291">
        <v>6.6284219799999999E-9</v>
      </c>
      <c r="U291">
        <v>22.798958230828308</v>
      </c>
      <c r="V291">
        <v>68.709999999999994</v>
      </c>
      <c r="W291">
        <v>-171.28321260338376</v>
      </c>
      <c r="X291">
        <v>64.435422099999997</v>
      </c>
      <c r="Y291">
        <v>95.1944199</v>
      </c>
      <c r="Z291">
        <v>144.29</v>
      </c>
      <c r="AA291">
        <v>230.88897800000001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1.29459729803394</v>
      </c>
    </row>
    <row r="292" spans="1:41" x14ac:dyDescent="0.3">
      <c r="A292">
        <v>929.7112506909516</v>
      </c>
      <c r="B292">
        <v>27</v>
      </c>
      <c r="C292">
        <v>19</v>
      </c>
      <c r="D292">
        <v>15</v>
      </c>
      <c r="E292">
        <v>19</v>
      </c>
      <c r="F292">
        <v>5</v>
      </c>
      <c r="G292">
        <v>1.2</v>
      </c>
      <c r="H292">
        <v>29</v>
      </c>
      <c r="I292">
        <v>14</v>
      </c>
      <c r="J292">
        <v>0.3</v>
      </c>
      <c r="K292">
        <v>508188068.09002244</v>
      </c>
      <c r="L292">
        <v>54426300</v>
      </c>
      <c r="M292">
        <v>79694436.068606317</v>
      </c>
      <c r="N292">
        <v>71787600</v>
      </c>
      <c r="O292">
        <v>15894549.199999999</v>
      </c>
      <c r="P292">
        <v>210.09475</v>
      </c>
      <c r="Q292">
        <v>1.2772683860800207</v>
      </c>
      <c r="R292">
        <v>43.870117399999998</v>
      </c>
      <c r="S292">
        <v>783.19149000000004</v>
      </c>
      <c r="T292">
        <v>2.0706786200000001E-10</v>
      </c>
      <c r="U292">
        <v>24.365166001273121</v>
      </c>
      <c r="V292">
        <v>91.850000000000009</v>
      </c>
      <c r="W292">
        <v>-235.19149277691938</v>
      </c>
      <c r="X292">
        <v>62.780470299999998</v>
      </c>
      <c r="Y292">
        <v>92.430527499999997</v>
      </c>
      <c r="Z292">
        <v>180.98100000000002</v>
      </c>
      <c r="AA292">
        <v>242.41149100000001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1.2772683860800207</v>
      </c>
    </row>
    <row r="293" spans="1:41" x14ac:dyDescent="0.3">
      <c r="A293">
        <v>910</v>
      </c>
      <c r="B293">
        <v>39</v>
      </c>
      <c r="C293">
        <v>19</v>
      </c>
      <c r="D293">
        <v>15</v>
      </c>
      <c r="E293">
        <v>29</v>
      </c>
      <c r="F293">
        <v>14</v>
      </c>
      <c r="G293">
        <v>1.2</v>
      </c>
      <c r="H293">
        <v>18</v>
      </c>
      <c r="I293">
        <v>14</v>
      </c>
      <c r="J293">
        <v>1.4</v>
      </c>
      <c r="K293">
        <v>507403344.38822687</v>
      </c>
      <c r="L293">
        <v>54426300</v>
      </c>
      <c r="M293">
        <v>79694447.249752954</v>
      </c>
      <c r="N293">
        <v>71787600</v>
      </c>
      <c r="O293">
        <v>15896302.719999999</v>
      </c>
      <c r="P293">
        <v>209.275668</v>
      </c>
      <c r="Q293">
        <v>1.2797219624730158</v>
      </c>
      <c r="R293">
        <v>43.950892099999997</v>
      </c>
      <c r="S293">
        <v>783.42484300000001</v>
      </c>
      <c r="T293">
        <v>3.8044038200000001E-21</v>
      </c>
      <c r="U293">
        <v>25.139040745488234</v>
      </c>
      <c r="V293">
        <v>100.934</v>
      </c>
      <c r="W293">
        <v>-235.4539683469188</v>
      </c>
      <c r="X293">
        <v>62.911950500000003</v>
      </c>
      <c r="Y293">
        <v>92.137435999999994</v>
      </c>
      <c r="Z293">
        <v>180.98100000000002</v>
      </c>
      <c r="AA293">
        <v>255.43348399999999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5.5616298195293727E-2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1.3353382606683095</v>
      </c>
    </row>
    <row r="294" spans="1:41" x14ac:dyDescent="0.3">
      <c r="A294">
        <v>910</v>
      </c>
      <c r="B294">
        <v>33</v>
      </c>
      <c r="C294">
        <v>10</v>
      </c>
      <c r="D294">
        <v>1</v>
      </c>
      <c r="E294">
        <v>21</v>
      </c>
      <c r="F294">
        <v>5</v>
      </c>
      <c r="G294">
        <v>1.2</v>
      </c>
      <c r="H294">
        <v>29</v>
      </c>
      <c r="I294">
        <v>14</v>
      </c>
      <c r="J294">
        <v>1.4</v>
      </c>
      <c r="K294">
        <v>507519844.20227253</v>
      </c>
      <c r="L294">
        <v>54426300</v>
      </c>
      <c r="M294">
        <v>79694446.167487815</v>
      </c>
      <c r="N294">
        <v>71787600</v>
      </c>
      <c r="O294">
        <v>15888799.84</v>
      </c>
      <c r="P294">
        <v>206.93023600000001</v>
      </c>
      <c r="Q294">
        <v>1.2946090442117633</v>
      </c>
      <c r="R294">
        <v>43.830392600000003</v>
      </c>
      <c r="S294">
        <v>783.21637399999997</v>
      </c>
      <c r="T294">
        <v>1.72768926E-10</v>
      </c>
      <c r="U294">
        <v>24.068837588639369</v>
      </c>
      <c r="V294">
        <v>80.72</v>
      </c>
      <c r="W294">
        <v>-139.11136970219542</v>
      </c>
      <c r="X294">
        <v>64.276387</v>
      </c>
      <c r="Y294">
        <v>94.998680500000006</v>
      </c>
      <c r="Z294">
        <v>180.98100000000002</v>
      </c>
      <c r="AA294">
        <v>240.985715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1.2946090442117633</v>
      </c>
    </row>
    <row r="295" spans="1:41" x14ac:dyDescent="0.3">
      <c r="A295">
        <v>919.79557089568721</v>
      </c>
      <c r="B295">
        <v>27</v>
      </c>
      <c r="C295">
        <v>10</v>
      </c>
      <c r="D295">
        <v>6.2389666387699112</v>
      </c>
      <c r="E295">
        <v>10</v>
      </c>
      <c r="F295">
        <v>5</v>
      </c>
      <c r="G295">
        <v>1.2</v>
      </c>
      <c r="H295">
        <v>29</v>
      </c>
      <c r="I295">
        <v>14</v>
      </c>
      <c r="J295">
        <v>1.4</v>
      </c>
      <c r="K295">
        <v>507992574.33366799</v>
      </c>
      <c r="L295">
        <v>54426300</v>
      </c>
      <c r="M295">
        <v>79694430.528263405</v>
      </c>
      <c r="N295">
        <v>71787600</v>
      </c>
      <c r="O295">
        <v>15893899.84</v>
      </c>
      <c r="P295">
        <v>211.641322</v>
      </c>
      <c r="Q295">
        <v>1.267307668387426</v>
      </c>
      <c r="R295">
        <v>43.748690600000003</v>
      </c>
      <c r="S295">
        <v>782.62384599999996</v>
      </c>
      <c r="T295">
        <v>3.6455540800000002E-10</v>
      </c>
      <c r="U295">
        <v>23.458050688318171</v>
      </c>
      <c r="V295">
        <v>100.934</v>
      </c>
      <c r="W295">
        <v>-238.96964690592063</v>
      </c>
      <c r="X295">
        <v>62.906711000000001</v>
      </c>
      <c r="Y295">
        <v>92.622246099999998</v>
      </c>
      <c r="Z295">
        <v>144.29</v>
      </c>
      <c r="AA295">
        <v>236.48307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1.267307668387426</v>
      </c>
    </row>
    <row r="296" spans="1:41" x14ac:dyDescent="0.3">
      <c r="A296">
        <v>937.62998615170284</v>
      </c>
      <c r="B296">
        <v>27</v>
      </c>
      <c r="C296">
        <v>19</v>
      </c>
      <c r="D296">
        <v>1</v>
      </c>
      <c r="E296">
        <v>19</v>
      </c>
      <c r="F296">
        <v>5</v>
      </c>
      <c r="G296">
        <v>0.3</v>
      </c>
      <c r="H296">
        <v>29</v>
      </c>
      <c r="I296">
        <v>7</v>
      </c>
      <c r="J296">
        <v>1.4</v>
      </c>
      <c r="K296">
        <v>508717077.94220901</v>
      </c>
      <c r="L296">
        <v>54426300</v>
      </c>
      <c r="M296">
        <v>79694405.747308865</v>
      </c>
      <c r="N296">
        <v>71787600</v>
      </c>
      <c r="O296">
        <v>15886635.68</v>
      </c>
      <c r="P296">
        <v>207.67848499999999</v>
      </c>
      <c r="Q296">
        <v>1.2938581640027718</v>
      </c>
      <c r="R296">
        <v>43.650772600000003</v>
      </c>
      <c r="S296">
        <v>781.72785799999997</v>
      </c>
      <c r="T296">
        <v>5.5447275699999999E-9</v>
      </c>
      <c r="U296">
        <v>22.679478721635078</v>
      </c>
      <c r="V296">
        <v>68.709999999999994</v>
      </c>
      <c r="W296">
        <v>-170.75511240397836</v>
      </c>
      <c r="X296">
        <v>64.430267200000003</v>
      </c>
      <c r="Y296">
        <v>95.190980800000006</v>
      </c>
      <c r="Z296">
        <v>177.97</v>
      </c>
      <c r="AA296">
        <v>229.502678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1.2938581640027718</v>
      </c>
    </row>
    <row r="297" spans="1:41" x14ac:dyDescent="0.3">
      <c r="A297">
        <v>927.45729432818268</v>
      </c>
      <c r="B297">
        <v>39</v>
      </c>
      <c r="C297">
        <v>10</v>
      </c>
      <c r="D297">
        <v>8.0526093380900825</v>
      </c>
      <c r="E297">
        <v>29</v>
      </c>
      <c r="F297">
        <v>5</v>
      </c>
      <c r="G297">
        <v>0.3</v>
      </c>
      <c r="H297">
        <v>29</v>
      </c>
      <c r="I297">
        <v>7</v>
      </c>
      <c r="J297">
        <v>0.3</v>
      </c>
      <c r="K297">
        <v>508342533.42297673</v>
      </c>
      <c r="L297">
        <v>54426300</v>
      </c>
      <c r="M297">
        <v>79694429.672189221</v>
      </c>
      <c r="N297">
        <v>71787600</v>
      </c>
      <c r="O297">
        <v>15889979.119999999</v>
      </c>
      <c r="P297">
        <v>212.19237799999999</v>
      </c>
      <c r="Q297">
        <v>1.2651361202006983</v>
      </c>
      <c r="R297">
        <v>43.713884800000002</v>
      </c>
      <c r="S297">
        <v>782.034897</v>
      </c>
      <c r="T297">
        <v>4.0330599899999999E-9</v>
      </c>
      <c r="U297">
        <v>22.607488218551737</v>
      </c>
      <c r="V297">
        <v>100.934</v>
      </c>
      <c r="W297">
        <v>-236.544747691835</v>
      </c>
      <c r="X297">
        <v>62.832967400000001</v>
      </c>
      <c r="Y297">
        <v>92.258560099999997</v>
      </c>
      <c r="Z297">
        <v>177.97</v>
      </c>
      <c r="AA297">
        <v>235.774327</v>
      </c>
      <c r="AB297">
        <v>100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101.26513612020069</v>
      </c>
    </row>
    <row r="298" spans="1:41" x14ac:dyDescent="0.3">
      <c r="A298">
        <v>943.19296783254038</v>
      </c>
      <c r="B298">
        <v>27</v>
      </c>
      <c r="C298">
        <v>19</v>
      </c>
      <c r="D298">
        <v>15</v>
      </c>
      <c r="E298">
        <v>29</v>
      </c>
      <c r="F298">
        <v>14</v>
      </c>
      <c r="G298">
        <v>0.3</v>
      </c>
      <c r="H298">
        <v>10</v>
      </c>
      <c r="I298">
        <v>7</v>
      </c>
      <c r="J298">
        <v>1.4</v>
      </c>
      <c r="K298">
        <v>508829518.27502954</v>
      </c>
      <c r="L298">
        <v>54426300</v>
      </c>
      <c r="M298">
        <v>79694396.792941242</v>
      </c>
      <c r="N298">
        <v>71787600</v>
      </c>
      <c r="O298">
        <v>15897093.92</v>
      </c>
      <c r="P298">
        <v>213.90893800000001</v>
      </c>
      <c r="Q298">
        <v>1.2565292339538032</v>
      </c>
      <c r="R298">
        <v>43.703639699999997</v>
      </c>
      <c r="S298">
        <v>781.562861</v>
      </c>
      <c r="T298">
        <v>1.70239222E-12</v>
      </c>
      <c r="U298">
        <v>22.647412778282998</v>
      </c>
      <c r="V298">
        <v>91.850000000000009</v>
      </c>
      <c r="W298">
        <v>-240.40004308352675</v>
      </c>
      <c r="X298">
        <v>62.877346500000002</v>
      </c>
      <c r="Y298">
        <v>92.486369400000001</v>
      </c>
      <c r="Z298">
        <v>177.97</v>
      </c>
      <c r="AA298">
        <v>235.211375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1.2565292339538032</v>
      </c>
    </row>
    <row r="299" spans="1:41" x14ac:dyDescent="0.3">
      <c r="A299">
        <v>947.74151967290538</v>
      </c>
      <c r="B299">
        <v>39</v>
      </c>
      <c r="C299">
        <v>10</v>
      </c>
      <c r="D299">
        <v>2.0289868188564029</v>
      </c>
      <c r="E299">
        <v>29</v>
      </c>
      <c r="F299">
        <v>14</v>
      </c>
      <c r="G299">
        <v>0.31295930661945892</v>
      </c>
      <c r="H299">
        <v>15</v>
      </c>
      <c r="I299">
        <v>13</v>
      </c>
      <c r="J299">
        <v>1.3987420241191153</v>
      </c>
      <c r="K299">
        <v>509004657.12563932</v>
      </c>
      <c r="L299">
        <v>54426300</v>
      </c>
      <c r="M299">
        <v>79694388.815652803</v>
      </c>
      <c r="N299">
        <v>71787600</v>
      </c>
      <c r="O299">
        <v>15892196</v>
      </c>
      <c r="P299">
        <v>213.92184800000001</v>
      </c>
      <c r="Q299">
        <v>1.257009185462391</v>
      </c>
      <c r="R299">
        <v>43.698320299999999</v>
      </c>
      <c r="S299">
        <v>781.78013799999997</v>
      </c>
      <c r="T299">
        <v>1.02117409E-16</v>
      </c>
      <c r="U299">
        <v>22.714289869283004</v>
      </c>
      <c r="V299">
        <v>100.934</v>
      </c>
      <c r="W299">
        <v>-224.38454538762002</v>
      </c>
      <c r="X299">
        <v>62.899202500000001</v>
      </c>
      <c r="Y299">
        <v>93.343222299999994</v>
      </c>
      <c r="Z299">
        <v>177.97</v>
      </c>
      <c r="AA299">
        <v>234.48516499999999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1.257009185462391</v>
      </c>
    </row>
    <row r="300" spans="1:41" x14ac:dyDescent="0.3">
      <c r="A300">
        <v>938.22049278763041</v>
      </c>
      <c r="B300">
        <v>39</v>
      </c>
      <c r="C300">
        <v>19</v>
      </c>
      <c r="D300">
        <v>1</v>
      </c>
      <c r="E300">
        <v>29</v>
      </c>
      <c r="F300">
        <v>14</v>
      </c>
      <c r="G300">
        <v>1.2</v>
      </c>
      <c r="H300">
        <v>19</v>
      </c>
      <c r="I300">
        <v>7</v>
      </c>
      <c r="J300">
        <v>0.3</v>
      </c>
      <c r="K300">
        <v>508486783.80247778</v>
      </c>
      <c r="L300">
        <v>54426300</v>
      </c>
      <c r="M300">
        <v>79694428.992383718</v>
      </c>
      <c r="N300">
        <v>71787600</v>
      </c>
      <c r="O300">
        <v>15892775.359999999</v>
      </c>
      <c r="P300">
        <v>206.25626399999999</v>
      </c>
      <c r="Q300">
        <v>1.3020218719189327</v>
      </c>
      <c r="R300">
        <v>43.885878400000003</v>
      </c>
      <c r="S300">
        <v>784.30906000000004</v>
      </c>
      <c r="T300">
        <v>2.1486651299999998E-21</v>
      </c>
      <c r="U300">
        <v>25.316385218301228</v>
      </c>
      <c r="V300">
        <v>80.72</v>
      </c>
      <c r="W300">
        <v>-142.48464961781886</v>
      </c>
      <c r="X300">
        <v>62.965069700000001</v>
      </c>
      <c r="Y300">
        <v>94.832926599999993</v>
      </c>
      <c r="Z300">
        <v>180.98100000000002</v>
      </c>
      <c r="AA300">
        <v>246.225067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0.12655408732049125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1.428575959239424</v>
      </c>
    </row>
    <row r="301" spans="1:41" x14ac:dyDescent="0.3">
      <c r="A301">
        <v>916.44075906175374</v>
      </c>
      <c r="B301">
        <v>33</v>
      </c>
      <c r="C301">
        <v>16</v>
      </c>
      <c r="D301">
        <v>14.939523233830439</v>
      </c>
      <c r="E301">
        <v>12</v>
      </c>
      <c r="F301">
        <v>10</v>
      </c>
      <c r="G301">
        <v>0.6593268793954743</v>
      </c>
      <c r="H301">
        <v>29</v>
      </c>
      <c r="I301">
        <v>14</v>
      </c>
      <c r="J301">
        <v>0.37163853186413992</v>
      </c>
      <c r="K301">
        <v>508051858.98810744</v>
      </c>
      <c r="L301">
        <v>54426300</v>
      </c>
      <c r="M301">
        <v>79694435.277040705</v>
      </c>
      <c r="N301">
        <v>71787600</v>
      </c>
      <c r="O301">
        <v>15897401.120000001</v>
      </c>
      <c r="P301">
        <v>213.154393</v>
      </c>
      <c r="Q301">
        <v>1.2585005274072374</v>
      </c>
      <c r="R301">
        <v>43.544968099999998</v>
      </c>
      <c r="S301">
        <v>782.74429999999995</v>
      </c>
      <c r="T301">
        <v>6.13480308E-14</v>
      </c>
      <c r="U301">
        <v>22.650260506534373</v>
      </c>
      <c r="V301">
        <v>100.934</v>
      </c>
      <c r="W301">
        <v>-239.07494464676495</v>
      </c>
      <c r="X301">
        <v>62.909390500000001</v>
      </c>
      <c r="Y301">
        <v>92.301040900000004</v>
      </c>
      <c r="Z301">
        <v>100.934</v>
      </c>
      <c r="AA301">
        <v>231.79426900000001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1.2585005274072374</v>
      </c>
    </row>
    <row r="302" spans="1:41" x14ac:dyDescent="0.3">
      <c r="A302">
        <v>945.50090602189061</v>
      </c>
      <c r="B302">
        <v>39</v>
      </c>
      <c r="C302">
        <v>19</v>
      </c>
      <c r="D302">
        <v>15</v>
      </c>
      <c r="E302">
        <v>20</v>
      </c>
      <c r="F302">
        <v>14</v>
      </c>
      <c r="G302">
        <v>1.2</v>
      </c>
      <c r="H302">
        <v>10</v>
      </c>
      <c r="I302">
        <v>7</v>
      </c>
      <c r="J302">
        <v>1.4</v>
      </c>
      <c r="K302">
        <v>508707542.503851</v>
      </c>
      <c r="L302">
        <v>54426300</v>
      </c>
      <c r="M302">
        <v>79694399.185511455</v>
      </c>
      <c r="N302">
        <v>71787600</v>
      </c>
      <c r="O302">
        <v>15899856.32</v>
      </c>
      <c r="P302">
        <v>211.654809</v>
      </c>
      <c r="Q302">
        <v>1.2695200803294384</v>
      </c>
      <c r="R302">
        <v>43.903215199999998</v>
      </c>
      <c r="S302">
        <v>783.56094399999995</v>
      </c>
      <c r="T302">
        <v>3.7632358399999999E-16</v>
      </c>
      <c r="U302">
        <v>24.654893437192548</v>
      </c>
      <c r="V302">
        <v>100.934</v>
      </c>
      <c r="W302">
        <v>-236.29228875642855</v>
      </c>
      <c r="X302">
        <v>62.829416799999997</v>
      </c>
      <c r="Y302">
        <v>92.099198599999994</v>
      </c>
      <c r="Z302">
        <v>177.97</v>
      </c>
      <c r="AA302">
        <v>247.125629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1.2695200803294384</v>
      </c>
    </row>
    <row r="303" spans="1:41" x14ac:dyDescent="0.3">
      <c r="A303">
        <v>910</v>
      </c>
      <c r="B303">
        <v>27</v>
      </c>
      <c r="C303">
        <v>19</v>
      </c>
      <c r="D303">
        <v>15</v>
      </c>
      <c r="E303">
        <v>29</v>
      </c>
      <c r="F303">
        <v>5</v>
      </c>
      <c r="G303">
        <v>0.3</v>
      </c>
      <c r="H303">
        <v>29</v>
      </c>
      <c r="I303">
        <v>7</v>
      </c>
      <c r="J303">
        <v>1.4</v>
      </c>
      <c r="K303">
        <v>507707065.35510731</v>
      </c>
      <c r="L303">
        <v>54426300</v>
      </c>
      <c r="M303">
        <v>79694445.533290297</v>
      </c>
      <c r="N303">
        <v>71787600</v>
      </c>
      <c r="O303">
        <v>15895963.359999999</v>
      </c>
      <c r="P303">
        <v>211.59898000000001</v>
      </c>
      <c r="Q303">
        <v>1.2666452885799486</v>
      </c>
      <c r="R303">
        <v>43.717358300000001</v>
      </c>
      <c r="S303">
        <v>781.79082400000004</v>
      </c>
      <c r="T303">
        <v>4.0234548699999998E-9</v>
      </c>
      <c r="U303">
        <v>22.531918684747712</v>
      </c>
      <c r="V303">
        <v>91.850000000000009</v>
      </c>
      <c r="W303">
        <v>-238.93251773451288</v>
      </c>
      <c r="X303">
        <v>62.918444800000003</v>
      </c>
      <c r="Y303">
        <v>92.501700099999994</v>
      </c>
      <c r="Z303">
        <v>177.97</v>
      </c>
      <c r="AA303">
        <v>233.13831099999999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1.2666452885799486</v>
      </c>
    </row>
    <row r="304" spans="1:41" x14ac:dyDescent="0.3">
      <c r="A304">
        <v>938.95509818127812</v>
      </c>
      <c r="B304">
        <v>39</v>
      </c>
      <c r="C304">
        <v>19</v>
      </c>
      <c r="D304">
        <v>1</v>
      </c>
      <c r="E304">
        <v>21</v>
      </c>
      <c r="F304">
        <v>14</v>
      </c>
      <c r="G304">
        <v>1.2</v>
      </c>
      <c r="H304">
        <v>29</v>
      </c>
      <c r="I304">
        <v>14</v>
      </c>
      <c r="J304">
        <v>0.3</v>
      </c>
      <c r="K304">
        <v>508541640.11699831</v>
      </c>
      <c r="L304">
        <v>54426300</v>
      </c>
      <c r="M304">
        <v>79694419.766628057</v>
      </c>
      <c r="N304">
        <v>71787600</v>
      </c>
      <c r="O304">
        <v>15891210</v>
      </c>
      <c r="P304">
        <v>207.139194</v>
      </c>
      <c r="Q304">
        <v>1.296651788837508</v>
      </c>
      <c r="R304">
        <v>43.836208800000001</v>
      </c>
      <c r="S304">
        <v>784.46286299999997</v>
      </c>
      <c r="T304">
        <v>9.1348057700000006E-21</v>
      </c>
      <c r="U304">
        <v>24.814045555440455</v>
      </c>
      <c r="V304">
        <v>80.72</v>
      </c>
      <c r="W304">
        <v>-144.93150304250008</v>
      </c>
      <c r="X304">
        <v>63.021905199999999</v>
      </c>
      <c r="Y304">
        <v>94.865420599999993</v>
      </c>
      <c r="Z304">
        <v>165.7</v>
      </c>
      <c r="AA304">
        <v>241.44756699999999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1.296651788837508</v>
      </c>
    </row>
    <row r="305" spans="1:41" x14ac:dyDescent="0.3">
      <c r="A305">
        <v>910</v>
      </c>
      <c r="B305">
        <v>39</v>
      </c>
      <c r="C305">
        <v>10</v>
      </c>
      <c r="D305">
        <v>8.6714444272605959</v>
      </c>
      <c r="E305">
        <v>21</v>
      </c>
      <c r="F305">
        <v>14</v>
      </c>
      <c r="G305">
        <v>0.3</v>
      </c>
      <c r="H305">
        <v>29</v>
      </c>
      <c r="I305">
        <v>7</v>
      </c>
      <c r="J305">
        <v>1.4</v>
      </c>
      <c r="K305">
        <v>507758664.94851959</v>
      </c>
      <c r="L305">
        <v>54426300</v>
      </c>
      <c r="M305">
        <v>79694445.367704555</v>
      </c>
      <c r="N305">
        <v>71787600</v>
      </c>
      <c r="O305">
        <v>15892666.719999999</v>
      </c>
      <c r="P305">
        <v>212.084159</v>
      </c>
      <c r="Q305">
        <v>1.2639127834799129</v>
      </c>
      <c r="R305">
        <v>43.638113699999998</v>
      </c>
      <c r="S305">
        <v>781.65831900000001</v>
      </c>
      <c r="T305">
        <v>2.7709055900000001E-16</v>
      </c>
      <c r="U305">
        <v>22.712764146890002</v>
      </c>
      <c r="V305">
        <v>100.934</v>
      </c>
      <c r="W305">
        <v>-240.98916103925265</v>
      </c>
      <c r="X305">
        <v>62.919871100000002</v>
      </c>
      <c r="Y305">
        <v>92.281663300000005</v>
      </c>
      <c r="Z305">
        <v>144.29</v>
      </c>
      <c r="AA305">
        <v>230.934324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1.2639127834799129</v>
      </c>
    </row>
    <row r="306" spans="1:41" x14ac:dyDescent="0.3">
      <c r="A306">
        <v>944.72589374694189</v>
      </c>
      <c r="B306">
        <v>27</v>
      </c>
      <c r="C306">
        <v>10</v>
      </c>
      <c r="D306">
        <v>1</v>
      </c>
      <c r="E306">
        <v>20</v>
      </c>
      <c r="F306">
        <v>14</v>
      </c>
      <c r="G306">
        <v>0.3</v>
      </c>
      <c r="H306">
        <v>10</v>
      </c>
      <c r="I306">
        <v>7</v>
      </c>
      <c r="J306">
        <v>0.3</v>
      </c>
      <c r="K306">
        <v>509020159.70806074</v>
      </c>
      <c r="L306">
        <v>54426300</v>
      </c>
      <c r="M306">
        <v>79694405.949463174</v>
      </c>
      <c r="N306">
        <v>71787600</v>
      </c>
      <c r="O306">
        <v>15893934</v>
      </c>
      <c r="P306">
        <v>210.54740200000001</v>
      </c>
      <c r="Q306">
        <v>1.2772052723528509</v>
      </c>
      <c r="R306">
        <v>43.570743299999997</v>
      </c>
      <c r="S306">
        <v>782.10629499999993</v>
      </c>
      <c r="T306">
        <v>1.13544435E-13</v>
      </c>
      <c r="U306">
        <v>22.551706547576</v>
      </c>
      <c r="V306">
        <v>80.72</v>
      </c>
      <c r="W306">
        <v>-151.11454181912021</v>
      </c>
      <c r="X306">
        <v>63.087403899999998</v>
      </c>
      <c r="Y306">
        <v>94.999391200000005</v>
      </c>
      <c r="Z306">
        <v>144.29</v>
      </c>
      <c r="AA306">
        <v>234.577483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1.2772052723528509</v>
      </c>
    </row>
    <row r="307" spans="1:41" x14ac:dyDescent="0.3">
      <c r="A307">
        <v>950.71898619632657</v>
      </c>
      <c r="B307">
        <v>27</v>
      </c>
      <c r="C307">
        <v>19</v>
      </c>
      <c r="D307">
        <v>15</v>
      </c>
      <c r="E307">
        <v>16</v>
      </c>
      <c r="F307">
        <v>14</v>
      </c>
      <c r="G307">
        <v>0.3</v>
      </c>
      <c r="H307">
        <v>29</v>
      </c>
      <c r="I307">
        <v>14</v>
      </c>
      <c r="J307">
        <v>1.1521717187881817</v>
      </c>
      <c r="K307">
        <v>509424937.87116814</v>
      </c>
      <c r="L307">
        <v>54426300</v>
      </c>
      <c r="M307">
        <v>79694382.688363895</v>
      </c>
      <c r="N307">
        <v>71787600</v>
      </c>
      <c r="O307">
        <v>15901396.24</v>
      </c>
      <c r="P307">
        <v>216.67429899999999</v>
      </c>
      <c r="Q307">
        <v>1.2423579487133449</v>
      </c>
      <c r="R307">
        <v>43.406983400000001</v>
      </c>
      <c r="S307">
        <v>783.24541999999997</v>
      </c>
      <c r="T307">
        <v>1.6793289799999999E-12</v>
      </c>
      <c r="U307">
        <v>22.464859499520028</v>
      </c>
      <c r="V307">
        <v>91.850000000000009</v>
      </c>
      <c r="W307">
        <v>-239.04128060698281</v>
      </c>
      <c r="X307">
        <v>62.860281999999998</v>
      </c>
      <c r="Y307">
        <v>92.479055700000004</v>
      </c>
      <c r="Z307">
        <v>100.934</v>
      </c>
      <c r="AA307">
        <v>227.11487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1.2423579487133449</v>
      </c>
    </row>
    <row r="308" spans="1:41" x14ac:dyDescent="0.3">
      <c r="A308">
        <v>950.70461874175328</v>
      </c>
      <c r="B308">
        <v>27</v>
      </c>
      <c r="C308">
        <v>19</v>
      </c>
      <c r="D308">
        <v>15</v>
      </c>
      <c r="E308">
        <v>29</v>
      </c>
      <c r="F308">
        <v>5</v>
      </c>
      <c r="G308">
        <v>1.2</v>
      </c>
      <c r="H308">
        <v>29</v>
      </c>
      <c r="I308">
        <v>14</v>
      </c>
      <c r="J308">
        <v>1.4</v>
      </c>
      <c r="K308">
        <v>508898822.57814884</v>
      </c>
      <c r="L308">
        <v>54426300</v>
      </c>
      <c r="M308">
        <v>79694384.414276853</v>
      </c>
      <c r="N308">
        <v>71787600</v>
      </c>
      <c r="O308">
        <v>15901649.68</v>
      </c>
      <c r="P308">
        <v>212.56201100000001</v>
      </c>
      <c r="Q308">
        <v>1.2647127316756126</v>
      </c>
      <c r="R308">
        <v>43.9008775</v>
      </c>
      <c r="S308">
        <v>782.90793400000007</v>
      </c>
      <c r="T308">
        <v>1.8281912400000001E-10</v>
      </c>
      <c r="U308">
        <v>24.52921560039939</v>
      </c>
      <c r="V308">
        <v>91.850000000000009</v>
      </c>
      <c r="W308">
        <v>-236.5469030077665</v>
      </c>
      <c r="X308">
        <v>62.857519500000002</v>
      </c>
      <c r="Y308">
        <v>92.477548400000003</v>
      </c>
      <c r="Z308">
        <v>180.98100000000002</v>
      </c>
      <c r="AA308">
        <v>246.053022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1.2647127316756126</v>
      </c>
    </row>
    <row r="309" spans="1:41" x14ac:dyDescent="0.3">
      <c r="A309">
        <v>910</v>
      </c>
      <c r="B309">
        <v>39</v>
      </c>
      <c r="C309">
        <v>10</v>
      </c>
      <c r="D309">
        <v>7.572894626702614</v>
      </c>
      <c r="E309">
        <v>16</v>
      </c>
      <c r="F309">
        <v>5</v>
      </c>
      <c r="G309">
        <v>1.2</v>
      </c>
      <c r="H309">
        <v>23</v>
      </c>
      <c r="I309">
        <v>14</v>
      </c>
      <c r="J309">
        <v>0.3</v>
      </c>
      <c r="K309">
        <v>507591128.88783419</v>
      </c>
      <c r="L309">
        <v>54426300</v>
      </c>
      <c r="M309">
        <v>79694461.698444605</v>
      </c>
      <c r="N309">
        <v>71787600</v>
      </c>
      <c r="O309">
        <v>15896026.48</v>
      </c>
      <c r="P309">
        <v>209.161788</v>
      </c>
      <c r="Q309">
        <v>1.2810281915380375</v>
      </c>
      <c r="R309">
        <v>43.848647200000002</v>
      </c>
      <c r="S309">
        <v>783.13965200000007</v>
      </c>
      <c r="T309">
        <v>2.2771599100000001E-10</v>
      </c>
      <c r="U309">
        <v>24.176324525874161</v>
      </c>
      <c r="V309">
        <v>100.934</v>
      </c>
      <c r="W309">
        <v>-234.42148476725512</v>
      </c>
      <c r="X309">
        <v>62.812382200000002</v>
      </c>
      <c r="Y309">
        <v>92.262586099999993</v>
      </c>
      <c r="Z309">
        <v>177.97</v>
      </c>
      <c r="AA309">
        <v>241.099906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1.2810281915380375</v>
      </c>
    </row>
    <row r="310" spans="1:41" x14ac:dyDescent="0.3">
      <c r="A310">
        <v>927.38864468715224</v>
      </c>
      <c r="B310">
        <v>27</v>
      </c>
      <c r="C310">
        <v>19</v>
      </c>
      <c r="D310">
        <v>9.4209879761570932</v>
      </c>
      <c r="E310">
        <v>10</v>
      </c>
      <c r="F310">
        <v>5</v>
      </c>
      <c r="G310">
        <v>1.2</v>
      </c>
      <c r="H310">
        <v>29</v>
      </c>
      <c r="I310">
        <v>7</v>
      </c>
      <c r="J310">
        <v>1.4</v>
      </c>
      <c r="K310">
        <v>508170071.23114049</v>
      </c>
      <c r="L310">
        <v>54426300</v>
      </c>
      <c r="M310">
        <v>79694423.020203054</v>
      </c>
      <c r="N310">
        <v>71787600</v>
      </c>
      <c r="O310">
        <v>15885977.68</v>
      </c>
      <c r="P310">
        <v>211.932918</v>
      </c>
      <c r="Q310">
        <v>1.2661325457545234</v>
      </c>
      <c r="R310">
        <v>43.7507959</v>
      </c>
      <c r="S310">
        <v>782.58639600000004</v>
      </c>
      <c r="T310">
        <v>3.6606355800000003E-10</v>
      </c>
      <c r="U310">
        <v>23.455324130586</v>
      </c>
      <c r="V310">
        <v>91.850000000000009</v>
      </c>
      <c r="W310">
        <v>-241.06247047785794</v>
      </c>
      <c r="X310">
        <v>62.896087100000003</v>
      </c>
      <c r="Y310">
        <v>92.567334000000002</v>
      </c>
      <c r="Z310">
        <v>144.29</v>
      </c>
      <c r="AA310">
        <v>236.432535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1.2661325457545234</v>
      </c>
    </row>
    <row r="311" spans="1:41" x14ac:dyDescent="0.3">
      <c r="A311">
        <v>923.55550076909424</v>
      </c>
      <c r="B311">
        <v>39</v>
      </c>
      <c r="C311">
        <v>19</v>
      </c>
      <c r="D311">
        <v>1</v>
      </c>
      <c r="E311">
        <v>10</v>
      </c>
      <c r="F311">
        <v>5</v>
      </c>
      <c r="G311">
        <v>0.3</v>
      </c>
      <c r="H311">
        <v>20</v>
      </c>
      <c r="I311">
        <v>14</v>
      </c>
      <c r="J311">
        <v>1.4</v>
      </c>
      <c r="K311">
        <v>508325634.60147762</v>
      </c>
      <c r="L311">
        <v>54426300</v>
      </c>
      <c r="M311">
        <v>79694423.929281116</v>
      </c>
      <c r="N311">
        <v>71787600</v>
      </c>
      <c r="O311">
        <v>15892077.6</v>
      </c>
      <c r="P311">
        <v>209.93458000000001</v>
      </c>
      <c r="Q311">
        <v>1.2786877225634889</v>
      </c>
      <c r="R311">
        <v>43.529148999999997</v>
      </c>
      <c r="S311">
        <v>782.9807800000001</v>
      </c>
      <c r="T311">
        <v>4.8067484200000002E-9</v>
      </c>
      <c r="U311">
        <v>22.89162443634698</v>
      </c>
      <c r="V311">
        <v>80.72</v>
      </c>
      <c r="W311">
        <v>-150.27664102580667</v>
      </c>
      <c r="X311">
        <v>64.274038200000007</v>
      </c>
      <c r="Y311">
        <v>94.942947399999994</v>
      </c>
      <c r="Z311">
        <v>144.29</v>
      </c>
      <c r="AA311">
        <v>229.275148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1.2786877225634889</v>
      </c>
    </row>
    <row r="312" spans="1:41" x14ac:dyDescent="0.3">
      <c r="A312">
        <v>944.68038043437593</v>
      </c>
      <c r="B312">
        <v>27</v>
      </c>
      <c r="C312">
        <v>19</v>
      </c>
      <c r="D312">
        <v>1</v>
      </c>
      <c r="E312">
        <v>19</v>
      </c>
      <c r="F312">
        <v>5</v>
      </c>
      <c r="G312">
        <v>1.2</v>
      </c>
      <c r="H312">
        <v>29</v>
      </c>
      <c r="I312">
        <v>14</v>
      </c>
      <c r="J312">
        <v>0.3</v>
      </c>
      <c r="K312">
        <v>508829298.78809631</v>
      </c>
      <c r="L312">
        <v>54426300</v>
      </c>
      <c r="M312">
        <v>79694402.880579963</v>
      </c>
      <c r="N312">
        <v>71787600</v>
      </c>
      <c r="O312">
        <v>15892549.6</v>
      </c>
      <c r="P312">
        <v>206.17309599999999</v>
      </c>
      <c r="Q312">
        <v>1.3036748742482986</v>
      </c>
      <c r="R312">
        <v>43.836136099999997</v>
      </c>
      <c r="S312">
        <v>782.36163799999997</v>
      </c>
      <c r="T312">
        <v>2.5016829000000001E-9</v>
      </c>
      <c r="U312">
        <v>23.89436204564575</v>
      </c>
      <c r="V312">
        <v>68.709999999999994</v>
      </c>
      <c r="W312">
        <v>-165.02497234204534</v>
      </c>
      <c r="X312">
        <v>63.068007700000003</v>
      </c>
      <c r="Y312">
        <v>95.147359699999996</v>
      </c>
      <c r="Z312">
        <v>177.97</v>
      </c>
      <c r="AA312">
        <v>235.40601599999999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1.3036748742482986</v>
      </c>
    </row>
    <row r="313" spans="1:41" x14ac:dyDescent="0.3">
      <c r="A313">
        <v>910</v>
      </c>
      <c r="B313">
        <v>27</v>
      </c>
      <c r="C313">
        <v>10</v>
      </c>
      <c r="D313">
        <v>15</v>
      </c>
      <c r="E313">
        <v>16</v>
      </c>
      <c r="F313">
        <v>14</v>
      </c>
      <c r="G313">
        <v>1.2</v>
      </c>
      <c r="H313">
        <v>16</v>
      </c>
      <c r="I313">
        <v>14</v>
      </c>
      <c r="J313">
        <v>1.4</v>
      </c>
      <c r="K313">
        <v>507680106.89828587</v>
      </c>
      <c r="L313">
        <v>54426300</v>
      </c>
      <c r="M313">
        <v>79694445.613412425</v>
      </c>
      <c r="N313">
        <v>71787600</v>
      </c>
      <c r="O313">
        <v>15896112.08</v>
      </c>
      <c r="P313">
        <v>211.102518</v>
      </c>
      <c r="Q313">
        <v>1.269537439618722</v>
      </c>
      <c r="R313">
        <v>43.705866299999997</v>
      </c>
      <c r="S313">
        <v>784.25643300000002</v>
      </c>
      <c r="T313">
        <v>1.1694149500000001E-18</v>
      </c>
      <c r="U313">
        <v>23.498532719246498</v>
      </c>
      <c r="V313">
        <v>100.934</v>
      </c>
      <c r="W313">
        <v>-239.89361397663038</v>
      </c>
      <c r="X313">
        <v>62.9328194</v>
      </c>
      <c r="Y313">
        <v>92.484251499999999</v>
      </c>
      <c r="Z313">
        <v>121.52199999999999</v>
      </c>
      <c r="AA313">
        <v>236.00267099999999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1.269537439618722</v>
      </c>
    </row>
    <row r="314" spans="1:41" x14ac:dyDescent="0.3">
      <c r="A314">
        <v>929.58452227239502</v>
      </c>
      <c r="B314">
        <v>39</v>
      </c>
      <c r="C314">
        <v>10</v>
      </c>
      <c r="D314">
        <v>1</v>
      </c>
      <c r="E314">
        <v>10</v>
      </c>
      <c r="F314">
        <v>5</v>
      </c>
      <c r="G314">
        <v>0.3</v>
      </c>
      <c r="H314">
        <v>22</v>
      </c>
      <c r="I314">
        <v>7</v>
      </c>
      <c r="J314">
        <v>0.3</v>
      </c>
      <c r="K314">
        <v>508442855.37064892</v>
      </c>
      <c r="L314">
        <v>54426300</v>
      </c>
      <c r="M314">
        <v>79694424.903073221</v>
      </c>
      <c r="N314">
        <v>71787600</v>
      </c>
      <c r="O314">
        <v>15884492.879999999</v>
      </c>
      <c r="P314">
        <v>210.228927</v>
      </c>
      <c r="Q314">
        <v>1.2772759188713683</v>
      </c>
      <c r="R314">
        <v>43.530644700000003</v>
      </c>
      <c r="S314">
        <v>783.07062599999995</v>
      </c>
      <c r="T314">
        <v>4.9038947300000003E-9</v>
      </c>
      <c r="U314">
        <v>22.715347530078379</v>
      </c>
      <c r="V314">
        <v>80.72</v>
      </c>
      <c r="W314">
        <v>-141.97691311224324</v>
      </c>
      <c r="X314">
        <v>63.108015399999999</v>
      </c>
      <c r="Y314">
        <v>94.937269799999996</v>
      </c>
      <c r="Z314">
        <v>144.29</v>
      </c>
      <c r="AA314">
        <v>232.86936900000001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1.2772759188713683</v>
      </c>
    </row>
    <row r="315" spans="1:41" x14ac:dyDescent="0.3">
      <c r="A315">
        <v>910</v>
      </c>
      <c r="B315">
        <v>39</v>
      </c>
      <c r="C315">
        <v>10</v>
      </c>
      <c r="D315">
        <v>1</v>
      </c>
      <c r="E315">
        <v>29</v>
      </c>
      <c r="F315">
        <v>14</v>
      </c>
      <c r="G315">
        <v>1.2</v>
      </c>
      <c r="H315">
        <v>16</v>
      </c>
      <c r="I315">
        <v>14</v>
      </c>
      <c r="J315">
        <v>0.3</v>
      </c>
      <c r="K315">
        <v>507703182.19849223</v>
      </c>
      <c r="L315">
        <v>54426300</v>
      </c>
      <c r="M315">
        <v>79694498.581128582</v>
      </c>
      <c r="N315">
        <v>71787600</v>
      </c>
      <c r="O315">
        <v>15902013.119999999</v>
      </c>
      <c r="P315">
        <v>203.86146199999999</v>
      </c>
      <c r="Q315">
        <v>1.3147076075838158</v>
      </c>
      <c r="R315">
        <v>43.831866099999999</v>
      </c>
      <c r="S315">
        <v>784.203847</v>
      </c>
      <c r="T315">
        <v>1.6901608100000001E-10</v>
      </c>
      <c r="U315">
        <v>24.579743933563776</v>
      </c>
      <c r="V315">
        <v>80.72</v>
      </c>
      <c r="W315">
        <v>-134.63587962444001</v>
      </c>
      <c r="X315">
        <v>62.8330506</v>
      </c>
      <c r="Y315">
        <v>94.778367399999993</v>
      </c>
      <c r="Z315">
        <v>180.98100000000002</v>
      </c>
      <c r="AA315">
        <v>257.49264499999998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1.3147076075838158</v>
      </c>
    </row>
    <row r="316" spans="1:41" x14ac:dyDescent="0.3">
      <c r="A316">
        <v>916.15038497914452</v>
      </c>
      <c r="B316">
        <v>27</v>
      </c>
      <c r="C316">
        <v>10</v>
      </c>
      <c r="D316">
        <v>15</v>
      </c>
      <c r="E316">
        <v>10</v>
      </c>
      <c r="F316">
        <v>5</v>
      </c>
      <c r="G316">
        <v>0.3</v>
      </c>
      <c r="H316">
        <v>10</v>
      </c>
      <c r="I316">
        <v>7</v>
      </c>
      <c r="J316">
        <v>0.3</v>
      </c>
      <c r="K316">
        <v>508052273.10597217</v>
      </c>
      <c r="L316">
        <v>54426300</v>
      </c>
      <c r="M316">
        <v>79694447.543945</v>
      </c>
      <c r="N316">
        <v>71787600</v>
      </c>
      <c r="O316">
        <v>15900777.120000001</v>
      </c>
      <c r="P316">
        <v>212.52812399999999</v>
      </c>
      <c r="Q316">
        <v>1.2622103469736732</v>
      </c>
      <c r="R316">
        <v>43.586671899999999</v>
      </c>
      <c r="S316">
        <v>782.36830899999995</v>
      </c>
      <c r="T316">
        <v>5.5828647199999998E-9</v>
      </c>
      <c r="U316">
        <v>22.807233914764787</v>
      </c>
      <c r="V316">
        <v>100.934</v>
      </c>
      <c r="W316">
        <v>-241.4875508176662</v>
      </c>
      <c r="X316">
        <v>62.887116900000002</v>
      </c>
      <c r="Y316">
        <v>92.460741499999997</v>
      </c>
      <c r="Z316">
        <v>144.29</v>
      </c>
      <c r="AA316">
        <v>234.47620599999999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1.2622103469736732</v>
      </c>
    </row>
    <row r="317" spans="1:41" x14ac:dyDescent="0.3">
      <c r="A317">
        <v>944.07418636455122</v>
      </c>
      <c r="B317">
        <v>27</v>
      </c>
      <c r="C317">
        <v>19</v>
      </c>
      <c r="D317">
        <v>1</v>
      </c>
      <c r="E317">
        <v>21</v>
      </c>
      <c r="F317">
        <v>14</v>
      </c>
      <c r="G317">
        <v>1.2</v>
      </c>
      <c r="H317">
        <v>16</v>
      </c>
      <c r="I317">
        <v>14</v>
      </c>
      <c r="J317">
        <v>1.4</v>
      </c>
      <c r="K317">
        <v>508840219.44066477</v>
      </c>
      <c r="L317">
        <v>54426300</v>
      </c>
      <c r="M317">
        <v>79694393.865196258</v>
      </c>
      <c r="N317">
        <v>71787600</v>
      </c>
      <c r="O317">
        <v>15891756.719999999</v>
      </c>
      <c r="P317">
        <v>206.79056600000001</v>
      </c>
      <c r="Q317">
        <v>1.2998179933514544</v>
      </c>
      <c r="R317">
        <v>43.844257800000001</v>
      </c>
      <c r="S317">
        <v>782.19061899999997</v>
      </c>
      <c r="T317">
        <v>2.4605314599999999E-9</v>
      </c>
      <c r="U317">
        <v>23.855962224081022</v>
      </c>
      <c r="V317">
        <v>68.709999999999994</v>
      </c>
      <c r="W317">
        <v>-164.84916934408741</v>
      </c>
      <c r="X317">
        <v>63.125835100000003</v>
      </c>
      <c r="Y317">
        <v>95.181205899999995</v>
      </c>
      <c r="Z317">
        <v>177.97</v>
      </c>
      <c r="AA317">
        <v>235.38522800000001</v>
      </c>
      <c r="AB317">
        <v>100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101.29981799335145</v>
      </c>
    </row>
    <row r="318" spans="1:41" x14ac:dyDescent="0.3">
      <c r="A318">
        <v>910</v>
      </c>
      <c r="B318">
        <v>27</v>
      </c>
      <c r="C318">
        <v>10</v>
      </c>
      <c r="D318">
        <v>15</v>
      </c>
      <c r="E318">
        <v>29</v>
      </c>
      <c r="F318">
        <v>14</v>
      </c>
      <c r="G318">
        <v>0.3</v>
      </c>
      <c r="H318">
        <v>19</v>
      </c>
      <c r="I318">
        <v>14</v>
      </c>
      <c r="J318">
        <v>1.4</v>
      </c>
      <c r="K318">
        <v>507697547.48233163</v>
      </c>
      <c r="L318">
        <v>54426300</v>
      </c>
      <c r="M318">
        <v>79694445.546233103</v>
      </c>
      <c r="N318">
        <v>71787600</v>
      </c>
      <c r="O318">
        <v>15895974.959999999</v>
      </c>
      <c r="P318">
        <v>211.70334399999999</v>
      </c>
      <c r="Q318">
        <v>1.2659903465134839</v>
      </c>
      <c r="R318">
        <v>43.703707199999997</v>
      </c>
      <c r="S318">
        <v>781.537824</v>
      </c>
      <c r="T318">
        <v>1.57387825E-16</v>
      </c>
      <c r="U318">
        <v>22.645295700245001</v>
      </c>
      <c r="V318">
        <v>100.934</v>
      </c>
      <c r="W318">
        <v>-239.17274934075883</v>
      </c>
      <c r="X318">
        <v>62.920502300000003</v>
      </c>
      <c r="Y318">
        <v>92.477577600000004</v>
      </c>
      <c r="Z318">
        <v>177.97</v>
      </c>
      <c r="AA318">
        <v>234.11591000000001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1.2659903465134839</v>
      </c>
    </row>
    <row r="319" spans="1:41" x14ac:dyDescent="0.3">
      <c r="A319">
        <v>931.12923319172398</v>
      </c>
      <c r="B319">
        <v>39</v>
      </c>
      <c r="C319">
        <v>10</v>
      </c>
      <c r="D319">
        <v>15</v>
      </c>
      <c r="E319">
        <v>10</v>
      </c>
      <c r="F319">
        <v>5</v>
      </c>
      <c r="G319">
        <v>1.2</v>
      </c>
      <c r="H319">
        <v>23</v>
      </c>
      <c r="I319">
        <v>14</v>
      </c>
      <c r="J319">
        <v>0.3</v>
      </c>
      <c r="K319">
        <v>508334750.43865788</v>
      </c>
      <c r="L319">
        <v>54426300</v>
      </c>
      <c r="M319">
        <v>79694426.450046748</v>
      </c>
      <c r="N319">
        <v>71787600</v>
      </c>
      <c r="O319">
        <v>15893393.92</v>
      </c>
      <c r="P319">
        <v>211.64262099999999</v>
      </c>
      <c r="Q319">
        <v>1.2683974383415819</v>
      </c>
      <c r="R319">
        <v>43.748528700000001</v>
      </c>
      <c r="S319">
        <v>782.81164700000011</v>
      </c>
      <c r="T319">
        <v>3.6608312099999998E-10</v>
      </c>
      <c r="U319">
        <v>23.528688861515626</v>
      </c>
      <c r="V319">
        <v>100.934</v>
      </c>
      <c r="W319">
        <v>-238.55371223229903</v>
      </c>
      <c r="X319">
        <v>62.826931899999998</v>
      </c>
      <c r="Y319">
        <v>92.102784799999995</v>
      </c>
      <c r="Z319">
        <v>144.29</v>
      </c>
      <c r="AA319">
        <v>235.890444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1.2683974383415819</v>
      </c>
    </row>
    <row r="320" spans="1:41" x14ac:dyDescent="0.3">
      <c r="A320">
        <v>917.81252361299812</v>
      </c>
      <c r="B320">
        <v>35</v>
      </c>
      <c r="C320">
        <v>19</v>
      </c>
      <c r="D320">
        <v>15</v>
      </c>
      <c r="E320">
        <v>29</v>
      </c>
      <c r="F320">
        <v>14</v>
      </c>
      <c r="G320">
        <v>1.2</v>
      </c>
      <c r="H320">
        <v>29</v>
      </c>
      <c r="I320">
        <v>14</v>
      </c>
      <c r="J320">
        <v>1.4</v>
      </c>
      <c r="K320">
        <v>507741451.84564573</v>
      </c>
      <c r="L320">
        <v>54426300</v>
      </c>
      <c r="M320">
        <v>79694434.357279688</v>
      </c>
      <c r="N320">
        <v>71787600</v>
      </c>
      <c r="O320">
        <v>15896737.039999999</v>
      </c>
      <c r="P320">
        <v>210.38878399999999</v>
      </c>
      <c r="Q320">
        <v>1.2740422252291139</v>
      </c>
      <c r="R320">
        <v>43.902509299999998</v>
      </c>
      <c r="S320">
        <v>782.85593099999994</v>
      </c>
      <c r="T320">
        <v>1.8325333900000001E-10</v>
      </c>
      <c r="U320">
        <v>24.525610085614531</v>
      </c>
      <c r="V320">
        <v>100.934</v>
      </c>
      <c r="W320">
        <v>-235.66765093248736</v>
      </c>
      <c r="X320">
        <v>62.904127600000002</v>
      </c>
      <c r="Y320">
        <v>92.249945400000001</v>
      </c>
      <c r="Z320">
        <v>180.98100000000002</v>
      </c>
      <c r="AA320">
        <v>246.20272399999999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1.2740422252291139</v>
      </c>
    </row>
    <row r="321" spans="1:41" x14ac:dyDescent="0.3">
      <c r="A321">
        <v>910</v>
      </c>
      <c r="B321">
        <v>27</v>
      </c>
      <c r="C321">
        <v>19</v>
      </c>
      <c r="D321">
        <v>1</v>
      </c>
      <c r="E321">
        <v>29</v>
      </c>
      <c r="F321">
        <v>5</v>
      </c>
      <c r="G321">
        <v>0.3</v>
      </c>
      <c r="H321">
        <v>29</v>
      </c>
      <c r="I321">
        <v>14</v>
      </c>
      <c r="J321">
        <v>0.3</v>
      </c>
      <c r="K321">
        <v>507785243.71378654</v>
      </c>
      <c r="L321">
        <v>54426300</v>
      </c>
      <c r="M321">
        <v>79694449.483311549</v>
      </c>
      <c r="N321">
        <v>71787600</v>
      </c>
      <c r="O321">
        <v>15889682.559999999</v>
      </c>
      <c r="P321">
        <v>205.635074</v>
      </c>
      <c r="Q321">
        <v>1.3036391003252044</v>
      </c>
      <c r="R321">
        <v>43.668252199999998</v>
      </c>
      <c r="S321">
        <v>781.58525700000007</v>
      </c>
      <c r="T321">
        <v>5.4890464399999996E-9</v>
      </c>
      <c r="U321">
        <v>22.480230978625627</v>
      </c>
      <c r="V321">
        <v>68.709999999999994</v>
      </c>
      <c r="W321">
        <v>-169.10777098420388</v>
      </c>
      <c r="X321">
        <v>64.437147499999995</v>
      </c>
      <c r="Y321">
        <v>95.196313200000006</v>
      </c>
      <c r="Z321">
        <v>177.97</v>
      </c>
      <c r="AA321">
        <v>233.21210300000001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1.3036391003252044</v>
      </c>
    </row>
    <row r="322" spans="1:41" x14ac:dyDescent="0.3">
      <c r="A322">
        <v>910</v>
      </c>
      <c r="B322">
        <v>27</v>
      </c>
      <c r="C322">
        <v>10</v>
      </c>
      <c r="D322">
        <v>15</v>
      </c>
      <c r="E322">
        <v>21</v>
      </c>
      <c r="F322">
        <v>5</v>
      </c>
      <c r="G322">
        <v>1.2</v>
      </c>
      <c r="H322">
        <v>18</v>
      </c>
      <c r="I322">
        <v>7</v>
      </c>
      <c r="J322">
        <v>1.4</v>
      </c>
      <c r="K322">
        <v>507490592.23046541</v>
      </c>
      <c r="L322">
        <v>54426300</v>
      </c>
      <c r="M322">
        <v>79694447.612973303</v>
      </c>
      <c r="N322">
        <v>71787600</v>
      </c>
      <c r="O322">
        <v>15896409.92</v>
      </c>
      <c r="P322">
        <v>209.88943</v>
      </c>
      <c r="Q322">
        <v>1.2762619689592658</v>
      </c>
      <c r="R322">
        <v>43.883436699999997</v>
      </c>
      <c r="S322">
        <v>782.87143200000003</v>
      </c>
      <c r="T322">
        <v>1.96960963E-10</v>
      </c>
      <c r="U322">
        <v>24.343812433005933</v>
      </c>
      <c r="V322">
        <v>100.934</v>
      </c>
      <c r="W322">
        <v>-235.70443975592568</v>
      </c>
      <c r="X322">
        <v>62.908884999999998</v>
      </c>
      <c r="Y322">
        <v>92.471269199999995</v>
      </c>
      <c r="Z322">
        <v>180.98100000000002</v>
      </c>
      <c r="AA322">
        <v>244.17952500000001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1.2762619689592658</v>
      </c>
    </row>
    <row r="323" spans="1:41" x14ac:dyDescent="0.3">
      <c r="A323">
        <v>911.72646677832017</v>
      </c>
      <c r="B323">
        <v>27</v>
      </c>
      <c r="C323">
        <v>19</v>
      </c>
      <c r="D323">
        <v>15</v>
      </c>
      <c r="E323">
        <v>29</v>
      </c>
      <c r="F323">
        <v>5</v>
      </c>
      <c r="G323">
        <v>1.2</v>
      </c>
      <c r="H323">
        <v>16</v>
      </c>
      <c r="I323">
        <v>14</v>
      </c>
      <c r="J323">
        <v>1.4</v>
      </c>
      <c r="K323">
        <v>507520178.02810073</v>
      </c>
      <c r="L323">
        <v>54426300</v>
      </c>
      <c r="M323">
        <v>79694444.595039546</v>
      </c>
      <c r="N323">
        <v>71787600</v>
      </c>
      <c r="O323">
        <v>15895499.76</v>
      </c>
      <c r="P323">
        <v>209.944377</v>
      </c>
      <c r="Q323">
        <v>1.2760236091764843</v>
      </c>
      <c r="R323">
        <v>43.901839199999998</v>
      </c>
      <c r="S323">
        <v>782.82439499999998</v>
      </c>
      <c r="T323">
        <v>1.8489048399999999E-10</v>
      </c>
      <c r="U323">
        <v>24.512973839612577</v>
      </c>
      <c r="V323">
        <v>91.850000000000009</v>
      </c>
      <c r="W323">
        <v>-236.3066011120284</v>
      </c>
      <c r="X323">
        <v>62.915500899999998</v>
      </c>
      <c r="Y323">
        <v>92.500468799999993</v>
      </c>
      <c r="Z323">
        <v>180.98100000000002</v>
      </c>
      <c r="AA323">
        <v>248.412068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1.2760236091764843</v>
      </c>
    </row>
    <row r="324" spans="1:41" x14ac:dyDescent="0.3">
      <c r="A324">
        <v>960</v>
      </c>
      <c r="B324">
        <v>27</v>
      </c>
      <c r="C324">
        <v>19</v>
      </c>
      <c r="D324">
        <v>15</v>
      </c>
      <c r="E324">
        <v>29</v>
      </c>
      <c r="F324">
        <v>5</v>
      </c>
      <c r="G324">
        <v>0.3</v>
      </c>
      <c r="H324">
        <v>29</v>
      </c>
      <c r="I324">
        <v>7</v>
      </c>
      <c r="J324">
        <v>0.3</v>
      </c>
      <c r="K324">
        <v>503961056.83217454</v>
      </c>
      <c r="L324">
        <v>54426300</v>
      </c>
      <c r="M324">
        <v>79694510.918293819</v>
      </c>
      <c r="N324">
        <v>71787600</v>
      </c>
      <c r="O324">
        <v>16385003.039999999</v>
      </c>
      <c r="P324">
        <v>206.089225</v>
      </c>
      <c r="Q324">
        <v>1.2881695004019802</v>
      </c>
      <c r="R324">
        <v>43.7130869</v>
      </c>
      <c r="S324">
        <v>782.06508299999996</v>
      </c>
      <c r="T324">
        <v>3.9723332500000003E-9</v>
      </c>
      <c r="U324">
        <v>22.594304890364452</v>
      </c>
      <c r="V324">
        <v>91.850000000000009</v>
      </c>
      <c r="W324">
        <v>-236.52040247221873</v>
      </c>
      <c r="X324">
        <v>62.897682500000002</v>
      </c>
      <c r="Y324">
        <v>92.476320099999995</v>
      </c>
      <c r="Z324">
        <v>177.97</v>
      </c>
      <c r="AA324">
        <v>235.73874599999999</v>
      </c>
      <c r="AB324">
        <v>100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101.28816950040198</v>
      </c>
    </row>
    <row r="325" spans="1:41" x14ac:dyDescent="0.3">
      <c r="A325">
        <v>932.18961895253983</v>
      </c>
      <c r="B325">
        <v>39</v>
      </c>
      <c r="C325">
        <v>10</v>
      </c>
      <c r="D325">
        <v>15</v>
      </c>
      <c r="E325">
        <v>16</v>
      </c>
      <c r="F325">
        <v>14</v>
      </c>
      <c r="G325">
        <v>0.3</v>
      </c>
      <c r="H325">
        <v>29</v>
      </c>
      <c r="I325">
        <v>14</v>
      </c>
      <c r="J325">
        <v>0.3</v>
      </c>
      <c r="K325">
        <v>508681854.79996765</v>
      </c>
      <c r="L325">
        <v>54426300</v>
      </c>
      <c r="M325">
        <v>79694414.39844501</v>
      </c>
      <c r="N325">
        <v>71787600</v>
      </c>
      <c r="O325">
        <v>15891456.560000001</v>
      </c>
      <c r="P325">
        <v>215.30027100000001</v>
      </c>
      <c r="Q325">
        <v>1.2479435843088058</v>
      </c>
      <c r="R325">
        <v>43.408648499999998</v>
      </c>
      <c r="S325">
        <v>783.20646199999999</v>
      </c>
      <c r="T325">
        <v>2.4333511700000002E-15</v>
      </c>
      <c r="U325">
        <v>22.457660258940027</v>
      </c>
      <c r="V325">
        <v>100.934</v>
      </c>
      <c r="W325">
        <v>-237.95544957766404</v>
      </c>
      <c r="X325">
        <v>62.890839200000002</v>
      </c>
      <c r="Y325">
        <v>92.139698499999994</v>
      </c>
      <c r="Z325">
        <v>100.934</v>
      </c>
      <c r="AA325">
        <v>228.12937199999999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1.2479435843088058</v>
      </c>
    </row>
    <row r="326" spans="1:41" x14ac:dyDescent="0.3">
      <c r="A326">
        <v>910</v>
      </c>
      <c r="B326">
        <v>33</v>
      </c>
      <c r="C326">
        <v>10</v>
      </c>
      <c r="D326">
        <v>6.6922112824435382</v>
      </c>
      <c r="E326">
        <v>29</v>
      </c>
      <c r="F326">
        <v>5</v>
      </c>
      <c r="G326">
        <v>0.3</v>
      </c>
      <c r="H326">
        <v>29</v>
      </c>
      <c r="I326">
        <v>14</v>
      </c>
      <c r="J326">
        <v>1.4</v>
      </c>
      <c r="K326">
        <v>507706007.60876399</v>
      </c>
      <c r="L326">
        <v>54426300</v>
      </c>
      <c r="M326">
        <v>79694445.519731164</v>
      </c>
      <c r="N326">
        <v>71787600</v>
      </c>
      <c r="O326">
        <v>15891664.16</v>
      </c>
      <c r="P326">
        <v>211.624075</v>
      </c>
      <c r="Q326">
        <v>1.2664916930117627</v>
      </c>
      <c r="R326">
        <v>43.716412900000002</v>
      </c>
      <c r="S326">
        <v>781.82296199999996</v>
      </c>
      <c r="T326">
        <v>4.0261946300000003E-9</v>
      </c>
      <c r="U326">
        <v>22.538746383240507</v>
      </c>
      <c r="V326">
        <v>100.934</v>
      </c>
      <c r="W326">
        <v>-237.29259043449156</v>
      </c>
      <c r="X326">
        <v>62.921014399999997</v>
      </c>
      <c r="Y326">
        <v>92.476492800000003</v>
      </c>
      <c r="Z326">
        <v>177.97</v>
      </c>
      <c r="AA326">
        <v>233.196459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1.2664916930117627</v>
      </c>
    </row>
    <row r="327" spans="1:41" x14ac:dyDescent="0.3">
      <c r="A327">
        <v>910</v>
      </c>
      <c r="B327">
        <v>31</v>
      </c>
      <c r="C327">
        <v>19</v>
      </c>
      <c r="D327">
        <v>15</v>
      </c>
      <c r="E327">
        <v>29</v>
      </c>
      <c r="F327">
        <v>14</v>
      </c>
      <c r="G327">
        <v>0.3</v>
      </c>
      <c r="H327">
        <v>10</v>
      </c>
      <c r="I327">
        <v>7</v>
      </c>
      <c r="J327">
        <v>1.4</v>
      </c>
      <c r="K327">
        <v>507692827.19560289</v>
      </c>
      <c r="L327">
        <v>54426300</v>
      </c>
      <c r="M327">
        <v>79694445.715722233</v>
      </c>
      <c r="N327">
        <v>71787600</v>
      </c>
      <c r="O327">
        <v>15896070.799999999</v>
      </c>
      <c r="P327">
        <v>211.74930800000001</v>
      </c>
      <c r="Q327">
        <v>1.2657004075677667</v>
      </c>
      <c r="R327">
        <v>43.704784500000002</v>
      </c>
      <c r="S327">
        <v>781.51101899999992</v>
      </c>
      <c r="T327">
        <v>1.572742E-16</v>
      </c>
      <c r="U327">
        <v>22.639136566717998</v>
      </c>
      <c r="V327">
        <v>100.934</v>
      </c>
      <c r="W327">
        <v>-239.67133296470826</v>
      </c>
      <c r="X327">
        <v>62.924074099999999</v>
      </c>
      <c r="Y327">
        <v>92.375779199999997</v>
      </c>
      <c r="Z327">
        <v>177.97</v>
      </c>
      <c r="AA327">
        <v>235.25496699999999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1.2657004075677667</v>
      </c>
    </row>
    <row r="328" spans="1:41" x14ac:dyDescent="0.3">
      <c r="A328">
        <v>933.96504884531294</v>
      </c>
      <c r="B328">
        <v>39</v>
      </c>
      <c r="C328">
        <v>19</v>
      </c>
      <c r="D328">
        <v>1</v>
      </c>
      <c r="E328">
        <v>22</v>
      </c>
      <c r="F328">
        <v>5</v>
      </c>
      <c r="G328">
        <v>1.2</v>
      </c>
      <c r="H328">
        <v>18</v>
      </c>
      <c r="I328">
        <v>14</v>
      </c>
      <c r="J328">
        <v>0.3</v>
      </c>
      <c r="K328">
        <v>508369574.19112968</v>
      </c>
      <c r="L328">
        <v>54426300</v>
      </c>
      <c r="M328">
        <v>79694428.418380529</v>
      </c>
      <c r="N328">
        <v>71787600</v>
      </c>
      <c r="O328">
        <v>15888209.76</v>
      </c>
      <c r="P328">
        <v>207.10678200000001</v>
      </c>
      <c r="Q328">
        <v>1.2962907154005547</v>
      </c>
      <c r="R328">
        <v>43.822082299999998</v>
      </c>
      <c r="S328">
        <v>783.67533500000002</v>
      </c>
      <c r="T328">
        <v>1.6951610300000001E-10</v>
      </c>
      <c r="U328">
        <v>24.429431669700012</v>
      </c>
      <c r="V328">
        <v>80.72</v>
      </c>
      <c r="W328">
        <v>-143.4630053350628</v>
      </c>
      <c r="X328">
        <v>63.026435999999997</v>
      </c>
      <c r="Y328">
        <v>94.867761200000004</v>
      </c>
      <c r="Z328">
        <v>180.98100000000002</v>
      </c>
      <c r="AA328">
        <v>240.249144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1.2962907154005547</v>
      </c>
    </row>
    <row r="329" spans="1:41" x14ac:dyDescent="0.3">
      <c r="A329">
        <v>933.7486402162001</v>
      </c>
      <c r="B329">
        <v>27</v>
      </c>
      <c r="C329">
        <v>10</v>
      </c>
      <c r="D329">
        <v>1</v>
      </c>
      <c r="E329">
        <v>21</v>
      </c>
      <c r="F329">
        <v>5</v>
      </c>
      <c r="G329">
        <v>0.3</v>
      </c>
      <c r="H329">
        <v>29</v>
      </c>
      <c r="I329">
        <v>14</v>
      </c>
      <c r="J329">
        <v>1.4</v>
      </c>
      <c r="K329">
        <v>508520173.13177121</v>
      </c>
      <c r="L329">
        <v>54426300</v>
      </c>
      <c r="M329">
        <v>79694412.320610985</v>
      </c>
      <c r="N329">
        <v>71787600</v>
      </c>
      <c r="O329">
        <v>15884820.959999999</v>
      </c>
      <c r="P329">
        <v>209.45220599999999</v>
      </c>
      <c r="Q329">
        <v>1.2822630928296357</v>
      </c>
      <c r="R329">
        <v>43.652977499999999</v>
      </c>
      <c r="S329">
        <v>782.25130200000001</v>
      </c>
      <c r="T329">
        <v>3.4673741999999999E-9</v>
      </c>
      <c r="U329">
        <v>22.51077456469568</v>
      </c>
      <c r="V329">
        <v>80.72</v>
      </c>
      <c r="W329">
        <v>-149.1112945151549</v>
      </c>
      <c r="X329">
        <v>63.135078800000002</v>
      </c>
      <c r="Y329">
        <v>95.026464399999995</v>
      </c>
      <c r="Z329">
        <v>177.97</v>
      </c>
      <c r="AA329">
        <v>230.83645100000001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1.2822630928296357</v>
      </c>
    </row>
    <row r="330" spans="1:41" x14ac:dyDescent="0.3">
      <c r="A330">
        <v>919.70622434726181</v>
      </c>
      <c r="B330">
        <v>27</v>
      </c>
      <c r="C330">
        <v>10</v>
      </c>
      <c r="D330">
        <v>15</v>
      </c>
      <c r="E330">
        <v>29</v>
      </c>
      <c r="F330">
        <v>5</v>
      </c>
      <c r="G330">
        <v>1.2</v>
      </c>
      <c r="H330">
        <v>10</v>
      </c>
      <c r="I330">
        <v>7</v>
      </c>
      <c r="J330">
        <v>1.4</v>
      </c>
      <c r="K330">
        <v>507832367.34656107</v>
      </c>
      <c r="L330">
        <v>54426300</v>
      </c>
      <c r="M330">
        <v>79694436.828944832</v>
      </c>
      <c r="N330">
        <v>71787600</v>
      </c>
      <c r="O330">
        <v>15899897.68</v>
      </c>
      <c r="P330">
        <v>210.15931900000001</v>
      </c>
      <c r="Q330">
        <v>1.2757269782750791</v>
      </c>
      <c r="R330">
        <v>43.899654699999999</v>
      </c>
      <c r="S330">
        <v>782.98629500000004</v>
      </c>
      <c r="T330">
        <v>1.8365049399999999E-10</v>
      </c>
      <c r="U330">
        <v>24.56636284193219</v>
      </c>
      <c r="V330">
        <v>100.934</v>
      </c>
      <c r="W330">
        <v>-234.77869230715621</v>
      </c>
      <c r="X330">
        <v>62.867621399999997</v>
      </c>
      <c r="Y330">
        <v>92.451033300000006</v>
      </c>
      <c r="Z330">
        <v>180.98100000000002</v>
      </c>
      <c r="AA330">
        <v>246.95447100000001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1.2757269782750791</v>
      </c>
    </row>
    <row r="331" spans="1:41" x14ac:dyDescent="0.3">
      <c r="A331">
        <v>910</v>
      </c>
      <c r="B331">
        <v>39</v>
      </c>
      <c r="C331">
        <v>10</v>
      </c>
      <c r="D331">
        <v>1</v>
      </c>
      <c r="E331">
        <v>18</v>
      </c>
      <c r="F331">
        <v>5</v>
      </c>
      <c r="G331">
        <v>1.2</v>
      </c>
      <c r="H331">
        <v>29</v>
      </c>
      <c r="I331">
        <v>7</v>
      </c>
      <c r="J331">
        <v>1.4</v>
      </c>
      <c r="K331">
        <v>507532156.62669599</v>
      </c>
      <c r="L331">
        <v>54426300</v>
      </c>
      <c r="M331">
        <v>79694446.937482074</v>
      </c>
      <c r="N331">
        <v>71787600</v>
      </c>
      <c r="O331">
        <v>15888992.48</v>
      </c>
      <c r="P331">
        <v>207.24344300000001</v>
      </c>
      <c r="Q331">
        <v>1.2926928327420155</v>
      </c>
      <c r="R331">
        <v>43.812378500000001</v>
      </c>
      <c r="S331">
        <v>783.40889300000003</v>
      </c>
      <c r="T331">
        <v>1.8691780299999999E-10</v>
      </c>
      <c r="U331">
        <v>24.012239080503907</v>
      </c>
      <c r="V331">
        <v>80.72</v>
      </c>
      <c r="W331">
        <v>-136.22294278687281</v>
      </c>
      <c r="X331">
        <v>64.259096400000004</v>
      </c>
      <c r="Y331">
        <v>94.972469500000003</v>
      </c>
      <c r="Z331">
        <v>177.97</v>
      </c>
      <c r="AA331">
        <v>240.419107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1.2926928327420155</v>
      </c>
    </row>
    <row r="332" spans="1:41" x14ac:dyDescent="0.3">
      <c r="A332">
        <v>910</v>
      </c>
      <c r="B332">
        <v>27</v>
      </c>
      <c r="C332">
        <v>10</v>
      </c>
      <c r="D332">
        <v>1</v>
      </c>
      <c r="E332">
        <v>29</v>
      </c>
      <c r="F332">
        <v>5</v>
      </c>
      <c r="G332">
        <v>0.3</v>
      </c>
      <c r="H332">
        <v>10</v>
      </c>
      <c r="I332">
        <v>7</v>
      </c>
      <c r="J332">
        <v>0.3</v>
      </c>
      <c r="K332">
        <v>507774910.4584825</v>
      </c>
      <c r="L332">
        <v>54426300</v>
      </c>
      <c r="M332">
        <v>79694461.157517478</v>
      </c>
      <c r="N332">
        <v>71787600</v>
      </c>
      <c r="O332">
        <v>15892927.040000001</v>
      </c>
      <c r="P332">
        <v>207.33075099999999</v>
      </c>
      <c r="Q332">
        <v>1.2929433129838046</v>
      </c>
      <c r="R332">
        <v>43.6656671</v>
      </c>
      <c r="S332">
        <v>782.20115199999998</v>
      </c>
      <c r="T332">
        <v>3.4046607799999999E-9</v>
      </c>
      <c r="U332">
        <v>22.360126881693233</v>
      </c>
      <c r="V332">
        <v>80.72</v>
      </c>
      <c r="W332">
        <v>-147.29871872663603</v>
      </c>
      <c r="X332">
        <v>63.0980536</v>
      </c>
      <c r="Y332">
        <v>95.004441799999995</v>
      </c>
      <c r="Z332">
        <v>177.97</v>
      </c>
      <c r="AA332">
        <v>236.377904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1.2929433129838046</v>
      </c>
    </row>
    <row r="333" spans="1:41" x14ac:dyDescent="0.3">
      <c r="A333">
        <v>945.24638087778715</v>
      </c>
      <c r="B333">
        <v>39</v>
      </c>
      <c r="C333">
        <v>19</v>
      </c>
      <c r="D333">
        <v>15</v>
      </c>
      <c r="E333">
        <v>21</v>
      </c>
      <c r="F333">
        <v>14</v>
      </c>
      <c r="G333">
        <v>0.3</v>
      </c>
      <c r="H333">
        <v>29</v>
      </c>
      <c r="I333">
        <v>14</v>
      </c>
      <c r="J333">
        <v>1.4</v>
      </c>
      <c r="K333">
        <v>508977158.35090744</v>
      </c>
      <c r="L333">
        <v>54426300</v>
      </c>
      <c r="M333">
        <v>79694392.909277558</v>
      </c>
      <c r="N333">
        <v>71787600</v>
      </c>
      <c r="O333">
        <v>15898134.16</v>
      </c>
      <c r="P333">
        <v>214.44946999999999</v>
      </c>
      <c r="Q333">
        <v>1.2538294462698831</v>
      </c>
      <c r="R333">
        <v>43.638333699999997</v>
      </c>
      <c r="S333">
        <v>781.71356500000002</v>
      </c>
      <c r="T333">
        <v>2.7507109E-16</v>
      </c>
      <c r="U333">
        <v>22.724764978715005</v>
      </c>
      <c r="V333">
        <v>100.934</v>
      </c>
      <c r="W333">
        <v>-241.85876700492037</v>
      </c>
      <c r="X333">
        <v>62.868006299999998</v>
      </c>
      <c r="Y333">
        <v>92.121453099999997</v>
      </c>
      <c r="Z333">
        <v>144.29</v>
      </c>
      <c r="AA333">
        <v>230.92513099999999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1.2538294462698831</v>
      </c>
    </row>
    <row r="334" spans="1:41" x14ac:dyDescent="0.3">
      <c r="A334">
        <v>910</v>
      </c>
      <c r="B334">
        <v>27</v>
      </c>
      <c r="C334">
        <v>10</v>
      </c>
      <c r="D334">
        <v>1</v>
      </c>
      <c r="E334">
        <v>10</v>
      </c>
      <c r="F334">
        <v>5</v>
      </c>
      <c r="G334">
        <v>0.3</v>
      </c>
      <c r="H334">
        <v>21</v>
      </c>
      <c r="I334">
        <v>7</v>
      </c>
      <c r="J334">
        <v>1.4</v>
      </c>
      <c r="K334">
        <v>507838237.85285336</v>
      </c>
      <c r="L334">
        <v>54426300</v>
      </c>
      <c r="M334">
        <v>79694445.136377573</v>
      </c>
      <c r="N334">
        <v>71787600</v>
      </c>
      <c r="O334">
        <v>15888637.6</v>
      </c>
      <c r="P334">
        <v>208.63914800000001</v>
      </c>
      <c r="Q334">
        <v>1.2850411860744999</v>
      </c>
      <c r="R334">
        <v>43.543648599999997</v>
      </c>
      <c r="S334">
        <v>782.577046</v>
      </c>
      <c r="T334">
        <v>4.7298821399999998E-9</v>
      </c>
      <c r="U334">
        <v>22.621145886914853</v>
      </c>
      <c r="V334">
        <v>80.72</v>
      </c>
      <c r="W334">
        <v>-151.05499767384768</v>
      </c>
      <c r="X334">
        <v>64.305248899999995</v>
      </c>
      <c r="Y334">
        <v>95.045493100000002</v>
      </c>
      <c r="Z334">
        <v>144.29</v>
      </c>
      <c r="AA334">
        <v>229.26046400000001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1.2850411860744999</v>
      </c>
    </row>
    <row r="335" spans="1:41" x14ac:dyDescent="0.3">
      <c r="A335">
        <v>918.6782424689834</v>
      </c>
      <c r="B335">
        <v>39</v>
      </c>
      <c r="C335">
        <v>10</v>
      </c>
      <c r="D335">
        <v>15</v>
      </c>
      <c r="E335">
        <v>22</v>
      </c>
      <c r="F335">
        <v>14</v>
      </c>
      <c r="G335">
        <v>0.3</v>
      </c>
      <c r="H335">
        <v>29</v>
      </c>
      <c r="I335">
        <v>14</v>
      </c>
      <c r="J335">
        <v>0.3</v>
      </c>
      <c r="K335">
        <v>508037488.25515711</v>
      </c>
      <c r="L335">
        <v>54426300</v>
      </c>
      <c r="M335">
        <v>79694439.173852637</v>
      </c>
      <c r="N335">
        <v>71787600</v>
      </c>
      <c r="O335">
        <v>15899814.399999999</v>
      </c>
      <c r="P335">
        <v>211.76062099999999</v>
      </c>
      <c r="Q335">
        <v>1.2667376922925455</v>
      </c>
      <c r="R335">
        <v>43.703787800000001</v>
      </c>
      <c r="S335">
        <v>782.11048600000004</v>
      </c>
      <c r="T335">
        <v>4.1279915999999996E-9</v>
      </c>
      <c r="U335">
        <v>22.752678032271984</v>
      </c>
      <c r="V335">
        <v>100.934</v>
      </c>
      <c r="W335">
        <v>-238.42090546889233</v>
      </c>
      <c r="X335">
        <v>62.857740999999997</v>
      </c>
      <c r="Y335">
        <v>92.117738700000004</v>
      </c>
      <c r="Z335">
        <v>177.97</v>
      </c>
      <c r="AA335">
        <v>235.75801000000001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1.2667376922925455</v>
      </c>
    </row>
    <row r="336" spans="1:41" x14ac:dyDescent="0.3">
      <c r="A336">
        <v>940.09389411839288</v>
      </c>
      <c r="B336">
        <v>39</v>
      </c>
      <c r="C336">
        <v>10</v>
      </c>
      <c r="D336">
        <v>1</v>
      </c>
      <c r="E336">
        <v>29</v>
      </c>
      <c r="F336">
        <v>14</v>
      </c>
      <c r="G336">
        <v>0.3</v>
      </c>
      <c r="H336">
        <v>29</v>
      </c>
      <c r="I336">
        <v>14</v>
      </c>
      <c r="J336">
        <v>0.3</v>
      </c>
      <c r="K336">
        <v>508739224.751405</v>
      </c>
      <c r="L336">
        <v>54426300</v>
      </c>
      <c r="M336">
        <v>79694408.591233775</v>
      </c>
      <c r="N336">
        <v>71787600</v>
      </c>
      <c r="O336">
        <v>15889581.039999999</v>
      </c>
      <c r="P336">
        <v>210.32429500000001</v>
      </c>
      <c r="Q336">
        <v>1.2776533390014275</v>
      </c>
      <c r="R336">
        <v>43.645837299999997</v>
      </c>
      <c r="S336">
        <v>782.33430800000008</v>
      </c>
      <c r="T336">
        <v>1.04805279E-16</v>
      </c>
      <c r="U336">
        <v>22.555823096598001</v>
      </c>
      <c r="V336">
        <v>80.72</v>
      </c>
      <c r="W336">
        <v>-139.53976909608534</v>
      </c>
      <c r="X336">
        <v>63.085186800000002</v>
      </c>
      <c r="Y336">
        <v>94.924575899999994</v>
      </c>
      <c r="Z336">
        <v>177.97</v>
      </c>
      <c r="AA336">
        <v>235.67237800000001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1.2776533390014275</v>
      </c>
    </row>
    <row r="337" spans="1:41" x14ac:dyDescent="0.3">
      <c r="A337">
        <v>918.52967455944793</v>
      </c>
      <c r="B337">
        <v>27</v>
      </c>
      <c r="C337">
        <v>19</v>
      </c>
      <c r="D337">
        <v>15</v>
      </c>
      <c r="E337">
        <v>10</v>
      </c>
      <c r="F337">
        <v>5</v>
      </c>
      <c r="G337">
        <v>1.2</v>
      </c>
      <c r="H337">
        <v>22</v>
      </c>
      <c r="I337">
        <v>7</v>
      </c>
      <c r="J337">
        <v>0.3</v>
      </c>
      <c r="K337">
        <v>507980411.80932575</v>
      </c>
      <c r="L337">
        <v>54426300</v>
      </c>
      <c r="M337">
        <v>79694442.956028298</v>
      </c>
      <c r="N337">
        <v>71787600</v>
      </c>
      <c r="O337">
        <v>15900612.08</v>
      </c>
      <c r="P337">
        <v>210.83003199999999</v>
      </c>
      <c r="Q337">
        <v>1.2721452023793598</v>
      </c>
      <c r="R337">
        <v>43.7475442</v>
      </c>
      <c r="S337">
        <v>782.80763300000001</v>
      </c>
      <c r="T337">
        <v>3.6791582E-10</v>
      </c>
      <c r="U337">
        <v>23.530813379180373</v>
      </c>
      <c r="V337">
        <v>91.850000000000009</v>
      </c>
      <c r="W337">
        <v>-239.33069499930698</v>
      </c>
      <c r="X337">
        <v>62.834177799999999</v>
      </c>
      <c r="Y337">
        <v>92.457770999999994</v>
      </c>
      <c r="Z337">
        <v>144.29</v>
      </c>
      <c r="AA337">
        <v>235.02004500000001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1.2721452023793598</v>
      </c>
    </row>
    <row r="338" spans="1:41" x14ac:dyDescent="0.3">
      <c r="A338">
        <v>927.55509770191588</v>
      </c>
      <c r="B338">
        <v>39</v>
      </c>
      <c r="C338">
        <v>10</v>
      </c>
      <c r="D338">
        <v>3.4168086705685101</v>
      </c>
      <c r="E338">
        <v>29</v>
      </c>
      <c r="F338">
        <v>14</v>
      </c>
      <c r="G338">
        <v>1.1675244550146575</v>
      </c>
      <c r="H338">
        <v>16</v>
      </c>
      <c r="I338">
        <v>14</v>
      </c>
      <c r="J338">
        <v>0.49401778929565776</v>
      </c>
      <c r="K338">
        <v>508127400.00600147</v>
      </c>
      <c r="L338">
        <v>54426300</v>
      </c>
      <c r="M338">
        <v>79694456.40401502</v>
      </c>
      <c r="N338">
        <v>71787600</v>
      </c>
      <c r="O338">
        <v>15892035.040000001</v>
      </c>
      <c r="P338">
        <v>208.85381100000001</v>
      </c>
      <c r="Q338">
        <v>1.284660290047132</v>
      </c>
      <c r="R338">
        <v>43.887396299999999</v>
      </c>
      <c r="S338">
        <v>783.54734000000008</v>
      </c>
      <c r="T338">
        <v>1.94888636E-10</v>
      </c>
      <c r="U338">
        <v>24.727068962582983</v>
      </c>
      <c r="V338">
        <v>100.934</v>
      </c>
      <c r="W338">
        <v>-228.62431459262669</v>
      </c>
      <c r="X338">
        <v>62.701872100000003</v>
      </c>
      <c r="Y338">
        <v>92.596669199999994</v>
      </c>
      <c r="Z338">
        <v>180.98100000000002</v>
      </c>
      <c r="AA338">
        <v>256.72420699999998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1.284660290047132</v>
      </c>
    </row>
    <row r="339" spans="1:41" x14ac:dyDescent="0.3">
      <c r="A339">
        <v>910</v>
      </c>
      <c r="B339">
        <v>29</v>
      </c>
      <c r="C339">
        <v>19</v>
      </c>
      <c r="D339">
        <v>15</v>
      </c>
      <c r="E339">
        <v>16</v>
      </c>
      <c r="F339">
        <v>14</v>
      </c>
      <c r="G339">
        <v>1.2</v>
      </c>
      <c r="H339">
        <v>29</v>
      </c>
      <c r="I339">
        <v>14</v>
      </c>
      <c r="J339">
        <v>0.3</v>
      </c>
      <c r="K339">
        <v>507697120.68070185</v>
      </c>
      <c r="L339">
        <v>54426300</v>
      </c>
      <c r="M339">
        <v>79694451.285648689</v>
      </c>
      <c r="N339">
        <v>71787600</v>
      </c>
      <c r="O339">
        <v>15897349.359999999</v>
      </c>
      <c r="P339">
        <v>210.57581200000001</v>
      </c>
      <c r="Q339">
        <v>1.272767738832939</v>
      </c>
      <c r="R339">
        <v>43.704131400000001</v>
      </c>
      <c r="S339">
        <v>784.40599799999995</v>
      </c>
      <c r="T339">
        <v>7.49702882E-14</v>
      </c>
      <c r="U339">
        <v>23.55308636129169</v>
      </c>
      <c r="V339">
        <v>100.934</v>
      </c>
      <c r="W339">
        <v>-239.54669989655076</v>
      </c>
      <c r="X339">
        <v>62.8795103</v>
      </c>
      <c r="Y339">
        <v>92.413350199999996</v>
      </c>
      <c r="Z339">
        <v>121.52199999999999</v>
      </c>
      <c r="AA339">
        <v>236.15319199999999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1.272767738832939</v>
      </c>
    </row>
    <row r="340" spans="1:41" x14ac:dyDescent="0.3">
      <c r="A340">
        <v>910</v>
      </c>
      <c r="B340">
        <v>31</v>
      </c>
      <c r="C340">
        <v>10</v>
      </c>
      <c r="D340">
        <v>7.581739224847527</v>
      </c>
      <c r="E340">
        <v>10</v>
      </c>
      <c r="F340">
        <v>5</v>
      </c>
      <c r="G340">
        <v>0.3</v>
      </c>
      <c r="H340">
        <v>20</v>
      </c>
      <c r="I340">
        <v>14</v>
      </c>
      <c r="J340">
        <v>1.4</v>
      </c>
      <c r="K340">
        <v>507812674.73398072</v>
      </c>
      <c r="L340">
        <v>54426300</v>
      </c>
      <c r="M340">
        <v>79694445.20088616</v>
      </c>
      <c r="N340">
        <v>71787600</v>
      </c>
      <c r="O340">
        <v>15892097.439999999</v>
      </c>
      <c r="P340">
        <v>212.34250399999999</v>
      </c>
      <c r="Q340">
        <v>1.2625477212667284</v>
      </c>
      <c r="R340">
        <v>43.5878382</v>
      </c>
      <c r="S340">
        <v>782.28441899999996</v>
      </c>
      <c r="T340">
        <v>5.5782272599999999E-9</v>
      </c>
      <c r="U340">
        <v>22.779864554525755</v>
      </c>
      <c r="V340">
        <v>100.934</v>
      </c>
      <c r="W340">
        <v>-241.38938080317703</v>
      </c>
      <c r="X340">
        <v>62.922886300000002</v>
      </c>
      <c r="Y340">
        <v>92.486280399999998</v>
      </c>
      <c r="Z340">
        <v>144.29</v>
      </c>
      <c r="AA340">
        <v>229.93994900000001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1.2625477212667284</v>
      </c>
    </row>
    <row r="341" spans="1:41" x14ac:dyDescent="0.3">
      <c r="A341">
        <v>919.45334274899835</v>
      </c>
      <c r="B341">
        <v>39</v>
      </c>
      <c r="C341">
        <v>19</v>
      </c>
      <c r="D341">
        <v>15</v>
      </c>
      <c r="E341">
        <v>19</v>
      </c>
      <c r="F341">
        <v>5</v>
      </c>
      <c r="G341">
        <v>1.2</v>
      </c>
      <c r="H341">
        <v>24</v>
      </c>
      <c r="I341">
        <v>14</v>
      </c>
      <c r="J341">
        <v>1.4</v>
      </c>
      <c r="K341">
        <v>507835468.89653611</v>
      </c>
      <c r="L341">
        <v>54426300</v>
      </c>
      <c r="M341">
        <v>79694431.621211499</v>
      </c>
      <c r="N341">
        <v>71787600</v>
      </c>
      <c r="O341">
        <v>15898446.16</v>
      </c>
      <c r="P341">
        <v>210.712942</v>
      </c>
      <c r="Q341">
        <v>1.2723851508243387</v>
      </c>
      <c r="R341">
        <v>43.876033900000003</v>
      </c>
      <c r="S341">
        <v>782.83440800000005</v>
      </c>
      <c r="T341">
        <v>2.0443954399999999E-10</v>
      </c>
      <c r="U341">
        <v>24.245504185523377</v>
      </c>
      <c r="V341">
        <v>100.934</v>
      </c>
      <c r="W341">
        <v>-236.471779108204</v>
      </c>
      <c r="X341">
        <v>62.902089699999998</v>
      </c>
      <c r="Y341">
        <v>92.134395799999993</v>
      </c>
      <c r="Z341">
        <v>180.98100000000002</v>
      </c>
      <c r="AA341">
        <v>243.27098599999999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1.2723851508243387</v>
      </c>
    </row>
    <row r="342" spans="1:41" x14ac:dyDescent="0.3">
      <c r="A342">
        <v>910</v>
      </c>
      <c r="B342">
        <v>27</v>
      </c>
      <c r="C342">
        <v>19</v>
      </c>
      <c r="D342">
        <v>4.0667250134692496</v>
      </c>
      <c r="E342">
        <v>10</v>
      </c>
      <c r="F342">
        <v>5</v>
      </c>
      <c r="G342">
        <v>1.2</v>
      </c>
      <c r="H342">
        <v>10</v>
      </c>
      <c r="I342">
        <v>7</v>
      </c>
      <c r="J342">
        <v>0.3</v>
      </c>
      <c r="K342">
        <v>507709535.53334427</v>
      </c>
      <c r="L342">
        <v>54426300</v>
      </c>
      <c r="M342">
        <v>79694468.768093079</v>
      </c>
      <c r="N342">
        <v>71787600</v>
      </c>
      <c r="O342">
        <v>15896213.120000001</v>
      </c>
      <c r="P342">
        <v>209.48795799999999</v>
      </c>
      <c r="Q342">
        <v>1.2794173495092982</v>
      </c>
      <c r="R342">
        <v>43.746571400000001</v>
      </c>
      <c r="S342">
        <v>782.90879099999995</v>
      </c>
      <c r="T342">
        <v>3.8400035200000001E-10</v>
      </c>
      <c r="U342">
        <v>23.585519297410563</v>
      </c>
      <c r="V342">
        <v>80.72</v>
      </c>
      <c r="W342">
        <v>-240.51535052242264</v>
      </c>
      <c r="X342">
        <v>62.7851383</v>
      </c>
      <c r="Y342">
        <v>92.733739400000005</v>
      </c>
      <c r="Z342">
        <v>144.29</v>
      </c>
      <c r="AA342">
        <v>241.06611899999999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1.2794173495092982</v>
      </c>
    </row>
    <row r="343" spans="1:41" x14ac:dyDescent="0.3">
      <c r="A343">
        <v>910</v>
      </c>
      <c r="B343">
        <v>27</v>
      </c>
      <c r="C343">
        <v>19</v>
      </c>
      <c r="D343">
        <v>1</v>
      </c>
      <c r="E343">
        <v>10</v>
      </c>
      <c r="F343">
        <v>5</v>
      </c>
      <c r="G343">
        <v>1.2</v>
      </c>
      <c r="H343">
        <v>29</v>
      </c>
      <c r="I343">
        <v>7</v>
      </c>
      <c r="J343">
        <v>0.3</v>
      </c>
      <c r="K343">
        <v>507726185.1375035</v>
      </c>
      <c r="L343">
        <v>54426300</v>
      </c>
      <c r="M343">
        <v>79694453.264665425</v>
      </c>
      <c r="N343">
        <v>71787600</v>
      </c>
      <c r="O343">
        <v>15890582.24</v>
      </c>
      <c r="P343">
        <v>204.628524</v>
      </c>
      <c r="Q343">
        <v>1.3098556614109411</v>
      </c>
      <c r="R343">
        <v>43.728283099999999</v>
      </c>
      <c r="S343">
        <v>782.422597</v>
      </c>
      <c r="T343">
        <v>2.6435635999999998E-9</v>
      </c>
      <c r="U343">
        <v>23.509827666424354</v>
      </c>
      <c r="V343">
        <v>68.709999999999994</v>
      </c>
      <c r="W343">
        <v>-168.81136035186429</v>
      </c>
      <c r="X343">
        <v>64.407170300000004</v>
      </c>
      <c r="Y343">
        <v>95.180363299999996</v>
      </c>
      <c r="Z343">
        <v>144.29</v>
      </c>
      <c r="AA343">
        <v>234.74393699999999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1.3098556614109411</v>
      </c>
    </row>
    <row r="344" spans="1:41" x14ac:dyDescent="0.3">
      <c r="A344">
        <v>910</v>
      </c>
      <c r="B344">
        <v>39</v>
      </c>
      <c r="C344">
        <v>10</v>
      </c>
      <c r="D344">
        <v>15</v>
      </c>
      <c r="E344">
        <v>16</v>
      </c>
      <c r="F344">
        <v>14</v>
      </c>
      <c r="G344">
        <v>0.3</v>
      </c>
      <c r="H344">
        <v>21</v>
      </c>
      <c r="I344">
        <v>7</v>
      </c>
      <c r="J344">
        <v>0.3</v>
      </c>
      <c r="K344">
        <v>507750632.49048495</v>
      </c>
      <c r="L344">
        <v>54426300</v>
      </c>
      <c r="M344">
        <v>79694453.97138375</v>
      </c>
      <c r="N344">
        <v>71787600</v>
      </c>
      <c r="O344">
        <v>15898011.439999999</v>
      </c>
      <c r="P344">
        <v>211.150229</v>
      </c>
      <c r="Q344">
        <v>1.2694773201424967</v>
      </c>
      <c r="R344">
        <v>43.678006699999997</v>
      </c>
      <c r="S344">
        <v>782.26325799999995</v>
      </c>
      <c r="T344">
        <v>4.3848705299999996E-9</v>
      </c>
      <c r="U344">
        <v>22.907929032706626</v>
      </c>
      <c r="V344">
        <v>100.934</v>
      </c>
      <c r="W344">
        <v>-239.74224317493395</v>
      </c>
      <c r="X344">
        <v>62.860515700000001</v>
      </c>
      <c r="Y344">
        <v>92.117000899999994</v>
      </c>
      <c r="Z344">
        <v>165.7</v>
      </c>
      <c r="AA344">
        <v>235.35180199999999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1.2694773201424967</v>
      </c>
    </row>
    <row r="345" spans="1:41" x14ac:dyDescent="0.3">
      <c r="A345">
        <v>910</v>
      </c>
      <c r="B345">
        <v>32</v>
      </c>
      <c r="C345">
        <v>19</v>
      </c>
      <c r="D345">
        <v>15</v>
      </c>
      <c r="E345">
        <v>19</v>
      </c>
      <c r="F345">
        <v>5</v>
      </c>
      <c r="G345">
        <v>0.3</v>
      </c>
      <c r="H345">
        <v>16</v>
      </c>
      <c r="I345">
        <v>14</v>
      </c>
      <c r="J345">
        <v>0.47886000258851275</v>
      </c>
      <c r="K345">
        <v>507694578.7393806</v>
      </c>
      <c r="L345">
        <v>54426300</v>
      </c>
      <c r="M345">
        <v>79694448.237515062</v>
      </c>
      <c r="N345">
        <v>71787600</v>
      </c>
      <c r="O345">
        <v>15897144.48</v>
      </c>
      <c r="P345">
        <v>211.99389600000001</v>
      </c>
      <c r="Q345">
        <v>1.2642457143306634</v>
      </c>
      <c r="R345">
        <v>43.697984499999997</v>
      </c>
      <c r="S345">
        <v>781.91320799999994</v>
      </c>
      <c r="T345">
        <v>4.1858921599999996E-9</v>
      </c>
      <c r="U345">
        <v>22.744312459867881</v>
      </c>
      <c r="V345">
        <v>100.934</v>
      </c>
      <c r="W345">
        <v>-240.98543417130924</v>
      </c>
      <c r="X345">
        <v>62.953541199999997</v>
      </c>
      <c r="Y345">
        <v>92.362598700000007</v>
      </c>
      <c r="Z345">
        <v>177.97</v>
      </c>
      <c r="AA345">
        <v>238.30569199999999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1.2642457143306634</v>
      </c>
    </row>
    <row r="346" spans="1:41" x14ac:dyDescent="0.3">
      <c r="A346">
        <v>933.6952624052393</v>
      </c>
      <c r="B346">
        <v>27</v>
      </c>
      <c r="C346">
        <v>10</v>
      </c>
      <c r="D346">
        <v>1</v>
      </c>
      <c r="E346">
        <v>10</v>
      </c>
      <c r="F346">
        <v>8</v>
      </c>
      <c r="G346">
        <v>0.3</v>
      </c>
      <c r="H346">
        <v>29</v>
      </c>
      <c r="I346">
        <v>7</v>
      </c>
      <c r="J346">
        <v>0.3</v>
      </c>
      <c r="K346">
        <v>508771761.19909132</v>
      </c>
      <c r="L346">
        <v>54426300</v>
      </c>
      <c r="M346">
        <v>79694413.320494145</v>
      </c>
      <c r="N346">
        <v>71787600</v>
      </c>
      <c r="O346">
        <v>15885110.479999999</v>
      </c>
      <c r="P346">
        <v>211.52590000000001</v>
      </c>
      <c r="Q346">
        <v>1.2704998551670825</v>
      </c>
      <c r="R346">
        <v>43.361647699999999</v>
      </c>
      <c r="S346">
        <v>783.78895999999997</v>
      </c>
      <c r="T346">
        <v>4.8656256499999997E-11</v>
      </c>
      <c r="U346">
        <v>22.359090071286701</v>
      </c>
      <c r="V346">
        <v>80.72</v>
      </c>
      <c r="W346">
        <v>-147.64611417658804</v>
      </c>
      <c r="X346">
        <v>63.125015699999999</v>
      </c>
      <c r="Y346">
        <v>95.020624799999993</v>
      </c>
      <c r="Z346">
        <v>100.934</v>
      </c>
      <c r="AA346">
        <v>226.569277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1.2704998551670825</v>
      </c>
    </row>
    <row r="347" spans="1:41" x14ac:dyDescent="0.3">
      <c r="A347">
        <v>922.09102854873322</v>
      </c>
      <c r="B347">
        <v>39</v>
      </c>
      <c r="C347">
        <v>19</v>
      </c>
      <c r="D347">
        <v>1</v>
      </c>
      <c r="E347">
        <v>18</v>
      </c>
      <c r="F347">
        <v>5</v>
      </c>
      <c r="G347">
        <v>0.3</v>
      </c>
      <c r="H347">
        <v>29</v>
      </c>
      <c r="I347">
        <v>14</v>
      </c>
      <c r="J347">
        <v>1.4</v>
      </c>
      <c r="K347">
        <v>508188775.18774277</v>
      </c>
      <c r="L347">
        <v>54426300</v>
      </c>
      <c r="M347">
        <v>79694426.540851831</v>
      </c>
      <c r="N347">
        <v>71787600</v>
      </c>
      <c r="O347">
        <v>15891757.439999999</v>
      </c>
      <c r="P347">
        <v>209.16903199999999</v>
      </c>
      <c r="Q347">
        <v>1.2829234791950264</v>
      </c>
      <c r="R347">
        <v>43.629372799999999</v>
      </c>
      <c r="S347">
        <v>782.70359199999996</v>
      </c>
      <c r="T347">
        <v>3.63331781E-9</v>
      </c>
      <c r="U347">
        <v>22.874650312088878</v>
      </c>
      <c r="V347">
        <v>80.72</v>
      </c>
      <c r="W347">
        <v>-148.80395011525292</v>
      </c>
      <c r="X347">
        <v>64.2733779</v>
      </c>
      <c r="Y347">
        <v>94.942702400000002</v>
      </c>
      <c r="Z347">
        <v>177.97</v>
      </c>
      <c r="AA347">
        <v>230.86561599999999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1.2829234791950264</v>
      </c>
    </row>
    <row r="348" spans="1:41" x14ac:dyDescent="0.3">
      <c r="A348">
        <v>943.29889538767873</v>
      </c>
      <c r="B348">
        <v>39</v>
      </c>
      <c r="C348">
        <v>19</v>
      </c>
      <c r="D348">
        <v>15</v>
      </c>
      <c r="E348">
        <v>29</v>
      </c>
      <c r="F348">
        <v>14</v>
      </c>
      <c r="G348">
        <v>0.3</v>
      </c>
      <c r="H348">
        <v>10</v>
      </c>
      <c r="I348">
        <v>7</v>
      </c>
      <c r="J348">
        <v>0.3</v>
      </c>
      <c r="K348">
        <v>508887291.11955369</v>
      </c>
      <c r="L348">
        <v>54426300</v>
      </c>
      <c r="M348">
        <v>79694415.620821178</v>
      </c>
      <c r="N348">
        <v>71787600</v>
      </c>
      <c r="O348">
        <v>15902032.560000001</v>
      </c>
      <c r="P348">
        <v>212.959002</v>
      </c>
      <c r="Q348">
        <v>1.262318337651309</v>
      </c>
      <c r="R348">
        <v>43.699674100000003</v>
      </c>
      <c r="S348">
        <v>781.87811799999997</v>
      </c>
      <c r="T348">
        <v>1.6037155599999999E-16</v>
      </c>
      <c r="U348">
        <v>22.754345033082</v>
      </c>
      <c r="V348">
        <v>100.934</v>
      </c>
      <c r="W348">
        <v>-237.93760380599934</v>
      </c>
      <c r="X348">
        <v>62.7758325</v>
      </c>
      <c r="Y348">
        <v>92.067650599999993</v>
      </c>
      <c r="Z348">
        <v>177.97</v>
      </c>
      <c r="AA348">
        <v>238.82701499999999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1.262318337651309</v>
      </c>
    </row>
    <row r="349" spans="1:41" x14ac:dyDescent="0.3">
      <c r="A349">
        <v>930.82169393698041</v>
      </c>
      <c r="B349">
        <v>30</v>
      </c>
      <c r="C349">
        <v>19</v>
      </c>
      <c r="D349">
        <v>15</v>
      </c>
      <c r="E349">
        <v>16</v>
      </c>
      <c r="F349">
        <v>14</v>
      </c>
      <c r="G349">
        <v>0.3</v>
      </c>
      <c r="H349">
        <v>29</v>
      </c>
      <c r="I349">
        <v>7</v>
      </c>
      <c r="J349">
        <v>1.4</v>
      </c>
      <c r="K349">
        <v>508641256.81901252</v>
      </c>
      <c r="L349">
        <v>54426300</v>
      </c>
      <c r="M349">
        <v>79694416.450187996</v>
      </c>
      <c r="N349">
        <v>71787600</v>
      </c>
      <c r="O349">
        <v>15890813.280000001</v>
      </c>
      <c r="P349">
        <v>215.17758799999999</v>
      </c>
      <c r="Q349">
        <v>1.2485270154948391</v>
      </c>
      <c r="R349">
        <v>43.407679399999999</v>
      </c>
      <c r="S349">
        <v>783.21007299999997</v>
      </c>
      <c r="T349">
        <v>2.4292145699999999E-15</v>
      </c>
      <c r="U349">
        <v>22.457108113920025</v>
      </c>
      <c r="V349">
        <v>100.934</v>
      </c>
      <c r="W349">
        <v>-238.46999672106065</v>
      </c>
      <c r="X349">
        <v>62.892150299999997</v>
      </c>
      <c r="Y349">
        <v>92.393113900000003</v>
      </c>
      <c r="Z349">
        <v>100.934</v>
      </c>
      <c r="AA349">
        <v>227.10334700000001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1.2485270154948391</v>
      </c>
    </row>
    <row r="350" spans="1:41" x14ac:dyDescent="0.3">
      <c r="A350">
        <v>910</v>
      </c>
      <c r="B350">
        <v>39</v>
      </c>
      <c r="C350">
        <v>10</v>
      </c>
      <c r="D350">
        <v>8.8707646174262731</v>
      </c>
      <c r="E350">
        <v>29</v>
      </c>
      <c r="F350">
        <v>14</v>
      </c>
      <c r="G350">
        <v>1.2</v>
      </c>
      <c r="H350">
        <v>10</v>
      </c>
      <c r="I350">
        <v>7</v>
      </c>
      <c r="J350">
        <v>0.3</v>
      </c>
      <c r="K350">
        <v>507616188.4748522</v>
      </c>
      <c r="L350">
        <v>54426300</v>
      </c>
      <c r="M350">
        <v>79694496.221839875</v>
      </c>
      <c r="N350">
        <v>71787600</v>
      </c>
      <c r="O350">
        <v>15905165.119999999</v>
      </c>
      <c r="P350">
        <v>206.01555300000001</v>
      </c>
      <c r="Q350">
        <v>1.3006744148561677</v>
      </c>
      <c r="R350">
        <v>43.938081400000002</v>
      </c>
      <c r="S350">
        <v>784.51359200000002</v>
      </c>
      <c r="T350">
        <v>4.0356341400000003E-21</v>
      </c>
      <c r="U350">
        <v>25.527401897575825</v>
      </c>
      <c r="V350">
        <v>100.934</v>
      </c>
      <c r="W350">
        <v>-228.82097915128762</v>
      </c>
      <c r="X350">
        <v>62.583535400000002</v>
      </c>
      <c r="Y350">
        <v>92.087212300000004</v>
      </c>
      <c r="Z350">
        <v>180.98100000000002</v>
      </c>
      <c r="AA350">
        <v>259.44351399999999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0.21096075903032985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1.5116351738864977</v>
      </c>
    </row>
    <row r="351" spans="1:41" x14ac:dyDescent="0.3">
      <c r="A351">
        <v>910</v>
      </c>
      <c r="B351">
        <v>27</v>
      </c>
      <c r="C351">
        <v>10</v>
      </c>
      <c r="D351">
        <v>15</v>
      </c>
      <c r="E351">
        <v>29</v>
      </c>
      <c r="F351">
        <v>5</v>
      </c>
      <c r="G351">
        <v>0.3</v>
      </c>
      <c r="H351">
        <v>23</v>
      </c>
      <c r="I351">
        <v>7</v>
      </c>
      <c r="J351">
        <v>1.4</v>
      </c>
      <c r="K351">
        <v>507705962.37410706</v>
      </c>
      <c r="L351">
        <v>54426300</v>
      </c>
      <c r="M351">
        <v>79694445.536988243</v>
      </c>
      <c r="N351">
        <v>71787600</v>
      </c>
      <c r="O351">
        <v>15895963.76</v>
      </c>
      <c r="P351">
        <v>211.630562</v>
      </c>
      <c r="Q351">
        <v>1.2664527268089922</v>
      </c>
      <c r="R351">
        <v>43.716813700000003</v>
      </c>
      <c r="S351">
        <v>781.81596499999989</v>
      </c>
      <c r="T351">
        <v>4.0276720600000001E-9</v>
      </c>
      <c r="U351">
        <v>22.537379541279364</v>
      </c>
      <c r="V351">
        <v>100.934</v>
      </c>
      <c r="W351">
        <v>-238.00048614166846</v>
      </c>
      <c r="X351">
        <v>62.919463299999997</v>
      </c>
      <c r="Y351">
        <v>92.477014499999996</v>
      </c>
      <c r="Z351">
        <v>177.97</v>
      </c>
      <c r="AA351">
        <v>233.216318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1.2664527268089922</v>
      </c>
    </row>
    <row r="352" spans="1:41" x14ac:dyDescent="0.3">
      <c r="A352">
        <v>936.01846831411149</v>
      </c>
      <c r="B352">
        <v>35</v>
      </c>
      <c r="C352">
        <v>10</v>
      </c>
      <c r="D352">
        <v>1</v>
      </c>
      <c r="E352">
        <v>10</v>
      </c>
      <c r="F352">
        <v>5</v>
      </c>
      <c r="G352">
        <v>1.2</v>
      </c>
      <c r="H352">
        <v>29</v>
      </c>
      <c r="I352">
        <v>14</v>
      </c>
      <c r="J352">
        <v>0.3</v>
      </c>
      <c r="K352">
        <v>508534678.6029104</v>
      </c>
      <c r="L352">
        <v>54426300</v>
      </c>
      <c r="M352">
        <v>79694416.50113745</v>
      </c>
      <c r="N352">
        <v>71787600</v>
      </c>
      <c r="O352">
        <v>15887793.52</v>
      </c>
      <c r="P352">
        <v>209.04812200000001</v>
      </c>
      <c r="Q352">
        <v>1.2847887749929321</v>
      </c>
      <c r="R352">
        <v>43.697683300000001</v>
      </c>
      <c r="S352">
        <v>783.34602700000005</v>
      </c>
      <c r="T352">
        <v>3.20117791E-10</v>
      </c>
      <c r="U352">
        <v>23.406328021671577</v>
      </c>
      <c r="V352">
        <v>80.72</v>
      </c>
      <c r="W352">
        <v>-142.00677858388693</v>
      </c>
      <c r="X352">
        <v>63.083149499999998</v>
      </c>
      <c r="Y352">
        <v>94.937560599999998</v>
      </c>
      <c r="Z352">
        <v>144.29</v>
      </c>
      <c r="AA352">
        <v>236.66945200000001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1.2847887749929321</v>
      </c>
    </row>
    <row r="353" spans="1:41" x14ac:dyDescent="0.3">
      <c r="A353">
        <v>932.14389841880825</v>
      </c>
      <c r="B353">
        <v>39</v>
      </c>
      <c r="C353">
        <v>19</v>
      </c>
      <c r="D353">
        <v>10.892316319873489</v>
      </c>
      <c r="E353">
        <v>10</v>
      </c>
      <c r="F353">
        <v>5</v>
      </c>
      <c r="G353">
        <v>0.3</v>
      </c>
      <c r="H353">
        <v>29</v>
      </c>
      <c r="I353">
        <v>7</v>
      </c>
      <c r="J353">
        <v>0.3</v>
      </c>
      <c r="K353">
        <v>508528669.0492478</v>
      </c>
      <c r="L353">
        <v>54426300</v>
      </c>
      <c r="M353">
        <v>79694421.227316201</v>
      </c>
      <c r="N353">
        <v>71787600</v>
      </c>
      <c r="O353">
        <v>15890867.76</v>
      </c>
      <c r="P353">
        <v>213.278155</v>
      </c>
      <c r="Q353">
        <v>1.2592879048614172</v>
      </c>
      <c r="R353">
        <v>43.586827100000001</v>
      </c>
      <c r="S353">
        <v>782.44260799999995</v>
      </c>
      <c r="T353">
        <v>5.5755325100000003E-9</v>
      </c>
      <c r="U353">
        <v>22.83333284298314</v>
      </c>
      <c r="V353">
        <v>100.934</v>
      </c>
      <c r="W353">
        <v>-241.47777770760669</v>
      </c>
      <c r="X353">
        <v>62.845703700000001</v>
      </c>
      <c r="Y353">
        <v>92.167964299999994</v>
      </c>
      <c r="Z353">
        <v>144.29</v>
      </c>
      <c r="AA353">
        <v>233.410065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1.2592879048614172</v>
      </c>
    </row>
    <row r="354" spans="1:41" x14ac:dyDescent="0.3">
      <c r="A354">
        <v>910.23997748009492</v>
      </c>
      <c r="B354">
        <v>39</v>
      </c>
      <c r="C354">
        <v>19</v>
      </c>
      <c r="D354">
        <v>6.9751652844796892</v>
      </c>
      <c r="E354">
        <v>14</v>
      </c>
      <c r="F354">
        <v>12</v>
      </c>
      <c r="G354">
        <v>1.1140813002052381</v>
      </c>
      <c r="H354">
        <v>29</v>
      </c>
      <c r="I354">
        <v>14</v>
      </c>
      <c r="J354">
        <v>0.39931321135485937</v>
      </c>
      <c r="K354">
        <v>507567791.35923475</v>
      </c>
      <c r="L354">
        <v>54426300</v>
      </c>
      <c r="M354">
        <v>79694446.512218431</v>
      </c>
      <c r="N354">
        <v>71787600</v>
      </c>
      <c r="O354">
        <v>15892151.52</v>
      </c>
      <c r="P354">
        <v>210.397628</v>
      </c>
      <c r="Q354">
        <v>1.2734283497703713</v>
      </c>
      <c r="R354">
        <v>43.825578999999998</v>
      </c>
      <c r="S354">
        <v>782.73954000000003</v>
      </c>
      <c r="T354">
        <v>2.8120297900000002E-10</v>
      </c>
      <c r="U354">
        <v>23.856192766272049</v>
      </c>
      <c r="V354">
        <v>100.934</v>
      </c>
      <c r="W354">
        <v>-237.86352785976939</v>
      </c>
      <c r="X354">
        <v>62.911565000000003</v>
      </c>
      <c r="Y354">
        <v>92.324481199999994</v>
      </c>
      <c r="Z354">
        <v>177.97</v>
      </c>
      <c r="AA354">
        <v>238.86542499999999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1.2734283497703713</v>
      </c>
    </row>
    <row r="355" spans="1:41" x14ac:dyDescent="0.3">
      <c r="A355">
        <v>910</v>
      </c>
      <c r="B355">
        <v>27</v>
      </c>
      <c r="C355">
        <v>19</v>
      </c>
      <c r="D355">
        <v>5.7203329664502887</v>
      </c>
      <c r="E355">
        <v>29</v>
      </c>
      <c r="F355">
        <v>5</v>
      </c>
      <c r="G355">
        <v>1.2</v>
      </c>
      <c r="H355">
        <v>10</v>
      </c>
      <c r="I355">
        <v>7</v>
      </c>
      <c r="J355">
        <v>1.4</v>
      </c>
      <c r="K355">
        <v>507486922.75469291</v>
      </c>
      <c r="L355">
        <v>54426300</v>
      </c>
      <c r="M355">
        <v>79694451.62421608</v>
      </c>
      <c r="N355">
        <v>71787600</v>
      </c>
      <c r="O355">
        <v>15892604.560000001</v>
      </c>
      <c r="P355">
        <v>209.402477</v>
      </c>
      <c r="Q355">
        <v>1.2792179442705871</v>
      </c>
      <c r="R355">
        <v>43.900502799999998</v>
      </c>
      <c r="S355">
        <v>782.88415799999996</v>
      </c>
      <c r="T355">
        <v>1.92088195E-10</v>
      </c>
      <c r="U355">
        <v>24.532202528648067</v>
      </c>
      <c r="V355">
        <v>91.850000000000009</v>
      </c>
      <c r="W355">
        <v>-236.91834436713305</v>
      </c>
      <c r="X355">
        <v>62.882249899999998</v>
      </c>
      <c r="Y355">
        <v>92.674091399999995</v>
      </c>
      <c r="Z355">
        <v>180.98100000000002</v>
      </c>
      <c r="AA355">
        <v>246.56308100000001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1.2792179442705871</v>
      </c>
    </row>
    <row r="356" spans="1:41" x14ac:dyDescent="0.3">
      <c r="A356">
        <v>917.58234575622021</v>
      </c>
      <c r="B356">
        <v>27</v>
      </c>
      <c r="C356">
        <v>10</v>
      </c>
      <c r="D356">
        <v>1</v>
      </c>
      <c r="E356">
        <v>10</v>
      </c>
      <c r="F356">
        <v>5</v>
      </c>
      <c r="G356">
        <v>1.2</v>
      </c>
      <c r="H356">
        <v>16</v>
      </c>
      <c r="I356">
        <v>14</v>
      </c>
      <c r="J356">
        <v>0.3</v>
      </c>
      <c r="K356">
        <v>507968298.90423501</v>
      </c>
      <c r="L356">
        <v>54426300</v>
      </c>
      <c r="M356">
        <v>79694443.588582277</v>
      </c>
      <c r="N356">
        <v>71787600</v>
      </c>
      <c r="O356">
        <v>15892872.24</v>
      </c>
      <c r="P356">
        <v>207.14256599999999</v>
      </c>
      <c r="Q356">
        <v>1.2947517065063503</v>
      </c>
      <c r="R356">
        <v>43.708337499999999</v>
      </c>
      <c r="S356">
        <v>783.05549299999996</v>
      </c>
      <c r="T356">
        <v>3.07446347E-10</v>
      </c>
      <c r="U356">
        <v>23.378046718397908</v>
      </c>
      <c r="V356">
        <v>80.72</v>
      </c>
      <c r="W356">
        <v>-148.74441436563282</v>
      </c>
      <c r="X356">
        <v>63.086206300000001</v>
      </c>
      <c r="Y356">
        <v>94.997784499999995</v>
      </c>
      <c r="Z356">
        <v>144.29</v>
      </c>
      <c r="AA356">
        <v>234.37128999999999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1.2947517065063503</v>
      </c>
    </row>
    <row r="357" spans="1:41" x14ac:dyDescent="0.3">
      <c r="A357">
        <v>960</v>
      </c>
      <c r="B357">
        <v>39</v>
      </c>
      <c r="C357">
        <v>10</v>
      </c>
      <c r="D357">
        <v>15</v>
      </c>
      <c r="E357">
        <v>10</v>
      </c>
      <c r="F357">
        <v>5</v>
      </c>
      <c r="G357">
        <v>1.2</v>
      </c>
      <c r="H357">
        <v>10</v>
      </c>
      <c r="I357">
        <v>7</v>
      </c>
      <c r="J357">
        <v>1.4</v>
      </c>
      <c r="K357">
        <v>503867620.20907271</v>
      </c>
      <c r="L357">
        <v>54426300</v>
      </c>
      <c r="M357">
        <v>79694502.93443124</v>
      </c>
      <c r="N357">
        <v>71787600</v>
      </c>
      <c r="O357">
        <v>16383088.239999998</v>
      </c>
      <c r="P357">
        <v>206.089992</v>
      </c>
      <c r="Q357">
        <v>1.2878569284245343</v>
      </c>
      <c r="R357">
        <v>43.750703600000001</v>
      </c>
      <c r="S357">
        <v>782.65926200000001</v>
      </c>
      <c r="T357">
        <v>3.5965679500000002E-10</v>
      </c>
      <c r="U357">
        <v>23.452606836975534</v>
      </c>
      <c r="V357">
        <v>100.934</v>
      </c>
      <c r="W357">
        <v>-238.25155724746224</v>
      </c>
      <c r="X357">
        <v>62.959638900000002</v>
      </c>
      <c r="Y357">
        <v>92.157254199999997</v>
      </c>
      <c r="Z357">
        <v>144.29</v>
      </c>
      <c r="AA357">
        <v>235.33824100000001</v>
      </c>
      <c r="AB357">
        <v>100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101.28785692842453</v>
      </c>
    </row>
    <row r="358" spans="1:41" x14ac:dyDescent="0.3">
      <c r="A358">
        <v>943.94421660189789</v>
      </c>
      <c r="B358">
        <v>30</v>
      </c>
      <c r="C358">
        <v>19</v>
      </c>
      <c r="D358">
        <v>15</v>
      </c>
      <c r="E358">
        <v>23</v>
      </c>
      <c r="F358">
        <v>5</v>
      </c>
      <c r="G358">
        <v>1.2</v>
      </c>
      <c r="H358">
        <v>29</v>
      </c>
      <c r="I358">
        <v>14</v>
      </c>
      <c r="J358">
        <v>1.4</v>
      </c>
      <c r="K358">
        <v>508645756.79834127</v>
      </c>
      <c r="L358">
        <v>54426300</v>
      </c>
      <c r="M358">
        <v>79694397.46699439</v>
      </c>
      <c r="N358">
        <v>71787600</v>
      </c>
      <c r="O358">
        <v>15897868.479999999</v>
      </c>
      <c r="P358">
        <v>212.06050400000001</v>
      </c>
      <c r="Q358">
        <v>1.2668935587413364</v>
      </c>
      <c r="R358">
        <v>43.890295999999999</v>
      </c>
      <c r="S358">
        <v>782.92826400000001</v>
      </c>
      <c r="T358">
        <v>1.8962040000000001E-10</v>
      </c>
      <c r="U358">
        <v>24.424281429003617</v>
      </c>
      <c r="V358">
        <v>100.934</v>
      </c>
      <c r="W358">
        <v>-236.19692907585079</v>
      </c>
      <c r="X358">
        <v>62.8597459</v>
      </c>
      <c r="Y358">
        <v>92.378428400000004</v>
      </c>
      <c r="Z358">
        <v>180.98100000000002</v>
      </c>
      <c r="AA358">
        <v>244.879752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1.2668935587413364</v>
      </c>
    </row>
    <row r="359" spans="1:41" x14ac:dyDescent="0.3">
      <c r="A359">
        <v>932.19367863196692</v>
      </c>
      <c r="B359">
        <v>39</v>
      </c>
      <c r="C359">
        <v>10</v>
      </c>
      <c r="D359">
        <v>1</v>
      </c>
      <c r="E359">
        <v>18</v>
      </c>
      <c r="F359">
        <v>14</v>
      </c>
      <c r="G359">
        <v>0.3</v>
      </c>
      <c r="H359">
        <v>10</v>
      </c>
      <c r="I359">
        <v>7</v>
      </c>
      <c r="J359">
        <v>1.4</v>
      </c>
      <c r="K359">
        <v>508552542.11998791</v>
      </c>
      <c r="L359">
        <v>54426300</v>
      </c>
      <c r="M359">
        <v>79694414.63840054</v>
      </c>
      <c r="N359">
        <v>71787600</v>
      </c>
      <c r="O359">
        <v>15884288.08</v>
      </c>
      <c r="P359">
        <v>211.40373399999999</v>
      </c>
      <c r="Q359">
        <v>1.2705301000929654</v>
      </c>
      <c r="R359">
        <v>43.496518199999997</v>
      </c>
      <c r="S359">
        <v>782.563804</v>
      </c>
      <c r="T359">
        <v>4.2928232200000001E-16</v>
      </c>
      <c r="U359">
        <v>22.445414524283002</v>
      </c>
      <c r="V359">
        <v>80.72</v>
      </c>
      <c r="W359">
        <v>-141.47948829055164</v>
      </c>
      <c r="X359">
        <v>64.259198100000006</v>
      </c>
      <c r="Y359">
        <v>94.971135700000005</v>
      </c>
      <c r="Z359">
        <v>121.52199999999999</v>
      </c>
      <c r="AA359">
        <v>230.744876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1.2705301000929654</v>
      </c>
    </row>
    <row r="360" spans="1:41" x14ac:dyDescent="0.3">
      <c r="A360">
        <v>930.37094800865248</v>
      </c>
      <c r="B360">
        <v>39</v>
      </c>
      <c r="C360">
        <v>19</v>
      </c>
      <c r="D360">
        <v>8.6824576983428692</v>
      </c>
      <c r="E360">
        <v>16</v>
      </c>
      <c r="F360">
        <v>14</v>
      </c>
      <c r="G360">
        <v>1.2</v>
      </c>
      <c r="H360">
        <v>29</v>
      </c>
      <c r="I360">
        <v>14</v>
      </c>
      <c r="J360">
        <v>0.3</v>
      </c>
      <c r="K360">
        <v>508348470.85983574</v>
      </c>
      <c r="L360">
        <v>54426300</v>
      </c>
      <c r="M360">
        <v>79694425.997870281</v>
      </c>
      <c r="N360">
        <v>71787600</v>
      </c>
      <c r="O360">
        <v>15889381.520000001</v>
      </c>
      <c r="P360">
        <v>211.67466899999999</v>
      </c>
      <c r="Q360">
        <v>1.2682494025702851</v>
      </c>
      <c r="R360">
        <v>43.703332099999997</v>
      </c>
      <c r="S360">
        <v>784.48967300000004</v>
      </c>
      <c r="T360">
        <v>1.1822597300000001E-18</v>
      </c>
      <c r="U360">
        <v>23.57562810340281</v>
      </c>
      <c r="V360">
        <v>100.934</v>
      </c>
      <c r="W360">
        <v>-239.05746707021572</v>
      </c>
      <c r="X360">
        <v>62.8372952</v>
      </c>
      <c r="Y360">
        <v>92.221825899999999</v>
      </c>
      <c r="Z360">
        <v>121.52199999999999</v>
      </c>
      <c r="AA360">
        <v>235.93149399999999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1.2682494025702851</v>
      </c>
    </row>
    <row r="361" spans="1:41" x14ac:dyDescent="0.3">
      <c r="A361">
        <v>910</v>
      </c>
      <c r="B361">
        <v>30</v>
      </c>
      <c r="C361">
        <v>10</v>
      </c>
      <c r="D361">
        <v>5.6709001451829204</v>
      </c>
      <c r="E361">
        <v>29</v>
      </c>
      <c r="F361">
        <v>5</v>
      </c>
      <c r="G361">
        <v>0.3</v>
      </c>
      <c r="H361">
        <v>16</v>
      </c>
      <c r="I361">
        <v>14</v>
      </c>
      <c r="J361">
        <v>1.4</v>
      </c>
      <c r="K361">
        <v>507699580.97752833</v>
      </c>
      <c r="L361">
        <v>54426300</v>
      </c>
      <c r="M361">
        <v>79694445.554656193</v>
      </c>
      <c r="N361">
        <v>71787600</v>
      </c>
      <c r="O361">
        <v>15891298.640000001</v>
      </c>
      <c r="P361">
        <v>211.77127999999999</v>
      </c>
      <c r="Q361">
        <v>1.2655907367479495</v>
      </c>
      <c r="R361">
        <v>43.716481600000002</v>
      </c>
      <c r="S361">
        <v>781.78140399999995</v>
      </c>
      <c r="T361">
        <v>4.0176541600000004E-9</v>
      </c>
      <c r="U361">
        <v>22.523128943836458</v>
      </c>
      <c r="V361">
        <v>100.934</v>
      </c>
      <c r="W361">
        <v>-237.29180459575312</v>
      </c>
      <c r="X361">
        <v>62.937885399999999</v>
      </c>
      <c r="Y361">
        <v>92.598917</v>
      </c>
      <c r="Z361">
        <v>177.97</v>
      </c>
      <c r="AA361">
        <v>235.08429100000001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1.2655907367479495</v>
      </c>
    </row>
    <row r="362" spans="1:41" x14ac:dyDescent="0.3">
      <c r="A362">
        <v>943.29953252316614</v>
      </c>
      <c r="B362">
        <v>27</v>
      </c>
      <c r="C362">
        <v>19</v>
      </c>
      <c r="D362">
        <v>1</v>
      </c>
      <c r="E362">
        <v>10</v>
      </c>
      <c r="F362">
        <v>5</v>
      </c>
      <c r="G362">
        <v>1.2</v>
      </c>
      <c r="H362">
        <v>25</v>
      </c>
      <c r="I362">
        <v>7</v>
      </c>
      <c r="J362">
        <v>1.4</v>
      </c>
      <c r="K362">
        <v>508847980.52406573</v>
      </c>
      <c r="L362">
        <v>54426300</v>
      </c>
      <c r="M362">
        <v>79694396.420065165</v>
      </c>
      <c r="N362">
        <v>71787600</v>
      </c>
      <c r="O362">
        <v>15889626.08</v>
      </c>
      <c r="P362">
        <v>207.302516</v>
      </c>
      <c r="Q362">
        <v>1.296633405034809</v>
      </c>
      <c r="R362">
        <v>43.729187799999998</v>
      </c>
      <c r="S362">
        <v>782.3483369999999</v>
      </c>
      <c r="T362">
        <v>2.5690049899999998E-9</v>
      </c>
      <c r="U362">
        <v>23.467384888691846</v>
      </c>
      <c r="V362">
        <v>68.709999999999994</v>
      </c>
      <c r="W362">
        <v>-169.27645551853928</v>
      </c>
      <c r="X362">
        <v>63.132545899999997</v>
      </c>
      <c r="Y362">
        <v>95.185184100000001</v>
      </c>
      <c r="Z362">
        <v>144.29</v>
      </c>
      <c r="AA362">
        <v>232.55243400000001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1.296633405034809</v>
      </c>
    </row>
    <row r="363" spans="1:41" x14ac:dyDescent="0.3">
      <c r="A363">
        <v>946.41107049289064</v>
      </c>
      <c r="B363">
        <v>39</v>
      </c>
      <c r="C363">
        <v>10</v>
      </c>
      <c r="D363">
        <v>15</v>
      </c>
      <c r="E363">
        <v>23</v>
      </c>
      <c r="F363">
        <v>5</v>
      </c>
      <c r="G363">
        <v>1.2</v>
      </c>
      <c r="H363">
        <v>29</v>
      </c>
      <c r="I363">
        <v>14</v>
      </c>
      <c r="J363">
        <v>1.4</v>
      </c>
      <c r="K363">
        <v>508737496.05175698</v>
      </c>
      <c r="L363">
        <v>54426300</v>
      </c>
      <c r="M363">
        <v>79694391.884330556</v>
      </c>
      <c r="N363">
        <v>71787600</v>
      </c>
      <c r="O363">
        <v>15898987.6</v>
      </c>
      <c r="P363">
        <v>212.351099</v>
      </c>
      <c r="Q363">
        <v>1.2654531363798494</v>
      </c>
      <c r="R363">
        <v>43.891599399999997</v>
      </c>
      <c r="S363">
        <v>782.90440599999999</v>
      </c>
      <c r="T363">
        <v>1.8951742600000001E-10</v>
      </c>
      <c r="U363">
        <v>24.418417608474865</v>
      </c>
      <c r="V363">
        <v>100.934</v>
      </c>
      <c r="W363">
        <v>-235.84133664568745</v>
      </c>
      <c r="X363">
        <v>62.864828600000003</v>
      </c>
      <c r="Y363">
        <v>92.128887700000007</v>
      </c>
      <c r="Z363">
        <v>180.98100000000002</v>
      </c>
      <c r="AA363">
        <v>244.99804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1.2654531363798494</v>
      </c>
    </row>
    <row r="364" spans="1:41" x14ac:dyDescent="0.3">
      <c r="A364">
        <v>917.44619365618303</v>
      </c>
      <c r="B364">
        <v>39</v>
      </c>
      <c r="C364">
        <v>10</v>
      </c>
      <c r="D364">
        <v>15</v>
      </c>
      <c r="E364">
        <v>10</v>
      </c>
      <c r="F364">
        <v>5</v>
      </c>
      <c r="G364">
        <v>0.3</v>
      </c>
      <c r="H364">
        <v>24</v>
      </c>
      <c r="I364">
        <v>7</v>
      </c>
      <c r="J364">
        <v>1.4</v>
      </c>
      <c r="K364">
        <v>508079453.38869733</v>
      </c>
      <c r="L364">
        <v>54426300</v>
      </c>
      <c r="M364">
        <v>79694433.723493055</v>
      </c>
      <c r="N364">
        <v>71787600</v>
      </c>
      <c r="O364">
        <v>15896436.960000001</v>
      </c>
      <c r="P364">
        <v>212.85535300000001</v>
      </c>
      <c r="Q364">
        <v>1.2603565981725284</v>
      </c>
      <c r="R364">
        <v>43.589639499999997</v>
      </c>
      <c r="S364">
        <v>782.28304100000003</v>
      </c>
      <c r="T364">
        <v>5.5723747600000004E-9</v>
      </c>
      <c r="U364">
        <v>22.783671329553304</v>
      </c>
      <c r="V364">
        <v>100.934</v>
      </c>
      <c r="W364">
        <v>-241.86539117530936</v>
      </c>
      <c r="X364">
        <v>62.907893899999998</v>
      </c>
      <c r="Y364">
        <v>92.146162500000003</v>
      </c>
      <c r="Z364">
        <v>144.29</v>
      </c>
      <c r="AA364">
        <v>229.89200700000001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1.2603565981725284</v>
      </c>
    </row>
    <row r="365" spans="1:41" x14ac:dyDescent="0.3">
      <c r="A365">
        <v>931.43867700338467</v>
      </c>
      <c r="B365">
        <v>39</v>
      </c>
      <c r="C365">
        <v>12</v>
      </c>
      <c r="D365">
        <v>8.6756962502317876</v>
      </c>
      <c r="E365">
        <v>24</v>
      </c>
      <c r="F365">
        <v>14</v>
      </c>
      <c r="G365">
        <v>0.6310601502137847</v>
      </c>
      <c r="H365">
        <v>14</v>
      </c>
      <c r="I365">
        <v>12</v>
      </c>
      <c r="J365">
        <v>0.53230093972467907</v>
      </c>
      <c r="K365">
        <v>508276384.73364311</v>
      </c>
      <c r="L365">
        <v>54426300</v>
      </c>
      <c r="M365">
        <v>79694430.259135216</v>
      </c>
      <c r="N365">
        <v>71787600</v>
      </c>
      <c r="O365">
        <v>15891553.279999999</v>
      </c>
      <c r="P365">
        <v>211.299361</v>
      </c>
      <c r="Q365">
        <v>1.2702704598449144</v>
      </c>
      <c r="R365">
        <v>43.8218891</v>
      </c>
      <c r="S365">
        <v>782.59490800000003</v>
      </c>
      <c r="T365">
        <v>6.5581998000000003E-10</v>
      </c>
      <c r="U365">
        <v>23.678927502417363</v>
      </c>
      <c r="V365">
        <v>100.934</v>
      </c>
      <c r="W365">
        <v>-235.44428001593974</v>
      </c>
      <c r="X365">
        <v>62.827987</v>
      </c>
      <c r="Y365">
        <v>92.217618099999996</v>
      </c>
      <c r="Z365">
        <v>180.98100000000002</v>
      </c>
      <c r="AA365">
        <v>245.953675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1.2702704598449144</v>
      </c>
    </row>
    <row r="366" spans="1:41" x14ac:dyDescent="0.3">
      <c r="A366">
        <v>941.93701159149077</v>
      </c>
      <c r="B366">
        <v>39</v>
      </c>
      <c r="C366">
        <v>19</v>
      </c>
      <c r="D366">
        <v>1</v>
      </c>
      <c r="E366">
        <v>26</v>
      </c>
      <c r="F366">
        <v>5</v>
      </c>
      <c r="G366">
        <v>1.2</v>
      </c>
      <c r="H366">
        <v>10</v>
      </c>
      <c r="I366">
        <v>7</v>
      </c>
      <c r="J366">
        <v>1.4</v>
      </c>
      <c r="K366">
        <v>508680228.91703367</v>
      </c>
      <c r="L366">
        <v>54426300</v>
      </c>
      <c r="M366">
        <v>79694400.83171317</v>
      </c>
      <c r="N366">
        <v>71787600</v>
      </c>
      <c r="O366">
        <v>15891456.879999999</v>
      </c>
      <c r="P366">
        <v>208.655404</v>
      </c>
      <c r="Q366">
        <v>1.2876804674344171</v>
      </c>
      <c r="R366">
        <v>43.832183499999999</v>
      </c>
      <c r="S366">
        <v>783.46355000000005</v>
      </c>
      <c r="T366">
        <v>1.6283826699999999E-10</v>
      </c>
      <c r="U366">
        <v>24.413003963912594</v>
      </c>
      <c r="V366">
        <v>80.72</v>
      </c>
      <c r="W366">
        <v>-143.49468616146038</v>
      </c>
      <c r="X366">
        <v>63.103775400000004</v>
      </c>
      <c r="Y366">
        <v>94.912625500000004</v>
      </c>
      <c r="Z366">
        <v>180.98100000000002</v>
      </c>
      <c r="AA366">
        <v>242.459024</v>
      </c>
      <c r="AB366">
        <v>100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101.28768046743441</v>
      </c>
    </row>
    <row r="367" spans="1:41" x14ac:dyDescent="0.3">
      <c r="A367">
        <v>928.70138229275392</v>
      </c>
      <c r="B367">
        <v>33</v>
      </c>
      <c r="C367">
        <v>19</v>
      </c>
      <c r="D367">
        <v>6.9496652808424164</v>
      </c>
      <c r="E367">
        <v>10</v>
      </c>
      <c r="F367">
        <v>5</v>
      </c>
      <c r="G367">
        <v>0.3</v>
      </c>
      <c r="H367">
        <v>29</v>
      </c>
      <c r="I367">
        <v>14</v>
      </c>
      <c r="J367">
        <v>1.4</v>
      </c>
      <c r="K367">
        <v>508391743.26842386</v>
      </c>
      <c r="L367">
        <v>54426300</v>
      </c>
      <c r="M367">
        <v>79694420.365900531</v>
      </c>
      <c r="N367">
        <v>71787600</v>
      </c>
      <c r="O367">
        <v>15885816.16</v>
      </c>
      <c r="P367">
        <v>213.44294600000001</v>
      </c>
      <c r="Q367">
        <v>1.2578801652915403</v>
      </c>
      <c r="R367">
        <v>43.588048700000002</v>
      </c>
      <c r="S367">
        <v>782.30843100000004</v>
      </c>
      <c r="T367">
        <v>5.5527711E-9</v>
      </c>
      <c r="U367">
        <v>22.786516625346415</v>
      </c>
      <c r="V367">
        <v>100.934</v>
      </c>
      <c r="W367">
        <v>-242.43703126460815</v>
      </c>
      <c r="X367">
        <v>62.895252800000002</v>
      </c>
      <c r="Y367">
        <v>92.459168099999999</v>
      </c>
      <c r="Z367">
        <v>144.29</v>
      </c>
      <c r="AA367">
        <v>229.84278399999999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1.2578801652915403</v>
      </c>
    </row>
    <row r="368" spans="1:41" x14ac:dyDescent="0.3">
      <c r="A368">
        <v>930.90098621075037</v>
      </c>
      <c r="B368">
        <v>39</v>
      </c>
      <c r="C368">
        <v>19</v>
      </c>
      <c r="D368">
        <v>1</v>
      </c>
      <c r="E368">
        <v>29</v>
      </c>
      <c r="F368">
        <v>14</v>
      </c>
      <c r="G368">
        <v>1.2</v>
      </c>
      <c r="H368">
        <v>16</v>
      </c>
      <c r="I368">
        <v>14</v>
      </c>
      <c r="J368">
        <v>0.62435610086496929</v>
      </c>
      <c r="K368">
        <v>508199260.09045792</v>
      </c>
      <c r="L368">
        <v>54426300</v>
      </c>
      <c r="M368">
        <v>79694429.3190355</v>
      </c>
      <c r="N368">
        <v>71787600</v>
      </c>
      <c r="O368">
        <v>15886750.08</v>
      </c>
      <c r="P368">
        <v>207.32737499999999</v>
      </c>
      <c r="Q368">
        <v>1.2943538208749543</v>
      </c>
      <c r="R368">
        <v>43.8342259</v>
      </c>
      <c r="S368">
        <v>783.525938</v>
      </c>
      <c r="T368">
        <v>1.6207209600000001E-10</v>
      </c>
      <c r="U368">
        <v>24.467506403360993</v>
      </c>
      <c r="V368">
        <v>80.72</v>
      </c>
      <c r="W368">
        <v>-143.17361663013014</v>
      </c>
      <c r="X368">
        <v>63.085485800000001</v>
      </c>
      <c r="Y368">
        <v>94.901497500000005</v>
      </c>
      <c r="Z368">
        <v>180.98100000000002</v>
      </c>
      <c r="AA368">
        <v>247.889759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1.2943538208749543</v>
      </c>
    </row>
    <row r="369" spans="1:41" x14ac:dyDescent="0.3">
      <c r="A369">
        <v>937.45215491088004</v>
      </c>
      <c r="B369">
        <v>39</v>
      </c>
      <c r="C369">
        <v>19</v>
      </c>
      <c r="D369">
        <v>15</v>
      </c>
      <c r="E369">
        <v>22</v>
      </c>
      <c r="F369">
        <v>14</v>
      </c>
      <c r="G369">
        <v>0.3</v>
      </c>
      <c r="H369">
        <v>29</v>
      </c>
      <c r="I369">
        <v>7</v>
      </c>
      <c r="J369">
        <v>1.4</v>
      </c>
      <c r="K369">
        <v>508655463.07918745</v>
      </c>
      <c r="L369">
        <v>54426300</v>
      </c>
      <c r="M369">
        <v>79694406.200307086</v>
      </c>
      <c r="N369">
        <v>71787600</v>
      </c>
      <c r="O369">
        <v>15893949.6</v>
      </c>
      <c r="P369">
        <v>213.744415</v>
      </c>
      <c r="Q369">
        <v>1.2569436059394814</v>
      </c>
      <c r="R369">
        <v>43.654309900000001</v>
      </c>
      <c r="S369">
        <v>781.68478799999991</v>
      </c>
      <c r="T369">
        <v>2.3888625899999999E-16</v>
      </c>
      <c r="U369">
        <v>22.74057466256</v>
      </c>
      <c r="V369">
        <v>100.934</v>
      </c>
      <c r="W369">
        <v>-241.57077754999551</v>
      </c>
      <c r="X369">
        <v>62.880478500000002</v>
      </c>
      <c r="Y369">
        <v>92.126361299999999</v>
      </c>
      <c r="Z369">
        <v>144.29</v>
      </c>
      <c r="AA369">
        <v>231.52200400000001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1.2569436059394814</v>
      </c>
    </row>
    <row r="370" spans="1:41" x14ac:dyDescent="0.3">
      <c r="A370">
        <v>916.18294611010811</v>
      </c>
      <c r="B370">
        <v>32</v>
      </c>
      <c r="C370">
        <v>10</v>
      </c>
      <c r="D370">
        <v>15</v>
      </c>
      <c r="E370">
        <v>20</v>
      </c>
      <c r="F370">
        <v>5</v>
      </c>
      <c r="G370">
        <v>1.2</v>
      </c>
      <c r="H370">
        <v>29</v>
      </c>
      <c r="I370">
        <v>14</v>
      </c>
      <c r="J370">
        <v>0.3</v>
      </c>
      <c r="K370">
        <v>507789767.67243659</v>
      </c>
      <c r="L370">
        <v>54426300</v>
      </c>
      <c r="M370">
        <v>79694453.76635325</v>
      </c>
      <c r="N370">
        <v>71787600</v>
      </c>
      <c r="O370">
        <v>15901668.4</v>
      </c>
      <c r="P370">
        <v>209.29030399999999</v>
      </c>
      <c r="Q370">
        <v>1.2808858740879625</v>
      </c>
      <c r="R370">
        <v>43.875357800000003</v>
      </c>
      <c r="S370">
        <v>783.21320900000001</v>
      </c>
      <c r="T370">
        <v>2.02207745E-10</v>
      </c>
      <c r="U370">
        <v>24.422041733522569</v>
      </c>
      <c r="V370">
        <v>100.934</v>
      </c>
      <c r="W370">
        <v>-233.88854133834107</v>
      </c>
      <c r="X370">
        <v>62.791975100000002</v>
      </c>
      <c r="Y370">
        <v>92.266024000000002</v>
      </c>
      <c r="Z370">
        <v>180.98100000000002</v>
      </c>
      <c r="AA370">
        <v>242.96412000000001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1.2808858740879625</v>
      </c>
    </row>
    <row r="371" spans="1:41" x14ac:dyDescent="0.3">
      <c r="A371">
        <v>943.29256515496206</v>
      </c>
      <c r="B371">
        <v>27</v>
      </c>
      <c r="C371">
        <v>19</v>
      </c>
      <c r="D371">
        <v>15</v>
      </c>
      <c r="E371">
        <v>29</v>
      </c>
      <c r="F371">
        <v>5</v>
      </c>
      <c r="G371">
        <v>0.3</v>
      </c>
      <c r="H371">
        <v>15</v>
      </c>
      <c r="I371">
        <v>7</v>
      </c>
      <c r="J371">
        <v>0.3</v>
      </c>
      <c r="K371">
        <v>508869061.19978857</v>
      </c>
      <c r="L371">
        <v>54426300</v>
      </c>
      <c r="M371">
        <v>79694406.135387614</v>
      </c>
      <c r="N371">
        <v>71787600</v>
      </c>
      <c r="O371">
        <v>15899405.6</v>
      </c>
      <c r="P371">
        <v>213.160751</v>
      </c>
      <c r="Q371">
        <v>1.2610655416488301</v>
      </c>
      <c r="R371">
        <v>43.713203</v>
      </c>
      <c r="S371">
        <v>782.05260200000009</v>
      </c>
      <c r="T371">
        <v>4.0111763000000003E-9</v>
      </c>
      <c r="U371">
        <v>22.608381487720042</v>
      </c>
      <c r="V371">
        <v>91.850000000000009</v>
      </c>
      <c r="W371">
        <v>-238.02692416007577</v>
      </c>
      <c r="X371">
        <v>62.807726700000003</v>
      </c>
      <c r="Y371">
        <v>92.448638900000006</v>
      </c>
      <c r="Z371">
        <v>177.97</v>
      </c>
      <c r="AA371">
        <v>236.51693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1.2610655416488301</v>
      </c>
    </row>
    <row r="372" spans="1:41" x14ac:dyDescent="0.3">
      <c r="A372">
        <v>910</v>
      </c>
      <c r="B372">
        <v>39</v>
      </c>
      <c r="C372">
        <v>19</v>
      </c>
      <c r="D372">
        <v>10.139645764649005</v>
      </c>
      <c r="E372">
        <v>29</v>
      </c>
      <c r="F372">
        <v>5</v>
      </c>
      <c r="G372">
        <v>1.2</v>
      </c>
      <c r="H372">
        <v>23</v>
      </c>
      <c r="I372">
        <v>14</v>
      </c>
      <c r="J372">
        <v>1.4</v>
      </c>
      <c r="K372">
        <v>507462214.50181317</v>
      </c>
      <c r="L372">
        <v>54426300</v>
      </c>
      <c r="M372">
        <v>79694446.428398356</v>
      </c>
      <c r="N372">
        <v>71787600</v>
      </c>
      <c r="O372">
        <v>15893606.16</v>
      </c>
      <c r="P372">
        <v>209.852495</v>
      </c>
      <c r="Q372">
        <v>1.2763947973506167</v>
      </c>
      <c r="R372">
        <v>43.902845599999999</v>
      </c>
      <c r="S372">
        <v>782.839879</v>
      </c>
      <c r="T372">
        <v>1.8371487900000001E-10</v>
      </c>
      <c r="U372">
        <v>24.523233318428733</v>
      </c>
      <c r="V372">
        <v>100.934</v>
      </c>
      <c r="W372">
        <v>-235.60234181016534</v>
      </c>
      <c r="X372">
        <v>62.916051199999998</v>
      </c>
      <c r="Y372">
        <v>92.220329599999999</v>
      </c>
      <c r="Z372">
        <v>180.98100000000002</v>
      </c>
      <c r="AA372">
        <v>246.22048100000001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1.2763947973506167</v>
      </c>
    </row>
    <row r="373" spans="1:41" x14ac:dyDescent="0.3">
      <c r="A373">
        <v>936.56440411766653</v>
      </c>
      <c r="B373">
        <v>39</v>
      </c>
      <c r="C373">
        <v>10</v>
      </c>
      <c r="D373">
        <v>1</v>
      </c>
      <c r="E373">
        <v>21</v>
      </c>
      <c r="F373">
        <v>5</v>
      </c>
      <c r="G373">
        <v>1.2</v>
      </c>
      <c r="H373">
        <v>29</v>
      </c>
      <c r="I373">
        <v>14</v>
      </c>
      <c r="J373">
        <v>1.4</v>
      </c>
      <c r="K373">
        <v>508386001.91507196</v>
      </c>
      <c r="L373">
        <v>54426300</v>
      </c>
      <c r="M373">
        <v>79694408.48830764</v>
      </c>
      <c r="N373">
        <v>71787600</v>
      </c>
      <c r="O373">
        <v>15886274.24</v>
      </c>
      <c r="P373">
        <v>208.866018</v>
      </c>
      <c r="Q373">
        <v>1.2854257155783668</v>
      </c>
      <c r="R373">
        <v>43.826107499999999</v>
      </c>
      <c r="S373">
        <v>783.45031499999993</v>
      </c>
      <c r="T373">
        <v>1.74521438E-10</v>
      </c>
      <c r="U373">
        <v>24.136791540344614</v>
      </c>
      <c r="V373">
        <v>80.72</v>
      </c>
      <c r="W373">
        <v>-135.77441446358705</v>
      </c>
      <c r="X373">
        <v>63.137746</v>
      </c>
      <c r="Y373">
        <v>94.954907199999994</v>
      </c>
      <c r="Z373">
        <v>180.98100000000002</v>
      </c>
      <c r="AA373">
        <v>241.767957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1.2854257155783668</v>
      </c>
    </row>
    <row r="374" spans="1:41" x14ac:dyDescent="0.3">
      <c r="A374">
        <v>931.87928352992674</v>
      </c>
      <c r="B374">
        <v>39</v>
      </c>
      <c r="C374">
        <v>10</v>
      </c>
      <c r="D374">
        <v>1</v>
      </c>
      <c r="E374">
        <v>18</v>
      </c>
      <c r="F374">
        <v>5</v>
      </c>
      <c r="G374">
        <v>1.2</v>
      </c>
      <c r="H374">
        <v>16</v>
      </c>
      <c r="I374">
        <v>14</v>
      </c>
      <c r="J374">
        <v>1.4</v>
      </c>
      <c r="K374">
        <v>508215963.81888127</v>
      </c>
      <c r="L374">
        <v>54426300</v>
      </c>
      <c r="M374">
        <v>79694416.487372875</v>
      </c>
      <c r="N374">
        <v>71787600</v>
      </c>
      <c r="O374">
        <v>15884291.68</v>
      </c>
      <c r="P374">
        <v>208.690877</v>
      </c>
      <c r="Q374">
        <v>1.2859513711030495</v>
      </c>
      <c r="R374">
        <v>43.812159100000002</v>
      </c>
      <c r="S374">
        <v>783.42224899999997</v>
      </c>
      <c r="T374">
        <v>1.8581731E-10</v>
      </c>
      <c r="U374">
        <v>24.009607851979872</v>
      </c>
      <c r="V374">
        <v>80.72</v>
      </c>
      <c r="W374">
        <v>-136.3260315514309</v>
      </c>
      <c r="X374">
        <v>63.152484000000001</v>
      </c>
      <c r="Y374">
        <v>94.963273299999997</v>
      </c>
      <c r="Z374">
        <v>177.97</v>
      </c>
      <c r="AA374">
        <v>242.927277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1.2859513711030495</v>
      </c>
    </row>
    <row r="375" spans="1:41" x14ac:dyDescent="0.3">
      <c r="A375">
        <v>931.85799368501853</v>
      </c>
      <c r="B375">
        <v>39</v>
      </c>
      <c r="C375">
        <v>19</v>
      </c>
      <c r="D375">
        <v>11.633449172382177</v>
      </c>
      <c r="E375">
        <v>29</v>
      </c>
      <c r="F375">
        <v>14</v>
      </c>
      <c r="G375">
        <v>1.2</v>
      </c>
      <c r="H375">
        <v>20</v>
      </c>
      <c r="I375">
        <v>14</v>
      </c>
      <c r="J375">
        <v>0.3</v>
      </c>
      <c r="K375">
        <v>508237307.74704611</v>
      </c>
      <c r="L375">
        <v>54426300</v>
      </c>
      <c r="M375">
        <v>79694447.556271479</v>
      </c>
      <c r="N375">
        <v>71787600</v>
      </c>
      <c r="O375">
        <v>15897322.720000001</v>
      </c>
      <c r="P375">
        <v>208.53889899999999</v>
      </c>
      <c r="Q375">
        <v>1.286958021437719</v>
      </c>
      <c r="R375">
        <v>43.942891400000001</v>
      </c>
      <c r="S375">
        <v>784.14195900000004</v>
      </c>
      <c r="T375">
        <v>3.9249241699999997E-21</v>
      </c>
      <c r="U375">
        <v>25.390023885975015</v>
      </c>
      <c r="V375">
        <v>100.934</v>
      </c>
      <c r="W375">
        <v>-231.80663219104423</v>
      </c>
      <c r="X375">
        <v>62.675732000000004</v>
      </c>
      <c r="Y375">
        <v>92.055700900000005</v>
      </c>
      <c r="Z375">
        <v>180.98100000000002</v>
      </c>
      <c r="AA375">
        <v>254.26371599999999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0.15600955439000616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1.4429675758277252</v>
      </c>
    </row>
    <row r="376" spans="1:41" x14ac:dyDescent="0.3">
      <c r="A376">
        <v>910</v>
      </c>
      <c r="B376">
        <v>39</v>
      </c>
      <c r="C376">
        <v>10</v>
      </c>
      <c r="D376">
        <v>15</v>
      </c>
      <c r="E376">
        <v>20</v>
      </c>
      <c r="F376">
        <v>14</v>
      </c>
      <c r="G376">
        <v>1.037988916894641</v>
      </c>
      <c r="H376">
        <v>16</v>
      </c>
      <c r="I376">
        <v>14</v>
      </c>
      <c r="J376">
        <v>1.4</v>
      </c>
      <c r="K376">
        <v>507508391.8604089</v>
      </c>
      <c r="L376">
        <v>54426300</v>
      </c>
      <c r="M376">
        <v>79694446.57693246</v>
      </c>
      <c r="N376">
        <v>71787600</v>
      </c>
      <c r="O376">
        <v>15896242.08</v>
      </c>
      <c r="P376">
        <v>209.93578400000001</v>
      </c>
      <c r="Q376">
        <v>1.2760377266865726</v>
      </c>
      <c r="R376">
        <v>43.860605499999998</v>
      </c>
      <c r="S376">
        <v>783.74980800000003</v>
      </c>
      <c r="T376">
        <v>4.66883608E-20</v>
      </c>
      <c r="U376">
        <v>24.27162594653181</v>
      </c>
      <c r="V376">
        <v>100.934</v>
      </c>
      <c r="W376">
        <v>-238.50705008404427</v>
      </c>
      <c r="X376">
        <v>62.922814299999999</v>
      </c>
      <c r="Y376">
        <v>92.152731200000005</v>
      </c>
      <c r="Z376">
        <v>165.7</v>
      </c>
      <c r="AA376">
        <v>244.122556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1.2760377266865726</v>
      </c>
    </row>
    <row r="377" spans="1:41" x14ac:dyDescent="0.3">
      <c r="A377">
        <v>938.43110387710874</v>
      </c>
      <c r="B377">
        <v>39</v>
      </c>
      <c r="C377">
        <v>10</v>
      </c>
      <c r="D377">
        <v>15</v>
      </c>
      <c r="E377">
        <v>29</v>
      </c>
      <c r="F377">
        <v>14</v>
      </c>
      <c r="G377">
        <v>0.3</v>
      </c>
      <c r="H377">
        <v>10</v>
      </c>
      <c r="I377">
        <v>7</v>
      </c>
      <c r="J377">
        <v>1.4</v>
      </c>
      <c r="K377">
        <v>508641471.28776026</v>
      </c>
      <c r="L377">
        <v>54426300</v>
      </c>
      <c r="M377">
        <v>79694404.875826567</v>
      </c>
      <c r="N377">
        <v>71787600</v>
      </c>
      <c r="O377">
        <v>15893922.08</v>
      </c>
      <c r="P377">
        <v>213.587918</v>
      </c>
      <c r="Q377">
        <v>1.2578201045071584</v>
      </c>
      <c r="R377">
        <v>43.704965100000003</v>
      </c>
      <c r="S377">
        <v>781.56070899999997</v>
      </c>
      <c r="T377">
        <v>1.5650560000000001E-16</v>
      </c>
      <c r="U377">
        <v>22.650238396627998</v>
      </c>
      <c r="V377">
        <v>100.934</v>
      </c>
      <c r="W377">
        <v>-239.3777243368427</v>
      </c>
      <c r="X377">
        <v>62.885046899999999</v>
      </c>
      <c r="Y377">
        <v>92.138129800000002</v>
      </c>
      <c r="Z377">
        <v>177.97</v>
      </c>
      <c r="AA377">
        <v>235.25888699999999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1.2578201045071584</v>
      </c>
    </row>
    <row r="378" spans="1:41" x14ac:dyDescent="0.3">
      <c r="A378">
        <v>929.97023743283978</v>
      </c>
      <c r="B378">
        <v>39</v>
      </c>
      <c r="C378">
        <v>18</v>
      </c>
      <c r="D378">
        <v>14.296616587321013</v>
      </c>
      <c r="E378">
        <v>20</v>
      </c>
      <c r="F378">
        <v>6</v>
      </c>
      <c r="G378">
        <v>1.0642978360167146</v>
      </c>
      <c r="H378">
        <v>10</v>
      </c>
      <c r="I378">
        <v>8</v>
      </c>
      <c r="J378">
        <v>0.68340561047052373</v>
      </c>
      <c r="K378">
        <v>508169135.13060427</v>
      </c>
      <c r="L378">
        <v>54426300</v>
      </c>
      <c r="M378">
        <v>79694436.540299699</v>
      </c>
      <c r="N378">
        <v>71787600</v>
      </c>
      <c r="O378">
        <v>15894676.4</v>
      </c>
      <c r="P378">
        <v>210.18915799999999</v>
      </c>
      <c r="Q378">
        <v>1.2766335432005465</v>
      </c>
      <c r="R378">
        <v>43.880253400000001</v>
      </c>
      <c r="S378">
        <v>783.25712300000009</v>
      </c>
      <c r="T378">
        <v>1.7171720299999998E-11</v>
      </c>
      <c r="U378">
        <v>24.439725881537704</v>
      </c>
      <c r="V378">
        <v>100.934</v>
      </c>
      <c r="W378">
        <v>-234.70718324778156</v>
      </c>
      <c r="X378">
        <v>62.792212900000003</v>
      </c>
      <c r="Y378">
        <v>92.078810500000003</v>
      </c>
      <c r="Z378">
        <v>180.98100000000002</v>
      </c>
      <c r="AA378">
        <v>252.758263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1.2766335432005465</v>
      </c>
    </row>
    <row r="379" spans="1:41" x14ac:dyDescent="0.3">
      <c r="A379">
        <v>932.89483887316783</v>
      </c>
      <c r="B379">
        <v>39</v>
      </c>
      <c r="C379">
        <v>19</v>
      </c>
      <c r="D379">
        <v>1</v>
      </c>
      <c r="E379">
        <v>10</v>
      </c>
      <c r="F379">
        <v>5</v>
      </c>
      <c r="G379">
        <v>1.2</v>
      </c>
      <c r="H379">
        <v>17</v>
      </c>
      <c r="I379">
        <v>7</v>
      </c>
      <c r="J379">
        <v>1.4</v>
      </c>
      <c r="K379">
        <v>508399627.30057847</v>
      </c>
      <c r="L379">
        <v>54426300</v>
      </c>
      <c r="M379">
        <v>79694414.01961112</v>
      </c>
      <c r="N379">
        <v>71787600</v>
      </c>
      <c r="O379">
        <v>15884489.68</v>
      </c>
      <c r="P379">
        <v>209.01532900000001</v>
      </c>
      <c r="Q379">
        <v>1.2845517196990666</v>
      </c>
      <c r="R379">
        <v>43.694870000000002</v>
      </c>
      <c r="S379">
        <v>783.30429300000003</v>
      </c>
      <c r="T379">
        <v>3.1338160999999999E-10</v>
      </c>
      <c r="U379">
        <v>23.583753937529629</v>
      </c>
      <c r="V379">
        <v>80.72</v>
      </c>
      <c r="W379">
        <v>-148.17986575382523</v>
      </c>
      <c r="X379">
        <v>63.143806599999998</v>
      </c>
      <c r="Y379">
        <v>94.9352801</v>
      </c>
      <c r="Z379">
        <v>144.29</v>
      </c>
      <c r="AA379">
        <v>235.06262899999999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1.2845517196990666</v>
      </c>
    </row>
    <row r="380" spans="1:41" x14ac:dyDescent="0.3">
      <c r="A380">
        <v>910</v>
      </c>
      <c r="B380">
        <v>39</v>
      </c>
      <c r="C380">
        <v>10</v>
      </c>
      <c r="D380">
        <v>15</v>
      </c>
      <c r="E380">
        <v>22</v>
      </c>
      <c r="F380">
        <v>5</v>
      </c>
      <c r="G380">
        <v>1.2</v>
      </c>
      <c r="H380">
        <v>29</v>
      </c>
      <c r="I380">
        <v>7</v>
      </c>
      <c r="J380">
        <v>1.4</v>
      </c>
      <c r="K380">
        <v>507485766.54656756</v>
      </c>
      <c r="L380">
        <v>54426300</v>
      </c>
      <c r="M380">
        <v>79694447.611946091</v>
      </c>
      <c r="N380">
        <v>71787600</v>
      </c>
      <c r="O380">
        <v>15896405.76</v>
      </c>
      <c r="P380">
        <v>209.871972</v>
      </c>
      <c r="Q380">
        <v>1.2763525243632772</v>
      </c>
      <c r="R380">
        <v>43.888926099999999</v>
      </c>
      <c r="S380">
        <v>782.85756900000001</v>
      </c>
      <c r="T380">
        <v>1.9411895999999999E-10</v>
      </c>
      <c r="U380">
        <v>24.381429365749824</v>
      </c>
      <c r="V380">
        <v>100.934</v>
      </c>
      <c r="W380">
        <v>-235.53272449236005</v>
      </c>
      <c r="X380">
        <v>62.908048100000002</v>
      </c>
      <c r="Y380">
        <v>92.144260700000004</v>
      </c>
      <c r="Z380">
        <v>180.98100000000002</v>
      </c>
      <c r="AA380">
        <v>244.590576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1.2763525243632772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C588-0BE8-4857-BE45-46E44F9D9113}">
  <dimension ref="A1:AT28"/>
  <sheetViews>
    <sheetView workbookViewId="0">
      <selection activeCell="G14" sqref="G14"/>
    </sheetView>
  </sheetViews>
  <sheetFormatPr defaultRowHeight="16.5" x14ac:dyDescent="0.3"/>
  <sheetData>
    <row r="1" spans="1:46" x14ac:dyDescent="0.3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 x14ac:dyDescent="0.3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426639149.53842264</v>
      </c>
      <c r="R2">
        <v>179084000</v>
      </c>
      <c r="S2">
        <v>80017913.179689899</v>
      </c>
      <c r="T2">
        <v>78501500</v>
      </c>
      <c r="U2">
        <v>15696139.279999999</v>
      </c>
      <c r="V2">
        <v>231.48805100000001</v>
      </c>
      <c r="W2">
        <v>3.1691985101198159</v>
      </c>
      <c r="X2">
        <v>43.488963599999998</v>
      </c>
      <c r="Y2">
        <v>790.53206599999999</v>
      </c>
      <c r="Z2">
        <v>5.5439050299999999E-14</v>
      </c>
      <c r="AA2">
        <v>24.966929981553548</v>
      </c>
      <c r="AB2">
        <v>80.72</v>
      </c>
      <c r="AC2">
        <v>-198.86908768680155</v>
      </c>
      <c r="AD2">
        <v>65.786515899999998</v>
      </c>
      <c r="AE2">
        <v>95.642853099999996</v>
      </c>
      <c r="AF2">
        <v>192.29999999999998</v>
      </c>
      <c r="AG2">
        <v>268.414084</v>
      </c>
      <c r="AH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3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426379302.29943812</v>
      </c>
      <c r="R3">
        <v>179084000</v>
      </c>
      <c r="S3">
        <v>80017649.405911788</v>
      </c>
      <c r="T3">
        <v>78501500</v>
      </c>
      <c r="U3">
        <v>15488051.84</v>
      </c>
      <c r="V3">
        <v>225.104153</v>
      </c>
      <c r="W3">
        <v>3.2582925633993174</v>
      </c>
      <c r="X3">
        <v>44.211736100000003</v>
      </c>
      <c r="Y3">
        <v>806.82324600000004</v>
      </c>
      <c r="Z3">
        <v>3.4882026E-14</v>
      </c>
      <c r="AA3">
        <v>22.423810045428255</v>
      </c>
      <c r="AB3">
        <v>91.850000000000009</v>
      </c>
      <c r="AC3">
        <v>-541.56537527740909</v>
      </c>
      <c r="AD3">
        <v>69.376125700000003</v>
      </c>
      <c r="AE3">
        <v>96.835669999999993</v>
      </c>
      <c r="AF3">
        <v>177.97</v>
      </c>
      <c r="AG3">
        <v>255.72363200000001</v>
      </c>
      <c r="AH3">
        <v>100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3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426359773.3844232</v>
      </c>
      <c r="R4">
        <v>179084000</v>
      </c>
      <c r="S4">
        <v>80017649.405911788</v>
      </c>
      <c r="T4">
        <v>78501500</v>
      </c>
      <c r="U4">
        <v>15487456.399999999</v>
      </c>
      <c r="V4">
        <v>234.60297800000001</v>
      </c>
      <c r="W4">
        <v>3.1263112542679914</v>
      </c>
      <c r="X4">
        <v>43.383086800000001</v>
      </c>
      <c r="Y4">
        <v>796.91842599999995</v>
      </c>
      <c r="Z4">
        <v>3.4108880199999999E-14</v>
      </c>
      <c r="AA4">
        <v>24.260375265403944</v>
      </c>
      <c r="AB4">
        <v>91.850000000000009</v>
      </c>
      <c r="AC4">
        <v>-224.34226307756427</v>
      </c>
      <c r="AD4">
        <v>69.315022900000002</v>
      </c>
      <c r="AE4">
        <v>96.547157799999994</v>
      </c>
      <c r="AF4">
        <v>192.29999999999998</v>
      </c>
      <c r="AG4">
        <v>264.71314699999999</v>
      </c>
      <c r="AH4">
        <v>100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3">
      <c r="A5">
        <v>0</v>
      </c>
      <c r="B5">
        <v>0</v>
      </c>
      <c r="C5">
        <v>0</v>
      </c>
      <c r="D5">
        <v>2.14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3.5</v>
      </c>
      <c r="L5">
        <v>0</v>
      </c>
      <c r="M5">
        <v>0</v>
      </c>
      <c r="N5">
        <v>1.5</v>
      </c>
      <c r="O5">
        <v>0</v>
      </c>
      <c r="P5">
        <v>0</v>
      </c>
      <c r="Q5">
        <v>426318327.88910532</v>
      </c>
      <c r="R5">
        <v>179084000</v>
      </c>
      <c r="S5">
        <v>80017649.405911788</v>
      </c>
      <c r="T5">
        <v>78501500</v>
      </c>
      <c r="U5">
        <v>15486618.640000001</v>
      </c>
      <c r="V5">
        <v>230.664725</v>
      </c>
      <c r="W5">
        <v>3.1795663377629118</v>
      </c>
      <c r="X5">
        <v>43.5192616</v>
      </c>
      <c r="Y5">
        <v>790.92031500000007</v>
      </c>
      <c r="Z5">
        <v>5.5288059300000003E-14</v>
      </c>
      <c r="AA5">
        <v>25.060456523407627</v>
      </c>
      <c r="AB5">
        <v>80.72</v>
      </c>
      <c r="AC5">
        <v>-198.65390578751118</v>
      </c>
      <c r="AD5">
        <v>65.838831400000004</v>
      </c>
      <c r="AE5">
        <v>95.628353799999999</v>
      </c>
      <c r="AF5">
        <v>192.29999999999998</v>
      </c>
      <c r="AG5">
        <v>269.88744700000001</v>
      </c>
      <c r="AH5">
        <v>100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2.4182609363050743E-2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3">
      <c r="A6">
        <v>2.2000000000000002</v>
      </c>
      <c r="B6">
        <v>0</v>
      </c>
      <c r="C6">
        <v>0</v>
      </c>
      <c r="D6">
        <v>0</v>
      </c>
      <c r="E6">
        <v>0</v>
      </c>
      <c r="F6">
        <v>2.1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426693187.38226044</v>
      </c>
      <c r="R6">
        <v>179084000</v>
      </c>
      <c r="S6">
        <v>80017907.21243982</v>
      </c>
      <c r="T6">
        <v>78501500</v>
      </c>
      <c r="U6">
        <v>15692078.640000001</v>
      </c>
      <c r="V6">
        <v>233.13477</v>
      </c>
      <c r="W6">
        <v>3.1469706136364715</v>
      </c>
      <c r="X6">
        <v>43.578105000000001</v>
      </c>
      <c r="Y6">
        <v>789.48317999999995</v>
      </c>
      <c r="Z6">
        <v>7.60500462E-14</v>
      </c>
      <c r="AA6">
        <v>24.866136729400896</v>
      </c>
      <c r="AB6">
        <v>80.72</v>
      </c>
      <c r="AC6">
        <v>-220.33226644120532</v>
      </c>
      <c r="AD6">
        <v>64.615283199999993</v>
      </c>
      <c r="AE6">
        <v>89.145153399999998</v>
      </c>
      <c r="AF6">
        <v>192.29999999999998</v>
      </c>
      <c r="AG6">
        <v>263.30490500000002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3">
      <c r="A7">
        <v>2.2000000000000002</v>
      </c>
      <c r="B7">
        <v>0</v>
      </c>
      <c r="C7">
        <v>0</v>
      </c>
      <c r="D7">
        <v>0</v>
      </c>
      <c r="E7">
        <v>1.8</v>
      </c>
      <c r="F7">
        <v>0</v>
      </c>
      <c r="G7">
        <v>0</v>
      </c>
      <c r="H7">
        <v>2.06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426594938.09870517</v>
      </c>
      <c r="R7">
        <v>179084000</v>
      </c>
      <c r="S7">
        <v>80017924.213535085</v>
      </c>
      <c r="T7">
        <v>78501500</v>
      </c>
      <c r="U7">
        <v>15701257.68</v>
      </c>
      <c r="V7">
        <v>229.95734400000001</v>
      </c>
      <c r="W7">
        <v>3.190163707828205</v>
      </c>
      <c r="X7">
        <v>43.390365600000003</v>
      </c>
      <c r="Y7">
        <v>791.31493399999999</v>
      </c>
      <c r="Z7">
        <v>4.11348065E-14</v>
      </c>
      <c r="AA7">
        <v>24.949461750718942</v>
      </c>
      <c r="AB7">
        <v>91.850000000000009</v>
      </c>
      <c r="AC7">
        <v>-187.21606702250205</v>
      </c>
      <c r="AD7">
        <v>69.928237300000006</v>
      </c>
      <c r="AE7">
        <v>101.462568</v>
      </c>
      <c r="AF7">
        <v>192.29999999999998</v>
      </c>
      <c r="AG7">
        <v>277.55926599999998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3">
      <c r="A8">
        <v>2.2000000000000002</v>
      </c>
      <c r="B8">
        <v>0</v>
      </c>
      <c r="C8">
        <v>0</v>
      </c>
      <c r="D8">
        <v>0</v>
      </c>
      <c r="E8">
        <v>1.8</v>
      </c>
      <c r="F8">
        <v>0</v>
      </c>
      <c r="G8">
        <v>0</v>
      </c>
      <c r="H8">
        <v>0</v>
      </c>
      <c r="I8">
        <v>1.77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426570047.52906191</v>
      </c>
      <c r="R8">
        <v>179084000</v>
      </c>
      <c r="S8">
        <v>80017936.893787399</v>
      </c>
      <c r="T8">
        <v>78501500</v>
      </c>
      <c r="U8">
        <v>15707867.439999999</v>
      </c>
      <c r="V8">
        <v>228.54925900000001</v>
      </c>
      <c r="W8">
        <v>3.209744276994722</v>
      </c>
      <c r="X8">
        <v>43.371341899999997</v>
      </c>
      <c r="Y8">
        <v>798.69335799999999</v>
      </c>
      <c r="Z8">
        <v>9.6951075699999995E-17</v>
      </c>
      <c r="AA8">
        <v>24.695877429995701</v>
      </c>
      <c r="AB8">
        <v>91.850000000000009</v>
      </c>
      <c r="AC8">
        <v>-141.79482699497729</v>
      </c>
      <c r="AD8">
        <v>70.872210499999994</v>
      </c>
      <c r="AE8">
        <v>113.60046</v>
      </c>
      <c r="AF8">
        <v>192.29999999999998</v>
      </c>
      <c r="AG8">
        <v>279.40152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0.12460149999999919</v>
      </c>
      <c r="AR8">
        <v>0</v>
      </c>
      <c r="AS8">
        <v>0</v>
      </c>
      <c r="AT8">
        <v>0</v>
      </c>
    </row>
    <row r="9" spans="1:46" x14ac:dyDescent="0.3">
      <c r="A9">
        <v>2.2000000000000002</v>
      </c>
      <c r="B9">
        <v>0</v>
      </c>
      <c r="C9">
        <v>0</v>
      </c>
      <c r="D9">
        <v>0</v>
      </c>
      <c r="E9">
        <v>1.8</v>
      </c>
      <c r="F9">
        <v>0</v>
      </c>
      <c r="G9">
        <v>0</v>
      </c>
      <c r="H9">
        <v>0</v>
      </c>
      <c r="I9">
        <v>0</v>
      </c>
      <c r="J9">
        <v>2.06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426591418.80689621</v>
      </c>
      <c r="R9">
        <v>179084000</v>
      </c>
      <c r="S9">
        <v>80017926.31704928</v>
      </c>
      <c r="T9">
        <v>78501500</v>
      </c>
      <c r="U9">
        <v>15706718.16</v>
      </c>
      <c r="V9">
        <v>224.01158599999999</v>
      </c>
      <c r="W9">
        <v>3.2748269729588464</v>
      </c>
      <c r="X9">
        <v>43.558109999999999</v>
      </c>
      <c r="Y9">
        <v>806.72521799999993</v>
      </c>
      <c r="Z9">
        <v>4.5252308999999998E-17</v>
      </c>
      <c r="AA9">
        <v>24.726295296150361</v>
      </c>
      <c r="AB9">
        <v>100.934</v>
      </c>
      <c r="AC9">
        <v>-310.24464514856408</v>
      </c>
      <c r="AD9">
        <v>72.232491100000004</v>
      </c>
      <c r="AE9">
        <v>113.63753199999999</v>
      </c>
      <c r="AF9">
        <v>192.29999999999998</v>
      </c>
      <c r="AG9">
        <v>277.82807500000001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0.31892730000000064</v>
      </c>
      <c r="AR9">
        <v>0</v>
      </c>
      <c r="AS9">
        <v>0</v>
      </c>
      <c r="AT9">
        <v>0</v>
      </c>
    </row>
    <row r="10" spans="1:46" x14ac:dyDescent="0.3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2.4</v>
      </c>
      <c r="H10">
        <v>0</v>
      </c>
      <c r="I10">
        <v>0</v>
      </c>
      <c r="J10">
        <v>0</v>
      </c>
      <c r="K10">
        <v>0</v>
      </c>
      <c r="L10">
        <v>3.44</v>
      </c>
      <c r="M10">
        <v>0</v>
      </c>
      <c r="N10">
        <v>1.5</v>
      </c>
      <c r="O10">
        <v>0</v>
      </c>
      <c r="P10">
        <v>0</v>
      </c>
      <c r="Q10">
        <v>426636061.52031422</v>
      </c>
      <c r="R10">
        <v>179084000</v>
      </c>
      <c r="S10">
        <v>80017916.889961064</v>
      </c>
      <c r="T10">
        <v>78501500</v>
      </c>
      <c r="U10">
        <v>15697928.720000001</v>
      </c>
      <c r="V10">
        <v>227.95333199999999</v>
      </c>
      <c r="W10">
        <v>3.2183319435875819</v>
      </c>
      <c r="X10">
        <v>44.489701699999998</v>
      </c>
      <c r="Y10">
        <v>803.74823700000002</v>
      </c>
      <c r="Z10">
        <v>5.0819743499999997E-14</v>
      </c>
      <c r="AA10">
        <v>9.9604120707013006</v>
      </c>
      <c r="AB10">
        <v>80.72</v>
      </c>
      <c r="AC10">
        <v>-226.64264795733826</v>
      </c>
      <c r="AD10">
        <v>66.134989599999997</v>
      </c>
      <c r="AE10">
        <v>95.6944278</v>
      </c>
      <c r="AF10">
        <v>192.29999999999998</v>
      </c>
      <c r="AG10">
        <v>276.621443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3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2.4</v>
      </c>
      <c r="H11">
        <v>0</v>
      </c>
      <c r="I11">
        <v>0</v>
      </c>
      <c r="J11">
        <v>0</v>
      </c>
      <c r="K11">
        <v>0</v>
      </c>
      <c r="L11">
        <v>0</v>
      </c>
      <c r="M11">
        <v>2.69</v>
      </c>
      <c r="N11">
        <v>1.5</v>
      </c>
      <c r="O11">
        <v>0</v>
      </c>
      <c r="P11">
        <v>0</v>
      </c>
      <c r="Q11">
        <v>426598906.36118895</v>
      </c>
      <c r="R11">
        <v>179084000</v>
      </c>
      <c r="S11">
        <v>80017947.196672186</v>
      </c>
      <c r="T11">
        <v>78501500</v>
      </c>
      <c r="U11">
        <v>15707423.280000001</v>
      </c>
      <c r="V11">
        <v>233.14595399999999</v>
      </c>
      <c r="W11">
        <v>3.1465451339236412</v>
      </c>
      <c r="X11">
        <v>43.942931600000001</v>
      </c>
      <c r="Y11">
        <v>801.92103099999997</v>
      </c>
      <c r="Z11">
        <v>5.5494460399999997E-14</v>
      </c>
      <c r="AA11">
        <v>9.8408526068299711</v>
      </c>
      <c r="AB11">
        <v>80.72</v>
      </c>
      <c r="AC11">
        <v>-194.67507755433951</v>
      </c>
      <c r="AD11">
        <v>65.275688700000003</v>
      </c>
      <c r="AE11">
        <v>94.966750899999994</v>
      </c>
      <c r="AF11">
        <v>192.29999999999998</v>
      </c>
      <c r="AG11">
        <v>280.98481099999998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3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2.4</v>
      </c>
      <c r="H12">
        <v>0</v>
      </c>
      <c r="I12">
        <v>0</v>
      </c>
      <c r="J12">
        <v>0</v>
      </c>
      <c r="K12">
        <v>3.5</v>
      </c>
      <c r="L12">
        <v>0</v>
      </c>
      <c r="M12">
        <v>0</v>
      </c>
      <c r="N12">
        <v>0</v>
      </c>
      <c r="O12">
        <v>1.24</v>
      </c>
      <c r="P12">
        <v>0</v>
      </c>
      <c r="Q12">
        <v>426630259.37646812</v>
      </c>
      <c r="R12">
        <v>179084000</v>
      </c>
      <c r="S12">
        <v>80017920.454574302</v>
      </c>
      <c r="T12">
        <v>78501500</v>
      </c>
      <c r="U12">
        <v>15697806.880000001</v>
      </c>
      <c r="V12">
        <v>235.18064100000001</v>
      </c>
      <c r="W12">
        <v>3.119413009881828</v>
      </c>
      <c r="X12">
        <v>43.104197300000003</v>
      </c>
      <c r="Y12">
        <v>783.2977719999999</v>
      </c>
      <c r="Z12">
        <v>6.0246855300000003E-14</v>
      </c>
      <c r="AA12">
        <v>18.672226713339601</v>
      </c>
      <c r="AB12">
        <v>80.72</v>
      </c>
      <c r="AC12">
        <v>-193.69926985480453</v>
      </c>
      <c r="AD12">
        <v>65.479589300000001</v>
      </c>
      <c r="AE12">
        <v>95.423422700000003</v>
      </c>
      <c r="AF12">
        <v>203.285</v>
      </c>
      <c r="AG12">
        <v>277.86381799999998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3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3.5</v>
      </c>
      <c r="L13">
        <v>0</v>
      </c>
      <c r="M13">
        <v>0</v>
      </c>
      <c r="N13">
        <v>0</v>
      </c>
      <c r="O13">
        <v>0</v>
      </c>
      <c r="P13">
        <v>1.3</v>
      </c>
      <c r="Q13">
        <v>426633025.32070071</v>
      </c>
      <c r="R13">
        <v>179084000</v>
      </c>
      <c r="S13">
        <v>80017918.815973923</v>
      </c>
      <c r="T13">
        <v>78501500</v>
      </c>
      <c r="U13">
        <v>15697522.559999999</v>
      </c>
      <c r="V13">
        <v>234.99018000000001</v>
      </c>
      <c r="W13">
        <v>3.1219493039375577</v>
      </c>
      <c r="X13">
        <v>43.115361100000001</v>
      </c>
      <c r="Y13">
        <v>785.241803</v>
      </c>
      <c r="Z13">
        <v>5.9039835100000001E-14</v>
      </c>
      <c r="AA13">
        <v>18.5406749593248</v>
      </c>
      <c r="AB13">
        <v>80.72</v>
      </c>
      <c r="AC13">
        <v>-198.6954347156375</v>
      </c>
      <c r="AD13">
        <v>65.639387999999997</v>
      </c>
      <c r="AE13">
        <v>95.512195199999994</v>
      </c>
      <c r="AF13">
        <v>203.285</v>
      </c>
      <c r="AG13">
        <v>277.01153299999999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3">
      <c r="A14" t="s">
        <v>416</v>
      </c>
      <c r="F14">
        <v>-86</v>
      </c>
    </row>
    <row r="16" spans="1:46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07E9-25B4-4287-BB03-29BEDD597CAF}">
  <dimension ref="A1:AN307"/>
  <sheetViews>
    <sheetView topLeftCell="K190" workbookViewId="0">
      <selection activeCell="L195" sqref="L195"/>
    </sheetView>
  </sheetViews>
  <sheetFormatPr defaultRowHeight="16.5" x14ac:dyDescent="0.3"/>
  <sheetData>
    <row r="1" spans="1:40" x14ac:dyDescent="0.3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155</v>
      </c>
      <c r="P1" t="s">
        <v>208</v>
      </c>
      <c r="Q1" t="s">
        <v>185</v>
      </c>
      <c r="R1" t="s">
        <v>186</v>
      </c>
      <c r="S1" t="s">
        <v>187</v>
      </c>
      <c r="T1" t="s">
        <v>188</v>
      </c>
      <c r="U1" t="s">
        <v>209</v>
      </c>
      <c r="V1" t="s">
        <v>210</v>
      </c>
      <c r="W1" t="s">
        <v>355</v>
      </c>
      <c r="X1" t="s">
        <v>356</v>
      </c>
      <c r="Y1" t="s">
        <v>357</v>
      </c>
      <c r="Z1" t="s">
        <v>358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359</v>
      </c>
      <c r="AK1" t="s">
        <v>360</v>
      </c>
      <c r="AL1" t="s">
        <v>361</v>
      </c>
      <c r="AM1" t="s">
        <v>362</v>
      </c>
      <c r="AN1" t="s">
        <v>389</v>
      </c>
    </row>
    <row r="2" spans="1:40" x14ac:dyDescent="0.3">
      <c r="A2">
        <v>30</v>
      </c>
      <c r="B2">
        <v>15</v>
      </c>
      <c r="C2">
        <v>3.6</v>
      </c>
      <c r="D2">
        <v>20</v>
      </c>
      <c r="E2">
        <v>10</v>
      </c>
      <c r="F2">
        <v>0.43</v>
      </c>
      <c r="G2">
        <v>20</v>
      </c>
      <c r="H2">
        <v>10</v>
      </c>
      <c r="I2">
        <v>0.72</v>
      </c>
      <c r="J2">
        <v>327193070.3792609</v>
      </c>
      <c r="K2">
        <v>165430000</v>
      </c>
      <c r="L2">
        <v>79925721.491231471</v>
      </c>
      <c r="M2">
        <v>77595700</v>
      </c>
      <c r="N2">
        <v>15759843.52</v>
      </c>
      <c r="O2">
        <v>230.15656999999999</v>
      </c>
      <c r="P2">
        <v>2.6497058463272514</v>
      </c>
      <c r="Q2">
        <v>43.94435</v>
      </c>
      <c r="R2">
        <v>801.48125900000002</v>
      </c>
      <c r="S2">
        <v>4.2540619600000001E-13</v>
      </c>
      <c r="T2">
        <v>21.871822717197833</v>
      </c>
      <c r="U2">
        <v>100.934</v>
      </c>
      <c r="V2">
        <v>-621.36517754628585</v>
      </c>
      <c r="W2">
        <v>69.225905100000006</v>
      </c>
      <c r="X2">
        <v>94.879776899999996</v>
      </c>
      <c r="Y2">
        <v>165.7</v>
      </c>
      <c r="Z2">
        <v>253.70994400000001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2.6497058463272514</v>
      </c>
    </row>
    <row r="3" spans="1:40" x14ac:dyDescent="0.3">
      <c r="A3">
        <v>27</v>
      </c>
      <c r="B3">
        <v>18</v>
      </c>
      <c r="C3">
        <v>1.7678789314498811</v>
      </c>
      <c r="D3">
        <v>22</v>
      </c>
      <c r="E3">
        <v>6</v>
      </c>
      <c r="F3">
        <v>0.33102022483810539</v>
      </c>
      <c r="G3">
        <v>20</v>
      </c>
      <c r="H3">
        <v>13</v>
      </c>
      <c r="I3">
        <v>1.1778380364374843</v>
      </c>
      <c r="J3">
        <v>326826125.37426382</v>
      </c>
      <c r="K3">
        <v>165409000</v>
      </c>
      <c r="L3">
        <v>79924520.214207903</v>
      </c>
      <c r="M3">
        <v>77562700</v>
      </c>
      <c r="N3">
        <v>15759543.52</v>
      </c>
      <c r="O3">
        <v>230.69332299999999</v>
      </c>
      <c r="P3">
        <v>2.6426906109031476</v>
      </c>
      <c r="Q3">
        <v>43.8115576</v>
      </c>
      <c r="R3">
        <v>800.72830800000008</v>
      </c>
      <c r="S3">
        <v>6.0261362300000004E-9</v>
      </c>
      <c r="T3">
        <v>21.817110334858416</v>
      </c>
      <c r="U3">
        <v>80.72</v>
      </c>
      <c r="V3">
        <v>-557.53606373955836</v>
      </c>
      <c r="W3">
        <v>69.363552799999994</v>
      </c>
      <c r="X3">
        <v>95.395388100000005</v>
      </c>
      <c r="Y3">
        <v>177.97</v>
      </c>
      <c r="Z3">
        <v>254.38641899999999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2.6426906109031476</v>
      </c>
    </row>
    <row r="4" spans="1:40" x14ac:dyDescent="0.3">
      <c r="A4">
        <v>31</v>
      </c>
      <c r="B4">
        <v>19</v>
      </c>
      <c r="C4">
        <v>4.7924542982452083</v>
      </c>
      <c r="D4">
        <v>26</v>
      </c>
      <c r="E4">
        <v>11</v>
      </c>
      <c r="F4">
        <v>0.72912611945283445</v>
      </c>
      <c r="G4">
        <v>18</v>
      </c>
      <c r="H4">
        <v>13</v>
      </c>
      <c r="I4">
        <v>1.0968122734805883</v>
      </c>
      <c r="J4">
        <v>327941426.54023737</v>
      </c>
      <c r="K4">
        <v>165467000</v>
      </c>
      <c r="L4">
        <v>79924720.441015169</v>
      </c>
      <c r="M4">
        <v>78123200</v>
      </c>
      <c r="N4">
        <v>15759576.639999999</v>
      </c>
      <c r="O4">
        <v>227.44522799999999</v>
      </c>
      <c r="P4">
        <v>2.6740064225387372</v>
      </c>
      <c r="Q4">
        <v>44.172465299999999</v>
      </c>
      <c r="R4">
        <v>804.08928800000001</v>
      </c>
      <c r="S4">
        <v>4.1883155899999997E-14</v>
      </c>
      <c r="T4">
        <v>22.311907357060658</v>
      </c>
      <c r="U4">
        <v>100.934</v>
      </c>
      <c r="V4">
        <v>-654.28534217515778</v>
      </c>
      <c r="W4">
        <v>69.221020800000005</v>
      </c>
      <c r="X4">
        <v>94.856881099999995</v>
      </c>
      <c r="Y4">
        <v>177.97</v>
      </c>
      <c r="Z4">
        <v>253.23888600000001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2.6740064225387372</v>
      </c>
    </row>
    <row r="5" spans="1:40" x14ac:dyDescent="0.3">
      <c r="A5">
        <v>37</v>
      </c>
      <c r="B5">
        <v>13</v>
      </c>
      <c r="C5">
        <v>2.9990756964792871</v>
      </c>
      <c r="D5">
        <v>16</v>
      </c>
      <c r="E5">
        <v>8</v>
      </c>
      <c r="F5">
        <v>1.1242948731868205</v>
      </c>
      <c r="G5">
        <v>19</v>
      </c>
      <c r="H5">
        <v>13</v>
      </c>
      <c r="I5">
        <v>0.6330120753238494</v>
      </c>
      <c r="J5">
        <v>327401680.45085943</v>
      </c>
      <c r="K5">
        <v>165449000</v>
      </c>
      <c r="L5">
        <v>79925621.412958309</v>
      </c>
      <c r="M5">
        <v>78265500</v>
      </c>
      <c r="N5">
        <v>15759792.640000001</v>
      </c>
      <c r="O5">
        <v>226.75964999999999</v>
      </c>
      <c r="P5">
        <v>2.6773545128105281</v>
      </c>
      <c r="Q5">
        <v>44.212355899999999</v>
      </c>
      <c r="R5">
        <v>804.67355199999997</v>
      </c>
      <c r="S5">
        <v>3.1673568900000001E-13</v>
      </c>
      <c r="T5">
        <v>22.406490867630154</v>
      </c>
      <c r="U5">
        <v>100.934</v>
      </c>
      <c r="V5">
        <v>-664.59764366099841</v>
      </c>
      <c r="W5">
        <v>69.229189300000002</v>
      </c>
      <c r="X5">
        <v>94.889840000000007</v>
      </c>
      <c r="Y5">
        <v>165.7</v>
      </c>
      <c r="Z5">
        <v>253.07691399999999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2.6773545128105281</v>
      </c>
    </row>
    <row r="6" spans="1:40" x14ac:dyDescent="0.3">
      <c r="A6">
        <v>33</v>
      </c>
      <c r="B6">
        <v>12</v>
      </c>
      <c r="C6">
        <v>7.5886839203190899</v>
      </c>
      <c r="D6">
        <v>25</v>
      </c>
      <c r="E6">
        <v>13</v>
      </c>
      <c r="F6">
        <v>0.86855122678069763</v>
      </c>
      <c r="G6">
        <v>19</v>
      </c>
      <c r="H6">
        <v>13</v>
      </c>
      <c r="I6">
        <v>0.96057899173616712</v>
      </c>
      <c r="J6">
        <v>328445822.02407104</v>
      </c>
      <c r="K6">
        <v>165490000</v>
      </c>
      <c r="L6">
        <v>79924720.444302231</v>
      </c>
      <c r="M6">
        <v>78279000</v>
      </c>
      <c r="N6">
        <v>15759586.560000001</v>
      </c>
      <c r="O6">
        <v>226.61065199999999</v>
      </c>
      <c r="P6">
        <v>2.682778510668463</v>
      </c>
      <c r="Q6">
        <v>44.234029100000001</v>
      </c>
      <c r="R6">
        <v>804.904403</v>
      </c>
      <c r="S6">
        <v>6.6895233899999999E-19</v>
      </c>
      <c r="T6">
        <v>22.455516498947322</v>
      </c>
      <c r="U6">
        <v>100.934</v>
      </c>
      <c r="V6">
        <v>-667.4428807743559</v>
      </c>
      <c r="W6">
        <v>69.220961599999995</v>
      </c>
      <c r="X6">
        <v>94.854626800000005</v>
      </c>
      <c r="Y6">
        <v>177.97</v>
      </c>
      <c r="Z6">
        <v>252.831391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2.682778510668463</v>
      </c>
    </row>
    <row r="7" spans="1:40" x14ac:dyDescent="0.3">
      <c r="A7">
        <v>28</v>
      </c>
      <c r="B7">
        <v>11</v>
      </c>
      <c r="C7">
        <v>8.7349074597503495</v>
      </c>
      <c r="D7">
        <v>26</v>
      </c>
      <c r="E7">
        <v>13</v>
      </c>
      <c r="F7">
        <v>0.75414594634324095</v>
      </c>
      <c r="G7">
        <v>16</v>
      </c>
      <c r="H7">
        <v>12</v>
      </c>
      <c r="I7">
        <v>1.0533796435481055</v>
      </c>
      <c r="J7">
        <v>328523476.21999496</v>
      </c>
      <c r="K7">
        <v>165472000</v>
      </c>
      <c r="L7">
        <v>79925321.004540861</v>
      </c>
      <c r="M7">
        <v>78203600</v>
      </c>
      <c r="N7">
        <v>15759677.359999999</v>
      </c>
      <c r="O7">
        <v>227.05824100000001</v>
      </c>
      <c r="P7">
        <v>2.6788381866024396</v>
      </c>
      <c r="Q7">
        <v>44.195915300000003</v>
      </c>
      <c r="R7">
        <v>804.545884</v>
      </c>
      <c r="S7">
        <v>2.2241191200000001E-18</v>
      </c>
      <c r="T7">
        <v>22.387462331707439</v>
      </c>
      <c r="U7">
        <v>100.934</v>
      </c>
      <c r="V7">
        <v>-659.44323368331686</v>
      </c>
      <c r="W7">
        <v>69.222907300000003</v>
      </c>
      <c r="X7">
        <v>94.8660742</v>
      </c>
      <c r="Y7">
        <v>177.97</v>
      </c>
      <c r="Z7">
        <v>253.54835299999999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2.6788381866024396</v>
      </c>
    </row>
    <row r="8" spans="1:40" x14ac:dyDescent="0.3">
      <c r="A8">
        <v>27</v>
      </c>
      <c r="B8">
        <v>10</v>
      </c>
      <c r="C8">
        <v>1</v>
      </c>
      <c r="D8">
        <v>10</v>
      </c>
      <c r="E8">
        <v>5</v>
      </c>
      <c r="F8">
        <v>0.3</v>
      </c>
      <c r="G8">
        <v>29</v>
      </c>
      <c r="H8">
        <v>14</v>
      </c>
      <c r="I8">
        <v>1.4</v>
      </c>
      <c r="J8">
        <v>326602218.92979205</v>
      </c>
      <c r="K8">
        <v>165407000</v>
      </c>
      <c r="L8">
        <v>79924420.028899789</v>
      </c>
      <c r="M8">
        <v>77882800</v>
      </c>
      <c r="N8">
        <v>15759504.639999999</v>
      </c>
      <c r="O8">
        <v>229.31465499999999</v>
      </c>
      <c r="P8">
        <v>2.6517154760332988</v>
      </c>
      <c r="Q8">
        <v>43.712630799999999</v>
      </c>
      <c r="R8">
        <v>802.43618200000003</v>
      </c>
      <c r="S8">
        <v>5.60075047E-8</v>
      </c>
      <c r="T8">
        <v>21.475174138771607</v>
      </c>
      <c r="U8">
        <v>91.850000000000009</v>
      </c>
      <c r="V8">
        <v>-481.55194138560432</v>
      </c>
      <c r="W8">
        <v>69.595135200000001</v>
      </c>
      <c r="X8">
        <v>97.136021</v>
      </c>
      <c r="Y8">
        <v>144.29</v>
      </c>
      <c r="Z8">
        <v>254.35258099999999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2.6517154760332988</v>
      </c>
    </row>
    <row r="9" spans="1:40" x14ac:dyDescent="0.3">
      <c r="A9">
        <v>27</v>
      </c>
      <c r="B9">
        <v>10</v>
      </c>
      <c r="C9">
        <v>1</v>
      </c>
      <c r="D9">
        <v>29</v>
      </c>
      <c r="E9">
        <v>5</v>
      </c>
      <c r="F9">
        <v>0.3</v>
      </c>
      <c r="G9">
        <v>29</v>
      </c>
      <c r="H9">
        <v>14</v>
      </c>
      <c r="I9">
        <v>0.3</v>
      </c>
      <c r="J9">
        <v>326958503.16072303</v>
      </c>
      <c r="K9">
        <v>165460000</v>
      </c>
      <c r="L9">
        <v>79941738.931354925</v>
      </c>
      <c r="M9">
        <v>77874000</v>
      </c>
      <c r="N9">
        <v>15763898.560000001</v>
      </c>
      <c r="O9">
        <v>229.46809200000001</v>
      </c>
      <c r="P9">
        <v>2.6521852596815747</v>
      </c>
      <c r="Q9">
        <v>43.746098600000003</v>
      </c>
      <c r="R9">
        <v>801.5700690000001</v>
      </c>
      <c r="S9">
        <v>5.1936085500000002E-8</v>
      </c>
      <c r="T9">
        <v>21.592612112678353</v>
      </c>
      <c r="U9">
        <v>91.850000000000009</v>
      </c>
      <c r="V9">
        <v>-464.49619787494436</v>
      </c>
      <c r="W9">
        <v>69.595135200000001</v>
      </c>
      <c r="X9">
        <v>97.136021</v>
      </c>
      <c r="Y9">
        <v>177.97</v>
      </c>
      <c r="Z9">
        <v>253.35742400000001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2.6521852596815747</v>
      </c>
    </row>
    <row r="10" spans="1:40" x14ac:dyDescent="0.3">
      <c r="A10">
        <v>27</v>
      </c>
      <c r="B10">
        <v>19</v>
      </c>
      <c r="C10">
        <v>15</v>
      </c>
      <c r="D10">
        <v>17</v>
      </c>
      <c r="E10">
        <v>5</v>
      </c>
      <c r="F10">
        <v>0.3</v>
      </c>
      <c r="G10">
        <v>29</v>
      </c>
      <c r="H10">
        <v>14</v>
      </c>
      <c r="I10">
        <v>1.4</v>
      </c>
      <c r="J10">
        <v>329633219.84633976</v>
      </c>
      <c r="K10">
        <v>165552000</v>
      </c>
      <c r="L10">
        <v>79924420.030543312</v>
      </c>
      <c r="M10">
        <v>77227900</v>
      </c>
      <c r="N10">
        <v>15759504.960000001</v>
      </c>
      <c r="O10">
        <v>231.92399700000001</v>
      </c>
      <c r="P10">
        <v>2.6459782904451963</v>
      </c>
      <c r="Q10">
        <v>43.803307099999998</v>
      </c>
      <c r="R10">
        <v>800.20558300000005</v>
      </c>
      <c r="S10">
        <v>6.0692803400000006E-8</v>
      </c>
      <c r="T10">
        <v>21.710402307239253</v>
      </c>
      <c r="U10">
        <v>100.934</v>
      </c>
      <c r="V10">
        <v>-600.98550106743869</v>
      </c>
      <c r="W10">
        <v>69.221072300000003</v>
      </c>
      <c r="X10">
        <v>94.855332599999997</v>
      </c>
      <c r="Y10">
        <v>170.55</v>
      </c>
      <c r="Z10">
        <v>254.40036499999999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2.6459782904451963</v>
      </c>
    </row>
    <row r="11" spans="1:40" x14ac:dyDescent="0.3">
      <c r="A11">
        <v>27</v>
      </c>
      <c r="B11">
        <v>10</v>
      </c>
      <c r="C11">
        <v>15</v>
      </c>
      <c r="D11">
        <v>28</v>
      </c>
      <c r="E11">
        <v>5</v>
      </c>
      <c r="F11">
        <v>0.3</v>
      </c>
      <c r="G11">
        <v>16</v>
      </c>
      <c r="H11">
        <v>14</v>
      </c>
      <c r="I11">
        <v>1.4</v>
      </c>
      <c r="J11">
        <v>329578942.04633605</v>
      </c>
      <c r="K11">
        <v>165553000</v>
      </c>
      <c r="L11">
        <v>79925220.960165516</v>
      </c>
      <c r="M11">
        <v>77296600</v>
      </c>
      <c r="N11">
        <v>15759554.24</v>
      </c>
      <c r="O11">
        <v>232.01110700000001</v>
      </c>
      <c r="P11">
        <v>2.6435379383530653</v>
      </c>
      <c r="Q11">
        <v>43.808640199999999</v>
      </c>
      <c r="R11">
        <v>799.98209399999996</v>
      </c>
      <c r="S11">
        <v>6.0048713899999997E-8</v>
      </c>
      <c r="T11">
        <v>21.743423139552977</v>
      </c>
      <c r="U11">
        <v>100.934</v>
      </c>
      <c r="V11">
        <v>-593.81970220281562</v>
      </c>
      <c r="W11">
        <v>69.222164800000002</v>
      </c>
      <c r="X11">
        <v>94.861836199999999</v>
      </c>
      <c r="Y11">
        <v>177.97</v>
      </c>
      <c r="Z11">
        <v>257.64539600000001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2.6435379383530653</v>
      </c>
    </row>
    <row r="12" spans="1:40" x14ac:dyDescent="0.3">
      <c r="A12">
        <v>27</v>
      </c>
      <c r="B12">
        <v>19</v>
      </c>
      <c r="C12">
        <v>1</v>
      </c>
      <c r="D12">
        <v>29</v>
      </c>
      <c r="E12">
        <v>5</v>
      </c>
      <c r="F12">
        <v>0.3</v>
      </c>
      <c r="G12">
        <v>29</v>
      </c>
      <c r="H12">
        <v>7</v>
      </c>
      <c r="I12">
        <v>1.4</v>
      </c>
      <c r="J12">
        <v>327102284.40620923</v>
      </c>
      <c r="K12">
        <v>165445000</v>
      </c>
      <c r="L12">
        <v>79925921.707355782</v>
      </c>
      <c r="M12">
        <v>77972400</v>
      </c>
      <c r="N12">
        <v>15759893.279999999</v>
      </c>
      <c r="O12">
        <v>229.14951600000001</v>
      </c>
      <c r="P12">
        <v>2.6541138824853521</v>
      </c>
      <c r="Q12">
        <v>43.728042000000002</v>
      </c>
      <c r="R12">
        <v>801.96634400000005</v>
      </c>
      <c r="S12">
        <v>5.2369183699999998E-8</v>
      </c>
      <c r="T12">
        <v>21.945651303107034</v>
      </c>
      <c r="U12">
        <v>68.709999999999994</v>
      </c>
      <c r="V12">
        <v>-467.62379939609735</v>
      </c>
      <c r="W12">
        <v>69.729894400000006</v>
      </c>
      <c r="X12">
        <v>98.485040699999999</v>
      </c>
      <c r="Y12">
        <v>177.97</v>
      </c>
      <c r="Z12">
        <v>254.316045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2.6541138824853521</v>
      </c>
    </row>
    <row r="13" spans="1:40" x14ac:dyDescent="0.3">
      <c r="A13">
        <v>27</v>
      </c>
      <c r="B13">
        <v>15</v>
      </c>
      <c r="C13">
        <v>1</v>
      </c>
      <c r="D13">
        <v>10</v>
      </c>
      <c r="E13">
        <v>5</v>
      </c>
      <c r="F13">
        <v>0.3</v>
      </c>
      <c r="G13">
        <v>10</v>
      </c>
      <c r="H13">
        <v>8</v>
      </c>
      <c r="I13">
        <v>1.4</v>
      </c>
      <c r="J13">
        <v>326248586.16394395</v>
      </c>
      <c r="K13">
        <v>165397000</v>
      </c>
      <c r="L13">
        <v>79931127.396232799</v>
      </c>
      <c r="M13">
        <v>77949600</v>
      </c>
      <c r="N13">
        <v>15761034.24</v>
      </c>
      <c r="O13">
        <v>229.248177</v>
      </c>
      <c r="P13">
        <v>2.6499584019436817</v>
      </c>
      <c r="Q13">
        <v>43.701810000000002</v>
      </c>
      <c r="R13">
        <v>802.68287299999997</v>
      </c>
      <c r="S13">
        <v>5.6179858299999997E-8</v>
      </c>
      <c r="T13">
        <v>21.732839007460463</v>
      </c>
      <c r="U13">
        <v>80.72</v>
      </c>
      <c r="V13">
        <v>-485.69163665143088</v>
      </c>
      <c r="W13">
        <v>69.627533299999996</v>
      </c>
      <c r="X13">
        <v>97.050509500000004</v>
      </c>
      <c r="Y13">
        <v>144.29</v>
      </c>
      <c r="Z13">
        <v>257.33686699999998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2.6499584019436817</v>
      </c>
    </row>
    <row r="14" spans="1:40" x14ac:dyDescent="0.3">
      <c r="A14">
        <v>27</v>
      </c>
      <c r="B14">
        <v>19</v>
      </c>
      <c r="C14">
        <v>12.414398204471945</v>
      </c>
      <c r="D14">
        <v>15</v>
      </c>
      <c r="E14">
        <v>5</v>
      </c>
      <c r="F14">
        <v>0.3</v>
      </c>
      <c r="G14">
        <v>16</v>
      </c>
      <c r="H14">
        <v>14</v>
      </c>
      <c r="I14">
        <v>0.3</v>
      </c>
      <c r="J14">
        <v>328675445.77545637</v>
      </c>
      <c r="K14">
        <v>165514000</v>
      </c>
      <c r="L14">
        <v>79944041.426029503</v>
      </c>
      <c r="M14">
        <v>77208200</v>
      </c>
      <c r="N14">
        <v>15764422.880000001</v>
      </c>
      <c r="O14">
        <v>231.89036300000001</v>
      </c>
      <c r="P14">
        <v>2.6432098380343789</v>
      </c>
      <c r="Q14">
        <v>43.800897900000002</v>
      </c>
      <c r="R14">
        <v>800.29442799999993</v>
      </c>
      <c r="S14">
        <v>6.1035364299999999E-8</v>
      </c>
      <c r="T14">
        <v>21.701547247448776</v>
      </c>
      <c r="U14">
        <v>100.934</v>
      </c>
      <c r="V14">
        <v>-603.02239958578809</v>
      </c>
      <c r="W14">
        <v>69.221483899999996</v>
      </c>
      <c r="X14">
        <v>94.857611199999994</v>
      </c>
      <c r="Y14">
        <v>165.7</v>
      </c>
      <c r="Z14">
        <v>253.79881800000001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2.6432098380343789</v>
      </c>
    </row>
    <row r="15" spans="1:40" x14ac:dyDescent="0.3">
      <c r="A15">
        <v>28</v>
      </c>
      <c r="B15">
        <v>16</v>
      </c>
      <c r="C15">
        <v>3.2163007732436601</v>
      </c>
      <c r="D15">
        <v>28</v>
      </c>
      <c r="E15">
        <v>5</v>
      </c>
      <c r="F15">
        <v>0.97023103035522951</v>
      </c>
      <c r="G15">
        <v>12</v>
      </c>
      <c r="H15">
        <v>7</v>
      </c>
      <c r="I15">
        <v>1.3199779161770375</v>
      </c>
      <c r="J15">
        <v>327573599.88540971</v>
      </c>
      <c r="K15">
        <v>165452000</v>
      </c>
      <c r="L15">
        <v>79927723.649598509</v>
      </c>
      <c r="M15">
        <v>77976800</v>
      </c>
      <c r="N15">
        <v>15760323.119999999</v>
      </c>
      <c r="O15">
        <v>228.35833700000001</v>
      </c>
      <c r="P15">
        <v>2.664760795634344</v>
      </c>
      <c r="Q15">
        <v>44.111996900000001</v>
      </c>
      <c r="R15">
        <v>802.79823199999998</v>
      </c>
      <c r="S15">
        <v>2.47597314E-9</v>
      </c>
      <c r="T15">
        <v>22.110720184866523</v>
      </c>
      <c r="U15">
        <v>100.934</v>
      </c>
      <c r="V15">
        <v>-634.50848115564031</v>
      </c>
      <c r="W15">
        <v>69.2329072</v>
      </c>
      <c r="X15">
        <v>94.908851299999995</v>
      </c>
      <c r="Y15">
        <v>177.97</v>
      </c>
      <c r="Z15">
        <v>253.362628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2.664760795634344</v>
      </c>
    </row>
    <row r="16" spans="1:40" x14ac:dyDescent="0.3">
      <c r="A16">
        <v>29</v>
      </c>
      <c r="B16">
        <v>10</v>
      </c>
      <c r="C16">
        <v>11.790750841268167</v>
      </c>
      <c r="D16">
        <v>14</v>
      </c>
      <c r="E16">
        <v>5</v>
      </c>
      <c r="F16">
        <v>1.1220725202384096</v>
      </c>
      <c r="G16">
        <v>22</v>
      </c>
      <c r="H16">
        <v>13</v>
      </c>
      <c r="I16">
        <v>1.3724382432932112</v>
      </c>
      <c r="J16">
        <v>329145269.39455146</v>
      </c>
      <c r="K16">
        <v>165516000</v>
      </c>
      <c r="L16">
        <v>79924520.133469447</v>
      </c>
      <c r="M16">
        <v>78027900</v>
      </c>
      <c r="N16">
        <v>15759529.84</v>
      </c>
      <c r="O16">
        <v>227.95432400000001</v>
      </c>
      <c r="P16">
        <v>2.6744139527115376</v>
      </c>
      <c r="Q16">
        <v>44.1287612</v>
      </c>
      <c r="R16">
        <v>803.44693300000006</v>
      </c>
      <c r="S16">
        <v>1.8762301600000001E-9</v>
      </c>
      <c r="T16">
        <v>22.180078822555846</v>
      </c>
      <c r="U16">
        <v>100.934</v>
      </c>
      <c r="V16">
        <v>-651.06894042940621</v>
      </c>
      <c r="W16">
        <v>69.221990700000006</v>
      </c>
      <c r="X16">
        <v>94.860389499999997</v>
      </c>
      <c r="Y16">
        <v>177.97</v>
      </c>
      <c r="Z16">
        <v>253.106078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2.6744139527115376</v>
      </c>
    </row>
    <row r="17" spans="1:40" x14ac:dyDescent="0.3">
      <c r="A17">
        <v>27</v>
      </c>
      <c r="B17">
        <v>19</v>
      </c>
      <c r="C17">
        <v>1</v>
      </c>
      <c r="D17">
        <v>10</v>
      </c>
      <c r="E17">
        <v>5</v>
      </c>
      <c r="F17">
        <v>0.3</v>
      </c>
      <c r="G17">
        <v>29</v>
      </c>
      <c r="H17">
        <v>14</v>
      </c>
      <c r="I17">
        <v>0.3</v>
      </c>
      <c r="J17">
        <v>326576069.80001014</v>
      </c>
      <c r="K17">
        <v>165424000</v>
      </c>
      <c r="L17">
        <v>79941138.289966971</v>
      </c>
      <c r="M17">
        <v>77917800</v>
      </c>
      <c r="N17">
        <v>15763749.439999999</v>
      </c>
      <c r="O17">
        <v>228.99689900000001</v>
      </c>
      <c r="P17">
        <v>2.654970493478797</v>
      </c>
      <c r="Q17">
        <v>43.694358899999997</v>
      </c>
      <c r="R17">
        <v>802.83574399999998</v>
      </c>
      <c r="S17">
        <v>5.64134982E-8</v>
      </c>
      <c r="T17">
        <v>21.826400071565853</v>
      </c>
      <c r="U17">
        <v>68.709999999999994</v>
      </c>
      <c r="V17">
        <v>-484.82801098650197</v>
      </c>
      <c r="W17">
        <v>69.729894400000006</v>
      </c>
      <c r="X17">
        <v>98.485040699999999</v>
      </c>
      <c r="Y17">
        <v>144.29</v>
      </c>
      <c r="Z17">
        <v>253.334532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2.654970493478797</v>
      </c>
    </row>
    <row r="18" spans="1:40" x14ac:dyDescent="0.3">
      <c r="A18">
        <v>39</v>
      </c>
      <c r="B18">
        <v>19</v>
      </c>
      <c r="C18">
        <v>15</v>
      </c>
      <c r="D18">
        <v>29</v>
      </c>
      <c r="E18">
        <v>5</v>
      </c>
      <c r="F18">
        <v>0.3</v>
      </c>
      <c r="G18">
        <v>16</v>
      </c>
      <c r="H18">
        <v>14</v>
      </c>
      <c r="I18">
        <v>1.4</v>
      </c>
      <c r="J18">
        <v>330110941.87627834</v>
      </c>
      <c r="K18">
        <v>165588000</v>
      </c>
      <c r="L18">
        <v>79925220.960165516</v>
      </c>
      <c r="M18">
        <v>77289900</v>
      </c>
      <c r="N18">
        <v>15759554.24</v>
      </c>
      <c r="O18">
        <v>232.039435</v>
      </c>
      <c r="P18">
        <v>2.6455649329057676</v>
      </c>
      <c r="Q18">
        <v>43.809836599999997</v>
      </c>
      <c r="R18">
        <v>799.95648600000004</v>
      </c>
      <c r="S18">
        <v>6.01140586E-8</v>
      </c>
      <c r="T18">
        <v>21.743505759029535</v>
      </c>
      <c r="U18">
        <v>100.934</v>
      </c>
      <c r="V18">
        <v>-594.71726061107506</v>
      </c>
      <c r="W18">
        <v>69.218572699999996</v>
      </c>
      <c r="X18">
        <v>94.8255549</v>
      </c>
      <c r="Y18">
        <v>177.97</v>
      </c>
      <c r="Z18">
        <v>257.64752399999998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2.6455649329057676</v>
      </c>
    </row>
    <row r="19" spans="1:40" x14ac:dyDescent="0.3">
      <c r="A19">
        <v>38</v>
      </c>
      <c r="B19">
        <v>19</v>
      </c>
      <c r="C19">
        <v>1</v>
      </c>
      <c r="D19">
        <v>27</v>
      </c>
      <c r="E19">
        <v>5</v>
      </c>
      <c r="F19">
        <v>0.3</v>
      </c>
      <c r="G19">
        <v>17</v>
      </c>
      <c r="H19">
        <v>14</v>
      </c>
      <c r="I19">
        <v>1.4</v>
      </c>
      <c r="J19">
        <v>327184191.18246895</v>
      </c>
      <c r="K19">
        <v>165461000</v>
      </c>
      <c r="L19">
        <v>79924720.43978253</v>
      </c>
      <c r="M19">
        <v>77904400</v>
      </c>
      <c r="N19">
        <v>15759526.879999999</v>
      </c>
      <c r="O19">
        <v>229.472881</v>
      </c>
      <c r="P19">
        <v>2.6522320039456484</v>
      </c>
      <c r="Q19">
        <v>43.732673800000001</v>
      </c>
      <c r="R19">
        <v>801.91939000000002</v>
      </c>
      <c r="S19">
        <v>5.2681893200000001E-8</v>
      </c>
      <c r="T19">
        <v>21.932099787151639</v>
      </c>
      <c r="U19">
        <v>91.850000000000009</v>
      </c>
      <c r="V19">
        <v>-470.67531799720064</v>
      </c>
      <c r="W19">
        <v>69.590491099999994</v>
      </c>
      <c r="X19">
        <v>96.403332199999994</v>
      </c>
      <c r="Y19">
        <v>177.97</v>
      </c>
      <c r="Z19">
        <v>255.67478399999999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2.6522320039456484</v>
      </c>
    </row>
    <row r="20" spans="1:40" x14ac:dyDescent="0.3">
      <c r="A20">
        <v>38</v>
      </c>
      <c r="B20">
        <v>19</v>
      </c>
      <c r="C20">
        <v>10.98778867597153</v>
      </c>
      <c r="D20">
        <v>13</v>
      </c>
      <c r="E20">
        <v>5</v>
      </c>
      <c r="F20">
        <v>0.3</v>
      </c>
      <c r="G20">
        <v>23</v>
      </c>
      <c r="H20">
        <v>7</v>
      </c>
      <c r="I20">
        <v>0.84655218978966951</v>
      </c>
      <c r="J20">
        <v>329034177.14497733</v>
      </c>
      <c r="K20">
        <v>165532000</v>
      </c>
      <c r="L20">
        <v>79927123.012524828</v>
      </c>
      <c r="M20">
        <v>77219200</v>
      </c>
      <c r="N20">
        <v>15760198.399999999</v>
      </c>
      <c r="O20">
        <v>231.873132</v>
      </c>
      <c r="P20">
        <v>2.6445897829998812</v>
      </c>
      <c r="Q20">
        <v>43.797314399999998</v>
      </c>
      <c r="R20">
        <v>800.41563900000006</v>
      </c>
      <c r="S20">
        <v>6.1677473099999994E-8</v>
      </c>
      <c r="T20">
        <v>21.687075468267459</v>
      </c>
      <c r="U20">
        <v>100.934</v>
      </c>
      <c r="V20">
        <v>-606.08869723832265</v>
      </c>
      <c r="W20">
        <v>69.218672600000005</v>
      </c>
      <c r="X20">
        <v>94.828829499999998</v>
      </c>
      <c r="Y20">
        <v>144.29</v>
      </c>
      <c r="Z20">
        <v>254.20494199999999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2.6445897829998812</v>
      </c>
    </row>
    <row r="21" spans="1:40" x14ac:dyDescent="0.3">
      <c r="A21">
        <v>39</v>
      </c>
      <c r="B21">
        <v>19</v>
      </c>
      <c r="C21">
        <v>15</v>
      </c>
      <c r="D21">
        <v>15</v>
      </c>
      <c r="E21">
        <v>5</v>
      </c>
      <c r="F21">
        <v>0.3</v>
      </c>
      <c r="G21">
        <v>10</v>
      </c>
      <c r="H21">
        <v>7</v>
      </c>
      <c r="I21">
        <v>1.4</v>
      </c>
      <c r="J21">
        <v>329691399.00645947</v>
      </c>
      <c r="K21">
        <v>165558000</v>
      </c>
      <c r="L21">
        <v>79930026.233434647</v>
      </c>
      <c r="M21">
        <v>77252400</v>
      </c>
      <c r="N21">
        <v>15760857.200000001</v>
      </c>
      <c r="O21">
        <v>231.90203299999999</v>
      </c>
      <c r="P21">
        <v>2.6460470530460887</v>
      </c>
      <c r="Q21">
        <v>43.801675199999998</v>
      </c>
      <c r="R21">
        <v>800.29157999999995</v>
      </c>
      <c r="S21">
        <v>6.1108123699999995E-8</v>
      </c>
      <c r="T21">
        <v>21.700681346265295</v>
      </c>
      <c r="U21">
        <v>100.934</v>
      </c>
      <c r="V21">
        <v>-603.62232640462764</v>
      </c>
      <c r="W21">
        <v>69.218572699999996</v>
      </c>
      <c r="X21">
        <v>94.8255549</v>
      </c>
      <c r="Y21">
        <v>165.7</v>
      </c>
      <c r="Z21">
        <v>255.49315100000001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2.6460470530460887</v>
      </c>
    </row>
    <row r="22" spans="1:40" x14ac:dyDescent="0.3">
      <c r="A22">
        <v>27</v>
      </c>
      <c r="B22">
        <v>19</v>
      </c>
      <c r="C22">
        <v>15</v>
      </c>
      <c r="D22">
        <v>25</v>
      </c>
      <c r="E22">
        <v>5</v>
      </c>
      <c r="F22">
        <v>0.3</v>
      </c>
      <c r="G22">
        <v>17</v>
      </c>
      <c r="H22">
        <v>7</v>
      </c>
      <c r="I22">
        <v>1.4</v>
      </c>
      <c r="J22">
        <v>329515394.67824578</v>
      </c>
      <c r="K22">
        <v>165536000</v>
      </c>
      <c r="L22">
        <v>79926121.883008167</v>
      </c>
      <c r="M22">
        <v>77218300</v>
      </c>
      <c r="N22">
        <v>15759934.960000001</v>
      </c>
      <c r="O22">
        <v>232.00500299999999</v>
      </c>
      <c r="P22">
        <v>2.6445878975134218</v>
      </c>
      <c r="Q22">
        <v>43.808083400000001</v>
      </c>
      <c r="R22">
        <v>800.01293999999996</v>
      </c>
      <c r="S22">
        <v>6.0201801399999998E-8</v>
      </c>
      <c r="T22">
        <v>21.735715218756173</v>
      </c>
      <c r="U22">
        <v>100.934</v>
      </c>
      <c r="V22">
        <v>-595.68862578624714</v>
      </c>
      <c r="W22">
        <v>69.221072300000003</v>
      </c>
      <c r="X22">
        <v>94.855332599999997</v>
      </c>
      <c r="Y22">
        <v>177.97</v>
      </c>
      <c r="Z22">
        <v>254.33234999999999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2.6445878975134218</v>
      </c>
    </row>
    <row r="23" spans="1:40" x14ac:dyDescent="0.3">
      <c r="A23">
        <v>39</v>
      </c>
      <c r="B23">
        <v>10</v>
      </c>
      <c r="C23">
        <v>15</v>
      </c>
      <c r="D23">
        <v>10</v>
      </c>
      <c r="E23">
        <v>5</v>
      </c>
      <c r="F23">
        <v>0.3</v>
      </c>
      <c r="G23">
        <v>29</v>
      </c>
      <c r="H23">
        <v>14</v>
      </c>
      <c r="I23">
        <v>1.4</v>
      </c>
      <c r="J23">
        <v>329968218.79681683</v>
      </c>
      <c r="K23">
        <v>165570000</v>
      </c>
      <c r="L23">
        <v>79924420.029105231</v>
      </c>
      <c r="M23">
        <v>77194700</v>
      </c>
      <c r="N23">
        <v>15759504.639999999</v>
      </c>
      <c r="O23">
        <v>231.874314</v>
      </c>
      <c r="P23">
        <v>2.6485007351357845</v>
      </c>
      <c r="Q23">
        <v>43.7789316</v>
      </c>
      <c r="R23">
        <v>800.813852</v>
      </c>
      <c r="S23">
        <v>6.4477579100000007E-8</v>
      </c>
      <c r="T23">
        <v>21.630064753049634</v>
      </c>
      <c r="U23">
        <v>100.934</v>
      </c>
      <c r="V23">
        <v>-610.17864455468793</v>
      </c>
      <c r="W23">
        <v>69.220162599999995</v>
      </c>
      <c r="X23">
        <v>94.847148799999999</v>
      </c>
      <c r="Y23">
        <v>144.29</v>
      </c>
      <c r="Z23">
        <v>254.37751800000001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2.6485007351357845</v>
      </c>
    </row>
    <row r="24" spans="1:40" x14ac:dyDescent="0.3">
      <c r="A24">
        <v>39</v>
      </c>
      <c r="B24">
        <v>12</v>
      </c>
      <c r="C24">
        <v>3.3843341773790154</v>
      </c>
      <c r="D24">
        <v>17</v>
      </c>
      <c r="E24">
        <v>6</v>
      </c>
      <c r="F24">
        <v>0.3555453823025167</v>
      </c>
      <c r="G24">
        <v>16</v>
      </c>
      <c r="H24">
        <v>7</v>
      </c>
      <c r="I24">
        <v>0.81387314710158987</v>
      </c>
      <c r="J24">
        <v>327322364.79500556</v>
      </c>
      <c r="K24">
        <v>165449000</v>
      </c>
      <c r="L24">
        <v>79927623.571325347</v>
      </c>
      <c r="M24">
        <v>77380900</v>
      </c>
      <c r="N24">
        <v>15760324</v>
      </c>
      <c r="O24">
        <v>231.21696399999999</v>
      </c>
      <c r="P24">
        <v>2.6423971820220631</v>
      </c>
      <c r="Q24">
        <v>43.857697999999999</v>
      </c>
      <c r="R24">
        <v>800.61214099999995</v>
      </c>
      <c r="S24">
        <v>4.82276056E-9</v>
      </c>
      <c r="T24">
        <v>21.748391245567962</v>
      </c>
      <c r="U24">
        <v>100.934</v>
      </c>
      <c r="V24">
        <v>-606.31636630085939</v>
      </c>
      <c r="W24">
        <v>69.228631699999994</v>
      </c>
      <c r="X24">
        <v>94.885829200000003</v>
      </c>
      <c r="Y24">
        <v>165.7</v>
      </c>
      <c r="Z24">
        <v>254.086647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2.6423971820220631</v>
      </c>
    </row>
    <row r="25" spans="1:40" x14ac:dyDescent="0.3">
      <c r="A25">
        <v>39</v>
      </c>
      <c r="B25">
        <v>10</v>
      </c>
      <c r="C25">
        <v>1</v>
      </c>
      <c r="D25">
        <v>17</v>
      </c>
      <c r="E25">
        <v>5</v>
      </c>
      <c r="F25">
        <v>0.3</v>
      </c>
      <c r="G25">
        <v>29</v>
      </c>
      <c r="H25">
        <v>7</v>
      </c>
      <c r="I25">
        <v>1.4</v>
      </c>
      <c r="J25">
        <v>327260290.55789387</v>
      </c>
      <c r="K25">
        <v>165462000</v>
      </c>
      <c r="L25">
        <v>79925921.706534028</v>
      </c>
      <c r="M25">
        <v>77901700</v>
      </c>
      <c r="N25">
        <v>15759893.120000001</v>
      </c>
      <c r="O25">
        <v>229.388113</v>
      </c>
      <c r="P25">
        <v>2.6535085213284528</v>
      </c>
      <c r="Q25">
        <v>43.739984499999998</v>
      </c>
      <c r="R25">
        <v>801.85531200000003</v>
      </c>
      <c r="S25">
        <v>5.2765732700000003E-8</v>
      </c>
      <c r="T25">
        <v>21.570309645413076</v>
      </c>
      <c r="U25">
        <v>100.934</v>
      </c>
      <c r="V25">
        <v>-472.70547671433104</v>
      </c>
      <c r="W25">
        <v>69.580995900000005</v>
      </c>
      <c r="X25">
        <v>96.873567499999993</v>
      </c>
      <c r="Y25">
        <v>170.55</v>
      </c>
      <c r="Z25">
        <v>254.27838700000001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2.6535085213284528</v>
      </c>
    </row>
    <row r="26" spans="1:40" x14ac:dyDescent="0.3">
      <c r="A26">
        <v>39</v>
      </c>
      <c r="B26">
        <v>10</v>
      </c>
      <c r="C26">
        <v>1.5794918434579996</v>
      </c>
      <c r="D26">
        <v>19</v>
      </c>
      <c r="E26">
        <v>5</v>
      </c>
      <c r="F26">
        <v>0.3</v>
      </c>
      <c r="G26">
        <v>10</v>
      </c>
      <c r="H26">
        <v>7</v>
      </c>
      <c r="I26">
        <v>0.3</v>
      </c>
      <c r="J26">
        <v>326877865.88183719</v>
      </c>
      <c r="K26">
        <v>165484000</v>
      </c>
      <c r="L26">
        <v>79962661.82039988</v>
      </c>
      <c r="M26">
        <v>77614400</v>
      </c>
      <c r="N26">
        <v>15768720.719999999</v>
      </c>
      <c r="O26">
        <v>230.94001600000001</v>
      </c>
      <c r="P26">
        <v>2.6404651203231557</v>
      </c>
      <c r="Q26">
        <v>43.774889700000003</v>
      </c>
      <c r="R26">
        <v>800.83160099999998</v>
      </c>
      <c r="S26">
        <v>5.7371549700000003E-8</v>
      </c>
      <c r="T26">
        <v>21.767392872201444</v>
      </c>
      <c r="U26">
        <v>100.934</v>
      </c>
      <c r="V26">
        <v>-548.47264441402911</v>
      </c>
      <c r="W26">
        <v>69.365037999999998</v>
      </c>
      <c r="X26">
        <v>95.410541199999997</v>
      </c>
      <c r="Y26">
        <v>170.55</v>
      </c>
      <c r="Z26">
        <v>261.60657099999997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2.6404651203231557</v>
      </c>
    </row>
    <row r="27" spans="1:40" x14ac:dyDescent="0.3">
      <c r="A27">
        <v>30</v>
      </c>
      <c r="B27">
        <v>10</v>
      </c>
      <c r="C27">
        <v>10.33246239343358</v>
      </c>
      <c r="D27">
        <v>19</v>
      </c>
      <c r="E27">
        <v>5</v>
      </c>
      <c r="F27">
        <v>0.31716309981684698</v>
      </c>
      <c r="G27">
        <v>25</v>
      </c>
      <c r="H27">
        <v>10</v>
      </c>
      <c r="I27">
        <v>0.53730131208396004</v>
      </c>
      <c r="J27">
        <v>328678043.47456938</v>
      </c>
      <c r="K27">
        <v>165512000</v>
      </c>
      <c r="L27">
        <v>79926922.786950201</v>
      </c>
      <c r="M27">
        <v>77258600</v>
      </c>
      <c r="N27">
        <v>15760148.880000001</v>
      </c>
      <c r="O27">
        <v>231.780248</v>
      </c>
      <c r="P27">
        <v>2.6434752146813412</v>
      </c>
      <c r="Q27">
        <v>43.819118400000001</v>
      </c>
      <c r="R27">
        <v>800.23915799999997</v>
      </c>
      <c r="S27">
        <v>5.0914297299999999E-8</v>
      </c>
      <c r="T27">
        <v>21.733888853663181</v>
      </c>
      <c r="U27">
        <v>100.934</v>
      </c>
      <c r="V27">
        <v>-600.14457212333355</v>
      </c>
      <c r="W27">
        <v>69.222190600000005</v>
      </c>
      <c r="X27">
        <v>94.861013400000004</v>
      </c>
      <c r="Y27">
        <v>170.55</v>
      </c>
      <c r="Z27">
        <v>254.20047299999999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2.6434752146813412</v>
      </c>
    </row>
    <row r="28" spans="1:40" x14ac:dyDescent="0.3">
      <c r="A28">
        <v>36</v>
      </c>
      <c r="B28">
        <v>17</v>
      </c>
      <c r="C28">
        <v>5.1777668236276231</v>
      </c>
      <c r="D28">
        <v>16</v>
      </c>
      <c r="E28">
        <v>5</v>
      </c>
      <c r="F28">
        <v>0.31356237910423951</v>
      </c>
      <c r="G28">
        <v>11</v>
      </c>
      <c r="H28">
        <v>8</v>
      </c>
      <c r="I28">
        <v>1.3759973377118317</v>
      </c>
      <c r="J28">
        <v>327556342.7942673</v>
      </c>
      <c r="K28">
        <v>165453000</v>
      </c>
      <c r="L28">
        <v>79928324.387749359</v>
      </c>
      <c r="M28">
        <v>77282200</v>
      </c>
      <c r="N28">
        <v>15760433.039999999</v>
      </c>
      <c r="O28">
        <v>231.79008400000001</v>
      </c>
      <c r="P28">
        <v>2.6385047776801374</v>
      </c>
      <c r="Q28">
        <v>43.813887600000001</v>
      </c>
      <c r="R28">
        <v>800.31505100000004</v>
      </c>
      <c r="S28">
        <v>5.3062772499999999E-8</v>
      </c>
      <c r="T28">
        <v>21.716843789790328</v>
      </c>
      <c r="U28">
        <v>100.934</v>
      </c>
      <c r="V28">
        <v>-603.55589749036847</v>
      </c>
      <c r="W28">
        <v>69.219517699999997</v>
      </c>
      <c r="X28">
        <v>94.844705099999999</v>
      </c>
      <c r="Y28">
        <v>165.7</v>
      </c>
      <c r="Z28">
        <v>255.52151000000001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2.6385047776801374</v>
      </c>
    </row>
    <row r="29" spans="1:40" x14ac:dyDescent="0.3">
      <c r="A29">
        <v>28</v>
      </c>
      <c r="B29">
        <v>10</v>
      </c>
      <c r="C29">
        <v>8.2191004869397712</v>
      </c>
      <c r="D29">
        <v>25</v>
      </c>
      <c r="E29">
        <v>5</v>
      </c>
      <c r="F29">
        <v>0.30161191236356133</v>
      </c>
      <c r="G29">
        <v>16</v>
      </c>
      <c r="H29">
        <v>13</v>
      </c>
      <c r="I29">
        <v>0.34082049063771597</v>
      </c>
      <c r="J29">
        <v>328173579.84167087</v>
      </c>
      <c r="K29">
        <v>165484000</v>
      </c>
      <c r="L29">
        <v>79939536.575147837</v>
      </c>
      <c r="M29">
        <v>77215800</v>
      </c>
      <c r="N29">
        <v>15763307.92</v>
      </c>
      <c r="O29">
        <v>231.96252799999999</v>
      </c>
      <c r="P29">
        <v>2.6402032286859827</v>
      </c>
      <c r="Q29">
        <v>43.808627899999998</v>
      </c>
      <c r="R29">
        <v>800.04063099999996</v>
      </c>
      <c r="S29">
        <v>5.9109226099999998E-8</v>
      </c>
      <c r="T29">
        <v>21.739146044010209</v>
      </c>
      <c r="U29">
        <v>100.934</v>
      </c>
      <c r="V29">
        <v>-594.28725399411394</v>
      </c>
      <c r="W29">
        <v>69.224516899999998</v>
      </c>
      <c r="X29">
        <v>94.871931000000004</v>
      </c>
      <c r="Y29">
        <v>177.97</v>
      </c>
      <c r="Z29">
        <v>253.97819100000001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2.6402032286859827</v>
      </c>
    </row>
    <row r="30" spans="1:40" x14ac:dyDescent="0.3">
      <c r="A30">
        <v>35</v>
      </c>
      <c r="B30">
        <v>17</v>
      </c>
      <c r="C30">
        <v>9.1257863963013399</v>
      </c>
      <c r="D30">
        <v>11</v>
      </c>
      <c r="E30">
        <v>5</v>
      </c>
      <c r="F30">
        <v>0.37320308491419291</v>
      </c>
      <c r="G30">
        <v>18</v>
      </c>
      <c r="H30">
        <v>14</v>
      </c>
      <c r="I30">
        <v>0.85851910431553469</v>
      </c>
      <c r="J30">
        <v>328297557.71680009</v>
      </c>
      <c r="K30">
        <v>165492000</v>
      </c>
      <c r="L30">
        <v>79924920.659399346</v>
      </c>
      <c r="M30">
        <v>77377100</v>
      </c>
      <c r="N30">
        <v>15759579.6</v>
      </c>
      <c r="O30">
        <v>231.23108400000001</v>
      </c>
      <c r="P30">
        <v>2.6459922661652064</v>
      </c>
      <c r="Q30">
        <v>43.8431353</v>
      </c>
      <c r="R30">
        <v>801.002793</v>
      </c>
      <c r="S30">
        <v>3.2632227599999997E-8</v>
      </c>
      <c r="T30">
        <v>21.726120008360546</v>
      </c>
      <c r="U30">
        <v>100.934</v>
      </c>
      <c r="V30">
        <v>-616.17152214236933</v>
      </c>
      <c r="W30">
        <v>69.218971999999994</v>
      </c>
      <c r="X30">
        <v>94.836756399999999</v>
      </c>
      <c r="Y30">
        <v>144.29</v>
      </c>
      <c r="Z30">
        <v>255.33133100000001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2.6459922661652064</v>
      </c>
    </row>
    <row r="31" spans="1:40" x14ac:dyDescent="0.3">
      <c r="A31">
        <v>39</v>
      </c>
      <c r="B31">
        <v>13</v>
      </c>
      <c r="C31">
        <v>14.193346268562806</v>
      </c>
      <c r="D31">
        <v>26</v>
      </c>
      <c r="E31">
        <v>5</v>
      </c>
      <c r="F31">
        <v>0.32113844477107173</v>
      </c>
      <c r="G31">
        <v>22</v>
      </c>
      <c r="H31">
        <v>8</v>
      </c>
      <c r="I31">
        <v>1.3191804053639293</v>
      </c>
      <c r="J31">
        <v>329977958.17899269</v>
      </c>
      <c r="K31">
        <v>165568000</v>
      </c>
      <c r="L31">
        <v>79925421.194163248</v>
      </c>
      <c r="M31">
        <v>77258200</v>
      </c>
      <c r="N31">
        <v>15759774.960000001</v>
      </c>
      <c r="O31">
        <v>231.832414</v>
      </c>
      <c r="P31">
        <v>2.6477607372369851</v>
      </c>
      <c r="Q31">
        <v>43.826973500000001</v>
      </c>
      <c r="R31">
        <v>800.09074899999996</v>
      </c>
      <c r="S31">
        <v>4.8670776100000003E-8</v>
      </c>
      <c r="T31">
        <v>21.755466549687146</v>
      </c>
      <c r="U31">
        <v>100.934</v>
      </c>
      <c r="V31">
        <v>-597.26876182120009</v>
      </c>
      <c r="W31">
        <v>69.218971999999994</v>
      </c>
      <c r="X31">
        <v>94.837478899999994</v>
      </c>
      <c r="Y31">
        <v>177.97</v>
      </c>
      <c r="Z31">
        <v>254.315077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2.6477607372369851</v>
      </c>
    </row>
    <row r="32" spans="1:40" x14ac:dyDescent="0.3">
      <c r="A32">
        <v>38</v>
      </c>
      <c r="B32">
        <v>11</v>
      </c>
      <c r="C32">
        <v>9.768628808970238</v>
      </c>
      <c r="D32">
        <v>10</v>
      </c>
      <c r="E32">
        <v>5</v>
      </c>
      <c r="F32">
        <v>0.32297506199515114</v>
      </c>
      <c r="G32">
        <v>23</v>
      </c>
      <c r="H32">
        <v>8</v>
      </c>
      <c r="I32">
        <v>0.52218733328410549</v>
      </c>
      <c r="J32">
        <v>328728472.28201693</v>
      </c>
      <c r="K32">
        <v>165513000</v>
      </c>
      <c r="L32">
        <v>79928924.958054602</v>
      </c>
      <c r="M32">
        <v>77231400</v>
      </c>
      <c r="N32">
        <v>15760652.959999999</v>
      </c>
      <c r="O32">
        <v>231.67025899999999</v>
      </c>
      <c r="P32">
        <v>2.6454153491494341</v>
      </c>
      <c r="Q32">
        <v>43.796695</v>
      </c>
      <c r="R32">
        <v>800.91584999999998</v>
      </c>
      <c r="S32">
        <v>5.1432689600000002E-8</v>
      </c>
      <c r="T32">
        <v>21.650560585956143</v>
      </c>
      <c r="U32">
        <v>100.934</v>
      </c>
      <c r="V32">
        <v>-612.34919988525212</v>
      </c>
      <c r="W32">
        <v>69.220523499999999</v>
      </c>
      <c r="X32">
        <v>94.850132700000003</v>
      </c>
      <c r="Y32">
        <v>144.29</v>
      </c>
      <c r="Z32">
        <v>254.034628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2.6454153491494341</v>
      </c>
    </row>
    <row r="33" spans="1:40" x14ac:dyDescent="0.3">
      <c r="A33">
        <v>37</v>
      </c>
      <c r="B33">
        <v>16</v>
      </c>
      <c r="C33">
        <v>9.4763855343694345</v>
      </c>
      <c r="D33">
        <v>22</v>
      </c>
      <c r="E33">
        <v>5</v>
      </c>
      <c r="F33">
        <v>0.33474088286304055</v>
      </c>
      <c r="G33">
        <v>28</v>
      </c>
      <c r="H33">
        <v>14</v>
      </c>
      <c r="I33">
        <v>1.1933457874340365</v>
      </c>
      <c r="J33">
        <v>328970243.55834681</v>
      </c>
      <c r="K33">
        <v>165528000</v>
      </c>
      <c r="L33">
        <v>79924420.059510544</v>
      </c>
      <c r="M33">
        <v>77288900</v>
      </c>
      <c r="N33">
        <v>15759512.16</v>
      </c>
      <c r="O33">
        <v>231.680499</v>
      </c>
      <c r="P33">
        <v>2.6451970707040551</v>
      </c>
      <c r="Q33">
        <v>43.836281999999997</v>
      </c>
      <c r="R33">
        <v>800.23525799999993</v>
      </c>
      <c r="S33">
        <v>4.2995054699999998E-8</v>
      </c>
      <c r="T33">
        <v>21.757154498029774</v>
      </c>
      <c r="U33">
        <v>100.934</v>
      </c>
      <c r="V33">
        <v>-600.63061643932701</v>
      </c>
      <c r="W33">
        <v>69.218917599999997</v>
      </c>
      <c r="X33">
        <v>94.836008500000005</v>
      </c>
      <c r="Y33">
        <v>177.97</v>
      </c>
      <c r="Z33">
        <v>254.333718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2.6451970707040551</v>
      </c>
    </row>
    <row r="34" spans="1:40" x14ac:dyDescent="0.3">
      <c r="A34">
        <v>33</v>
      </c>
      <c r="B34">
        <v>19</v>
      </c>
      <c r="C34">
        <v>6.2758959170038464</v>
      </c>
      <c r="D34">
        <v>23</v>
      </c>
      <c r="E34">
        <v>5</v>
      </c>
      <c r="F34">
        <v>0.42734040806570928</v>
      </c>
      <c r="G34">
        <v>10</v>
      </c>
      <c r="H34">
        <v>7</v>
      </c>
      <c r="I34">
        <v>0.6948793393331385</v>
      </c>
      <c r="J34">
        <v>327661724.3781184</v>
      </c>
      <c r="K34">
        <v>165461000</v>
      </c>
      <c r="L34">
        <v>79936633.309040919</v>
      </c>
      <c r="M34">
        <v>77513200</v>
      </c>
      <c r="N34">
        <v>15762377.68</v>
      </c>
      <c r="O34">
        <v>230.92969299999999</v>
      </c>
      <c r="P34">
        <v>2.6443822662789391</v>
      </c>
      <c r="Q34">
        <v>43.904777199999998</v>
      </c>
      <c r="R34">
        <v>800.72319100000004</v>
      </c>
      <c r="S34">
        <v>2.0739418599999999E-8</v>
      </c>
      <c r="T34">
        <v>21.844732550881233</v>
      </c>
      <c r="U34">
        <v>100.934</v>
      </c>
      <c r="V34">
        <v>-607.78128192371958</v>
      </c>
      <c r="W34">
        <v>69.2194638</v>
      </c>
      <c r="X34">
        <v>94.843709700000005</v>
      </c>
      <c r="Y34">
        <v>177.97</v>
      </c>
      <c r="Z34">
        <v>256.99644899999998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2.6443822662789391</v>
      </c>
    </row>
    <row r="35" spans="1:40" x14ac:dyDescent="0.3">
      <c r="A35">
        <v>39</v>
      </c>
      <c r="B35">
        <v>10</v>
      </c>
      <c r="C35">
        <v>11.972301036271002</v>
      </c>
      <c r="D35">
        <v>14</v>
      </c>
      <c r="E35">
        <v>5</v>
      </c>
      <c r="F35">
        <v>0.33148610377826493</v>
      </c>
      <c r="G35">
        <v>11</v>
      </c>
      <c r="H35">
        <v>7</v>
      </c>
      <c r="I35">
        <v>0.96726661487369059</v>
      </c>
      <c r="J35">
        <v>329088090.76060718</v>
      </c>
      <c r="K35">
        <v>165519000</v>
      </c>
      <c r="L35">
        <v>79929825.915411398</v>
      </c>
      <c r="M35">
        <v>77312000</v>
      </c>
      <c r="N35">
        <v>15760801.119999999</v>
      </c>
      <c r="O35">
        <v>231.57814200000001</v>
      </c>
      <c r="P35">
        <v>2.6460998125537216</v>
      </c>
      <c r="Q35">
        <v>43.825379300000002</v>
      </c>
      <c r="R35">
        <v>800.53180999999995</v>
      </c>
      <c r="S35">
        <v>4.5062073899999999E-8</v>
      </c>
      <c r="T35">
        <v>21.722748052658055</v>
      </c>
      <c r="U35">
        <v>100.934</v>
      </c>
      <c r="V35">
        <v>-607.28688804050171</v>
      </c>
      <c r="W35">
        <v>69.220754299999996</v>
      </c>
      <c r="X35">
        <v>94.850740999999999</v>
      </c>
      <c r="Y35">
        <v>144.29</v>
      </c>
      <c r="Z35">
        <v>255.06225699999999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2.6460998125537216</v>
      </c>
    </row>
    <row r="36" spans="1:40" x14ac:dyDescent="0.3">
      <c r="A36">
        <v>30</v>
      </c>
      <c r="B36">
        <v>11</v>
      </c>
      <c r="C36">
        <v>3.1826331488182253</v>
      </c>
      <c r="D36">
        <v>20</v>
      </c>
      <c r="E36">
        <v>5</v>
      </c>
      <c r="F36">
        <v>0.30810998746734453</v>
      </c>
      <c r="G36">
        <v>18</v>
      </c>
      <c r="H36">
        <v>8</v>
      </c>
      <c r="I36">
        <v>0.54142134394213448</v>
      </c>
      <c r="J36">
        <v>327026232.89022416</v>
      </c>
      <c r="K36">
        <v>165431000</v>
      </c>
      <c r="L36">
        <v>79928924.930936351</v>
      </c>
      <c r="M36">
        <v>77268600</v>
      </c>
      <c r="N36">
        <v>15760640.08</v>
      </c>
      <c r="O36">
        <v>231.758681</v>
      </c>
      <c r="P36">
        <v>2.6371495260942601</v>
      </c>
      <c r="Q36">
        <v>43.808438500000001</v>
      </c>
      <c r="R36">
        <v>800.23980600000004</v>
      </c>
      <c r="S36">
        <v>5.52528698E-8</v>
      </c>
      <c r="T36">
        <v>21.738516930149604</v>
      </c>
      <c r="U36">
        <v>100.934</v>
      </c>
      <c r="V36">
        <v>-592.63247986227259</v>
      </c>
      <c r="W36">
        <v>69.239064999999997</v>
      </c>
      <c r="X36">
        <v>94.928583900000007</v>
      </c>
      <c r="Y36">
        <v>170.55</v>
      </c>
      <c r="Z36">
        <v>254.17476300000001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2.6371495260942601</v>
      </c>
    </row>
    <row r="37" spans="1:40" x14ac:dyDescent="0.3">
      <c r="A37">
        <v>39</v>
      </c>
      <c r="B37">
        <v>17</v>
      </c>
      <c r="C37">
        <v>4.3795120645937695</v>
      </c>
      <c r="D37">
        <v>16</v>
      </c>
      <c r="E37">
        <v>13</v>
      </c>
      <c r="F37">
        <v>0.37026473255579789</v>
      </c>
      <c r="G37">
        <v>14</v>
      </c>
      <c r="H37">
        <v>7</v>
      </c>
      <c r="I37">
        <v>1.0814964126849027</v>
      </c>
      <c r="J37">
        <v>327680753.03567958</v>
      </c>
      <c r="K37">
        <v>165450000</v>
      </c>
      <c r="L37">
        <v>79927022.902613685</v>
      </c>
      <c r="M37">
        <v>77283200</v>
      </c>
      <c r="N37">
        <v>15760164.4</v>
      </c>
      <c r="O37">
        <v>231.327325</v>
      </c>
      <c r="P37">
        <v>2.6440717421527165</v>
      </c>
      <c r="Q37">
        <v>43.813569299999997</v>
      </c>
      <c r="R37">
        <v>801.51188300000001</v>
      </c>
      <c r="S37">
        <v>6.5344768600000002E-15</v>
      </c>
      <c r="T37">
        <v>21.501890342768103</v>
      </c>
      <c r="U37">
        <v>100.934</v>
      </c>
      <c r="V37">
        <v>-623.45912925702623</v>
      </c>
      <c r="W37">
        <v>69.219667200000004</v>
      </c>
      <c r="X37">
        <v>94.8460982</v>
      </c>
      <c r="Y37">
        <v>121.52199999999999</v>
      </c>
      <c r="Z37">
        <v>254.09559200000001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2.6440717421527165</v>
      </c>
    </row>
    <row r="38" spans="1:40" x14ac:dyDescent="0.3">
      <c r="A38">
        <v>38</v>
      </c>
      <c r="B38">
        <v>10</v>
      </c>
      <c r="C38">
        <v>5.4783864336443147</v>
      </c>
      <c r="D38">
        <v>16</v>
      </c>
      <c r="E38">
        <v>13</v>
      </c>
      <c r="F38">
        <v>0.33345090508238084</v>
      </c>
      <c r="G38">
        <v>11</v>
      </c>
      <c r="H38">
        <v>7</v>
      </c>
      <c r="I38">
        <v>1.2549051102478461</v>
      </c>
      <c r="J38">
        <v>327730164.10959613</v>
      </c>
      <c r="K38">
        <v>165453000</v>
      </c>
      <c r="L38">
        <v>79928624.630375624</v>
      </c>
      <c r="M38">
        <v>77225700</v>
      </c>
      <c r="N38">
        <v>15760525.199999999</v>
      </c>
      <c r="O38">
        <v>231.67502500000001</v>
      </c>
      <c r="P38">
        <v>2.6414010478146173</v>
      </c>
      <c r="Q38">
        <v>43.780101500000001</v>
      </c>
      <c r="R38">
        <v>801.27312699999993</v>
      </c>
      <c r="S38">
        <v>1.7012344699999999E-14</v>
      </c>
      <c r="T38">
        <v>21.436335322144309</v>
      </c>
      <c r="U38">
        <v>100.934</v>
      </c>
      <c r="V38">
        <v>-616.99149422234132</v>
      </c>
      <c r="W38">
        <v>69.226019899999997</v>
      </c>
      <c r="X38">
        <v>94.873988299999994</v>
      </c>
      <c r="Y38">
        <v>121.52199999999999</v>
      </c>
      <c r="Z38">
        <v>254.73206999999999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2.6414010478146173</v>
      </c>
    </row>
    <row r="39" spans="1:40" x14ac:dyDescent="0.3">
      <c r="A39">
        <v>39</v>
      </c>
      <c r="B39">
        <v>14</v>
      </c>
      <c r="C39">
        <v>9.5498947347906071</v>
      </c>
      <c r="D39">
        <v>17</v>
      </c>
      <c r="E39">
        <v>12</v>
      </c>
      <c r="F39">
        <v>0.31526528746805255</v>
      </c>
      <c r="G39">
        <v>10</v>
      </c>
      <c r="H39">
        <v>7</v>
      </c>
      <c r="I39">
        <v>1.0690099852861941</v>
      </c>
      <c r="J39">
        <v>328650856.08279121</v>
      </c>
      <c r="K39">
        <v>165517000</v>
      </c>
      <c r="L39">
        <v>79931527.748770192</v>
      </c>
      <c r="M39">
        <v>77310700</v>
      </c>
      <c r="N39">
        <v>15761173.68</v>
      </c>
      <c r="O39">
        <v>231.645849</v>
      </c>
      <c r="P39">
        <v>2.6440317050449962</v>
      </c>
      <c r="Q39">
        <v>43.808424500000001</v>
      </c>
      <c r="R39">
        <v>800.56947500000001</v>
      </c>
      <c r="S39">
        <v>1.22258425E-13</v>
      </c>
      <c r="T39">
        <v>21.554565263385207</v>
      </c>
      <c r="U39">
        <v>100.934</v>
      </c>
      <c r="V39">
        <v>-614.21738355871094</v>
      </c>
      <c r="W39">
        <v>69.219152300000005</v>
      </c>
      <c r="X39">
        <v>94.839470899999995</v>
      </c>
      <c r="Y39">
        <v>144.29</v>
      </c>
      <c r="Z39">
        <v>255.83066099999999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2.6440317050449962</v>
      </c>
    </row>
    <row r="40" spans="1:40" x14ac:dyDescent="0.3">
      <c r="A40">
        <v>38</v>
      </c>
      <c r="B40">
        <v>18</v>
      </c>
      <c r="C40">
        <v>12.29158776270935</v>
      </c>
      <c r="D40">
        <v>18</v>
      </c>
      <c r="E40">
        <v>14</v>
      </c>
      <c r="F40">
        <v>0.3206260211869954</v>
      </c>
      <c r="G40">
        <v>23</v>
      </c>
      <c r="H40">
        <v>9</v>
      </c>
      <c r="I40">
        <v>1.1971163482587444</v>
      </c>
      <c r="J40">
        <v>329424738.31533325</v>
      </c>
      <c r="K40">
        <v>165550000</v>
      </c>
      <c r="L40">
        <v>79925120.846967325</v>
      </c>
      <c r="M40">
        <v>77246200</v>
      </c>
      <c r="N40">
        <v>15759694.4</v>
      </c>
      <c r="O40">
        <v>231.67548600000001</v>
      </c>
      <c r="P40">
        <v>2.6478188599786812</v>
      </c>
      <c r="Q40">
        <v>43.7983616</v>
      </c>
      <c r="R40">
        <v>800.79705300000001</v>
      </c>
      <c r="S40">
        <v>2.97087689E-15</v>
      </c>
      <c r="T40">
        <v>21.503321907503171</v>
      </c>
      <c r="U40">
        <v>100.934</v>
      </c>
      <c r="V40">
        <v>-616.70437767623366</v>
      </c>
      <c r="W40">
        <v>69.218661900000001</v>
      </c>
      <c r="X40">
        <v>94.829160999999999</v>
      </c>
      <c r="Y40">
        <v>121.52199999999999</v>
      </c>
      <c r="Z40">
        <v>254.18423999999999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2.6478188599786812</v>
      </c>
    </row>
    <row r="41" spans="1:40" x14ac:dyDescent="0.3">
      <c r="A41">
        <v>27</v>
      </c>
      <c r="B41">
        <v>15</v>
      </c>
      <c r="C41">
        <v>7.7265462923772645</v>
      </c>
      <c r="D41">
        <v>15</v>
      </c>
      <c r="E41">
        <v>13</v>
      </c>
      <c r="F41">
        <v>0.32065539630876283</v>
      </c>
      <c r="G41">
        <v>21</v>
      </c>
      <c r="H41">
        <v>9</v>
      </c>
      <c r="I41">
        <v>1.3327393268651386</v>
      </c>
      <c r="J41">
        <v>327986660.52166653</v>
      </c>
      <c r="K41">
        <v>165454000</v>
      </c>
      <c r="L41">
        <v>79925020.729865745</v>
      </c>
      <c r="M41">
        <v>77028000</v>
      </c>
      <c r="N41">
        <v>15759667.199999999</v>
      </c>
      <c r="O41">
        <v>232.236064</v>
      </c>
      <c r="P41">
        <v>2.6395465743378415</v>
      </c>
      <c r="Q41">
        <v>43.718686499999997</v>
      </c>
      <c r="R41">
        <v>801.75011900000004</v>
      </c>
      <c r="S41">
        <v>4.2026466799999997E-14</v>
      </c>
      <c r="T41">
        <v>21.252192986856073</v>
      </c>
      <c r="U41">
        <v>100.934</v>
      </c>
      <c r="V41">
        <v>-617.76056146026565</v>
      </c>
      <c r="W41">
        <v>69.222458900000007</v>
      </c>
      <c r="X41">
        <v>94.864353199999996</v>
      </c>
      <c r="Y41">
        <v>121.52199999999999</v>
      </c>
      <c r="Z41">
        <v>254.34936300000001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2.6395465743378415</v>
      </c>
    </row>
    <row r="42" spans="1:40" x14ac:dyDescent="0.3">
      <c r="A42">
        <v>31</v>
      </c>
      <c r="B42">
        <v>19</v>
      </c>
      <c r="C42">
        <v>9.8509242411868119</v>
      </c>
      <c r="D42">
        <v>12</v>
      </c>
      <c r="E42">
        <v>10</v>
      </c>
      <c r="F42">
        <v>0.30540763433934748</v>
      </c>
      <c r="G42">
        <v>21</v>
      </c>
      <c r="H42">
        <v>14</v>
      </c>
      <c r="I42">
        <v>1.156965189987744</v>
      </c>
      <c r="J42">
        <v>328506066.70088434</v>
      </c>
      <c r="K42">
        <v>165508000</v>
      </c>
      <c r="L42">
        <v>79924420.107378393</v>
      </c>
      <c r="M42">
        <v>76989000</v>
      </c>
      <c r="N42">
        <v>15759518.879999999</v>
      </c>
      <c r="O42">
        <v>232.375867</v>
      </c>
      <c r="P42">
        <v>2.6412426140233265</v>
      </c>
      <c r="Q42">
        <v>43.706334099999999</v>
      </c>
      <c r="R42">
        <v>801.80355000000009</v>
      </c>
      <c r="S42">
        <v>1.23426294E-11</v>
      </c>
      <c r="T42">
        <v>21.245577698069958</v>
      </c>
      <c r="U42">
        <v>100.934</v>
      </c>
      <c r="V42">
        <v>-617.41345260302148</v>
      </c>
      <c r="W42">
        <v>69.219433199999997</v>
      </c>
      <c r="X42">
        <v>94.842911900000004</v>
      </c>
      <c r="Y42">
        <v>121.52199999999999</v>
      </c>
      <c r="Z42">
        <v>254.61882399999999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2.6412426140233265</v>
      </c>
    </row>
    <row r="43" spans="1:40" x14ac:dyDescent="0.3">
      <c r="A43">
        <v>29</v>
      </c>
      <c r="B43">
        <v>11</v>
      </c>
      <c r="C43">
        <v>7.2113628056129775</v>
      </c>
      <c r="D43">
        <v>17</v>
      </c>
      <c r="E43">
        <v>12</v>
      </c>
      <c r="F43">
        <v>0.32780650570038167</v>
      </c>
      <c r="G43">
        <v>29</v>
      </c>
      <c r="H43">
        <v>14</v>
      </c>
      <c r="I43">
        <v>0.50447284911960222</v>
      </c>
      <c r="J43">
        <v>328142104.33646995</v>
      </c>
      <c r="K43">
        <v>165471000</v>
      </c>
      <c r="L43">
        <v>79925521.294829518</v>
      </c>
      <c r="M43">
        <v>77308400</v>
      </c>
      <c r="N43">
        <v>15759804</v>
      </c>
      <c r="O43">
        <v>231.472173</v>
      </c>
      <c r="P43">
        <v>2.6436901064736804</v>
      </c>
      <c r="Q43">
        <v>43.819507000000002</v>
      </c>
      <c r="R43">
        <v>800.684979</v>
      </c>
      <c r="S43">
        <v>8.5470733700000004E-14</v>
      </c>
      <c r="T43">
        <v>21.578415131074458</v>
      </c>
      <c r="U43">
        <v>100.934</v>
      </c>
      <c r="V43">
        <v>-614.40713158276412</v>
      </c>
      <c r="W43">
        <v>69.223504399999996</v>
      </c>
      <c r="X43">
        <v>94.868145299999995</v>
      </c>
      <c r="Y43">
        <v>144.29</v>
      </c>
      <c r="Z43">
        <v>254.08284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2.6436901064736804</v>
      </c>
    </row>
    <row r="44" spans="1:40" x14ac:dyDescent="0.3">
      <c r="A44">
        <v>30</v>
      </c>
      <c r="B44">
        <v>12</v>
      </c>
      <c r="C44">
        <v>6.0715370630473089</v>
      </c>
      <c r="D44">
        <v>12</v>
      </c>
      <c r="E44">
        <v>10</v>
      </c>
      <c r="F44">
        <v>0.31589563076660654</v>
      </c>
      <c r="G44">
        <v>29</v>
      </c>
      <c r="H44">
        <v>9</v>
      </c>
      <c r="I44">
        <v>0.99900980081390145</v>
      </c>
      <c r="J44">
        <v>327903824.34055769</v>
      </c>
      <c r="K44">
        <v>165467000</v>
      </c>
      <c r="L44">
        <v>79925220.985845685</v>
      </c>
      <c r="M44">
        <v>77015600</v>
      </c>
      <c r="N44">
        <v>15759726.4</v>
      </c>
      <c r="O44">
        <v>232.25669500000001</v>
      </c>
      <c r="P44">
        <v>2.639552748540861</v>
      </c>
      <c r="Q44">
        <v>43.713987099999997</v>
      </c>
      <c r="R44">
        <v>801.83917400000007</v>
      </c>
      <c r="S44">
        <v>9.7507151600000008E-12</v>
      </c>
      <c r="T44">
        <v>21.261250882667792</v>
      </c>
      <c r="U44">
        <v>100.934</v>
      </c>
      <c r="V44">
        <v>-617.06852225578098</v>
      </c>
      <c r="W44">
        <v>69.223002600000001</v>
      </c>
      <c r="X44">
        <v>94.866413800000004</v>
      </c>
      <c r="Y44">
        <v>121.52199999999999</v>
      </c>
      <c r="Z44">
        <v>254.31544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2.639552748540861</v>
      </c>
    </row>
    <row r="45" spans="1:40" x14ac:dyDescent="0.3">
      <c r="A45">
        <v>34</v>
      </c>
      <c r="B45">
        <v>11</v>
      </c>
      <c r="C45">
        <v>10.442351488227297</v>
      </c>
      <c r="D45">
        <v>13</v>
      </c>
      <c r="E45">
        <v>11</v>
      </c>
      <c r="F45">
        <v>0.31133115632773556</v>
      </c>
      <c r="G45">
        <v>26</v>
      </c>
      <c r="H45">
        <v>7</v>
      </c>
      <c r="I45">
        <v>0.5389536255331</v>
      </c>
      <c r="J45">
        <v>328811850.68660998</v>
      </c>
      <c r="K45">
        <v>165514000</v>
      </c>
      <c r="L45">
        <v>79929425.48624438</v>
      </c>
      <c r="M45">
        <v>76993400</v>
      </c>
      <c r="N45">
        <v>15760775.439999999</v>
      </c>
      <c r="O45">
        <v>232.32000600000001</v>
      </c>
      <c r="P45">
        <v>2.6428016206292924</v>
      </c>
      <c r="Q45">
        <v>43.711218500000001</v>
      </c>
      <c r="R45">
        <v>801.78331300000002</v>
      </c>
      <c r="S45">
        <v>1.8521076100000002E-12</v>
      </c>
      <c r="T45">
        <v>21.246863283770509</v>
      </c>
      <c r="U45">
        <v>100.934</v>
      </c>
      <c r="V45">
        <v>-617.43683164711285</v>
      </c>
      <c r="W45">
        <v>69.220559199999997</v>
      </c>
      <c r="X45">
        <v>94.851482700000005</v>
      </c>
      <c r="Y45">
        <v>121.52199999999999</v>
      </c>
      <c r="Z45">
        <v>254.05441200000001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2.6428016206292924</v>
      </c>
    </row>
    <row r="46" spans="1:40" x14ac:dyDescent="0.3">
      <c r="A46">
        <v>33</v>
      </c>
      <c r="B46">
        <v>19</v>
      </c>
      <c r="C46">
        <v>1.8021434700676313</v>
      </c>
      <c r="D46">
        <v>16</v>
      </c>
      <c r="E46">
        <v>13</v>
      </c>
      <c r="F46">
        <v>0.30232958082714795</v>
      </c>
      <c r="G46">
        <v>15</v>
      </c>
      <c r="H46">
        <v>7</v>
      </c>
      <c r="I46">
        <v>1.3003608003073954</v>
      </c>
      <c r="J46">
        <v>326874502.19484955</v>
      </c>
      <c r="K46">
        <v>165427000</v>
      </c>
      <c r="L46">
        <v>79926322.198155224</v>
      </c>
      <c r="M46">
        <v>77243000</v>
      </c>
      <c r="N46">
        <v>15760005.92</v>
      </c>
      <c r="O46">
        <v>231.62006400000001</v>
      </c>
      <c r="P46">
        <v>2.6386947305413617</v>
      </c>
      <c r="Q46">
        <v>43.738248200000001</v>
      </c>
      <c r="R46">
        <v>801.32383200000004</v>
      </c>
      <c r="S46">
        <v>9.8781146500000002E-14</v>
      </c>
      <c r="T46">
        <v>21.423851285805434</v>
      </c>
      <c r="U46">
        <v>100.934</v>
      </c>
      <c r="V46">
        <v>-594.06079392512117</v>
      </c>
      <c r="W46">
        <v>69.281185699999995</v>
      </c>
      <c r="X46">
        <v>95.084848300000004</v>
      </c>
      <c r="Y46">
        <v>121.52199999999999</v>
      </c>
      <c r="Z46">
        <v>254.22773100000001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2.6386947305413617</v>
      </c>
    </row>
    <row r="47" spans="1:40" x14ac:dyDescent="0.3">
      <c r="A47">
        <v>27</v>
      </c>
      <c r="B47">
        <v>10</v>
      </c>
      <c r="C47">
        <v>7.2777012589370829</v>
      </c>
      <c r="D47">
        <v>13</v>
      </c>
      <c r="E47">
        <v>9</v>
      </c>
      <c r="F47">
        <v>0.30623751241845926</v>
      </c>
      <c r="G47">
        <v>16</v>
      </c>
      <c r="H47">
        <v>9</v>
      </c>
      <c r="I47">
        <v>1.3809029156766532</v>
      </c>
      <c r="J47">
        <v>327790678.82564938</v>
      </c>
      <c r="K47">
        <v>165452000</v>
      </c>
      <c r="L47">
        <v>79925321.023236021</v>
      </c>
      <c r="M47">
        <v>77221500</v>
      </c>
      <c r="N47">
        <v>15759732.08</v>
      </c>
      <c r="O47">
        <v>231.75856099999999</v>
      </c>
      <c r="P47">
        <v>2.6406871779051762</v>
      </c>
      <c r="Q47">
        <v>43.781237900000001</v>
      </c>
      <c r="R47">
        <v>800.89027399999998</v>
      </c>
      <c r="S47">
        <v>4.1806331399999998E-11</v>
      </c>
      <c r="T47">
        <v>21.509280313364123</v>
      </c>
      <c r="U47">
        <v>100.934</v>
      </c>
      <c r="V47">
        <v>-612.20025245248689</v>
      </c>
      <c r="W47">
        <v>69.226554399999998</v>
      </c>
      <c r="X47">
        <v>94.880240000000001</v>
      </c>
      <c r="Y47">
        <v>121.52199999999999</v>
      </c>
      <c r="Z47">
        <v>254.39479700000001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2.6406871779051762</v>
      </c>
    </row>
    <row r="48" spans="1:40" x14ac:dyDescent="0.3">
      <c r="A48">
        <v>34</v>
      </c>
      <c r="B48">
        <v>15</v>
      </c>
      <c r="C48">
        <v>1.4940647007691223</v>
      </c>
      <c r="D48">
        <v>17</v>
      </c>
      <c r="E48">
        <v>14</v>
      </c>
      <c r="F48">
        <v>0.34244584906598352</v>
      </c>
      <c r="G48">
        <v>25</v>
      </c>
      <c r="H48">
        <v>10</v>
      </c>
      <c r="I48">
        <v>0.44528918129408152</v>
      </c>
      <c r="J48">
        <v>326917353.61552835</v>
      </c>
      <c r="K48">
        <v>165430000</v>
      </c>
      <c r="L48">
        <v>79928724.800686523</v>
      </c>
      <c r="M48">
        <v>77454900</v>
      </c>
      <c r="N48">
        <v>15760617.6</v>
      </c>
      <c r="O48">
        <v>230.72842800000001</v>
      </c>
      <c r="P48">
        <v>2.6450211697315078</v>
      </c>
      <c r="Q48">
        <v>43.758745599999997</v>
      </c>
      <c r="R48">
        <v>801.87078199999996</v>
      </c>
      <c r="S48">
        <v>1.7894442400000002E-15</v>
      </c>
      <c r="T48">
        <v>21.52444602178878</v>
      </c>
      <c r="U48">
        <v>100.934</v>
      </c>
      <c r="V48">
        <v>-574.70106143042494</v>
      </c>
      <c r="W48">
        <v>69.350209599999999</v>
      </c>
      <c r="X48">
        <v>95.355453299999994</v>
      </c>
      <c r="Y48">
        <v>121.52199999999999</v>
      </c>
      <c r="Z48">
        <v>253.942295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2.6450211697315078</v>
      </c>
    </row>
    <row r="49" spans="1:40" x14ac:dyDescent="0.3">
      <c r="A49">
        <v>27</v>
      </c>
      <c r="B49">
        <v>16</v>
      </c>
      <c r="C49">
        <v>6.0772716805760716</v>
      </c>
      <c r="D49">
        <v>15</v>
      </c>
      <c r="E49">
        <v>13</v>
      </c>
      <c r="F49">
        <v>0.33971284331849211</v>
      </c>
      <c r="G49">
        <v>16</v>
      </c>
      <c r="H49">
        <v>12</v>
      </c>
      <c r="I49">
        <v>1.3641885832009519</v>
      </c>
      <c r="J49">
        <v>327615119.1594643</v>
      </c>
      <c r="K49">
        <v>165432000</v>
      </c>
      <c r="L49">
        <v>79924920.607833564</v>
      </c>
      <c r="M49">
        <v>77086200</v>
      </c>
      <c r="N49">
        <v>15759606.08</v>
      </c>
      <c r="O49">
        <v>232.05554100000001</v>
      </c>
      <c r="P49">
        <v>2.6389874236838242</v>
      </c>
      <c r="Q49">
        <v>43.733918000000003</v>
      </c>
      <c r="R49">
        <v>801.80145000000005</v>
      </c>
      <c r="S49">
        <v>1.32601196E-13</v>
      </c>
      <c r="T49">
        <v>21.279354543415344</v>
      </c>
      <c r="U49">
        <v>100.934</v>
      </c>
      <c r="V49">
        <v>-619.20822199012071</v>
      </c>
      <c r="W49">
        <v>69.223798299999999</v>
      </c>
      <c r="X49">
        <v>94.871179100000006</v>
      </c>
      <c r="Y49">
        <v>121.52199999999999</v>
      </c>
      <c r="Z49">
        <v>254.88758999999999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2.6389874236838242</v>
      </c>
    </row>
    <row r="50" spans="1:40" x14ac:dyDescent="0.3">
      <c r="A50">
        <v>29</v>
      </c>
      <c r="B50">
        <v>11</v>
      </c>
      <c r="C50">
        <v>1.0186063969466641</v>
      </c>
      <c r="D50">
        <v>14</v>
      </c>
      <c r="E50">
        <v>12</v>
      </c>
      <c r="F50">
        <v>0.36760227328959327</v>
      </c>
      <c r="G50">
        <v>12</v>
      </c>
      <c r="H50">
        <v>8</v>
      </c>
      <c r="I50">
        <v>0.51402011038779172</v>
      </c>
      <c r="J50">
        <v>326323988.32077396</v>
      </c>
      <c r="K50">
        <v>165399000</v>
      </c>
      <c r="L50">
        <v>79934531.072811589</v>
      </c>
      <c r="M50">
        <v>77825000</v>
      </c>
      <c r="N50">
        <v>15761915.360000001</v>
      </c>
      <c r="O50">
        <v>229.336885</v>
      </c>
      <c r="P50">
        <v>2.6515934208852387</v>
      </c>
      <c r="Q50">
        <v>43.687136600000002</v>
      </c>
      <c r="R50">
        <v>803.60989500000005</v>
      </c>
      <c r="S50">
        <v>6.1882795999999999E-14</v>
      </c>
      <c r="T50">
        <v>21.27218932087456</v>
      </c>
      <c r="U50">
        <v>91.850000000000009</v>
      </c>
      <c r="V50">
        <v>-499.34412688688542</v>
      </c>
      <c r="W50">
        <v>69.582292100000004</v>
      </c>
      <c r="X50">
        <v>96.850720100000004</v>
      </c>
      <c r="Y50">
        <v>100.934</v>
      </c>
      <c r="Z50">
        <v>256.10671500000001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2.6515934208852387</v>
      </c>
    </row>
    <row r="51" spans="1:40" x14ac:dyDescent="0.3">
      <c r="A51">
        <v>31</v>
      </c>
      <c r="B51">
        <v>11</v>
      </c>
      <c r="C51">
        <v>14.256359435953033</v>
      </c>
      <c r="D51">
        <v>25</v>
      </c>
      <c r="E51">
        <v>5</v>
      </c>
      <c r="F51">
        <v>0.33192464693581342</v>
      </c>
      <c r="G51">
        <v>11</v>
      </c>
      <c r="H51">
        <v>8</v>
      </c>
      <c r="I51">
        <v>1.1738135067030582</v>
      </c>
      <c r="J51">
        <v>329439928.56298399</v>
      </c>
      <c r="K51">
        <v>165537000</v>
      </c>
      <c r="L51">
        <v>79929025.068992943</v>
      </c>
      <c r="M51">
        <v>77318500</v>
      </c>
      <c r="N51">
        <v>15760571.359999999</v>
      </c>
      <c r="O51">
        <v>231.72281000000001</v>
      </c>
      <c r="P51">
        <v>2.645697633087992</v>
      </c>
      <c r="Q51">
        <v>43.835157299999999</v>
      </c>
      <c r="R51">
        <v>800.16592200000002</v>
      </c>
      <c r="S51">
        <v>4.3977317199999999E-8</v>
      </c>
      <c r="T51">
        <v>21.763421135204208</v>
      </c>
      <c r="U51">
        <v>100.934</v>
      </c>
      <c r="V51">
        <v>-598.2446254245848</v>
      </c>
      <c r="W51">
        <v>69.220224400000006</v>
      </c>
      <c r="X51">
        <v>94.850027800000007</v>
      </c>
      <c r="Y51">
        <v>177.97</v>
      </c>
      <c r="Z51">
        <v>255.811116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2.645697633087992</v>
      </c>
    </row>
    <row r="52" spans="1:40" x14ac:dyDescent="0.3">
      <c r="A52">
        <v>28</v>
      </c>
      <c r="B52">
        <v>19</v>
      </c>
      <c r="C52">
        <v>1.8184500345408205</v>
      </c>
      <c r="D52">
        <v>17</v>
      </c>
      <c r="E52">
        <v>11</v>
      </c>
      <c r="F52">
        <v>0.37394292011394703</v>
      </c>
      <c r="G52">
        <v>27</v>
      </c>
      <c r="H52">
        <v>7</v>
      </c>
      <c r="I52">
        <v>1.0976966858581989</v>
      </c>
      <c r="J52">
        <v>326982646.66137052</v>
      </c>
      <c r="K52">
        <v>165429000</v>
      </c>
      <c r="L52">
        <v>79926322.224862605</v>
      </c>
      <c r="M52">
        <v>77655300</v>
      </c>
      <c r="N52">
        <v>15760014.48</v>
      </c>
      <c r="O52">
        <v>230.087568</v>
      </c>
      <c r="P52">
        <v>2.6487169999556039</v>
      </c>
      <c r="Q52">
        <v>43.846537300000001</v>
      </c>
      <c r="R52">
        <v>801.46596299999999</v>
      </c>
      <c r="S52">
        <v>4.6152809400000003E-11</v>
      </c>
      <c r="T52">
        <v>21.782496047711003</v>
      </c>
      <c r="U52">
        <v>80.72</v>
      </c>
      <c r="V52">
        <v>-580.59683319431019</v>
      </c>
      <c r="W52">
        <v>69.3478396</v>
      </c>
      <c r="X52">
        <v>95.334260099999995</v>
      </c>
      <c r="Y52">
        <v>144.29</v>
      </c>
      <c r="Z52">
        <v>253.85545200000001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2.6487169999556039</v>
      </c>
    </row>
    <row r="53" spans="1:40" x14ac:dyDescent="0.3">
      <c r="A53">
        <v>28</v>
      </c>
      <c r="B53">
        <v>19</v>
      </c>
      <c r="C53">
        <v>11.512153859293681</v>
      </c>
      <c r="D53">
        <v>26</v>
      </c>
      <c r="E53">
        <v>5</v>
      </c>
      <c r="F53">
        <v>0.35516757392968595</v>
      </c>
      <c r="G53">
        <v>13</v>
      </c>
      <c r="H53">
        <v>11</v>
      </c>
      <c r="I53">
        <v>1.3935853609576667</v>
      </c>
      <c r="J53">
        <v>328822894.77823079</v>
      </c>
      <c r="K53">
        <v>165517000</v>
      </c>
      <c r="L53">
        <v>79926922.800303891</v>
      </c>
      <c r="M53">
        <v>77399200</v>
      </c>
      <c r="N53">
        <v>15759976.08</v>
      </c>
      <c r="O53">
        <v>231.53232499999999</v>
      </c>
      <c r="P53">
        <v>2.6441452151638711</v>
      </c>
      <c r="Q53">
        <v>43.854097899999999</v>
      </c>
      <c r="R53">
        <v>800.26390300000003</v>
      </c>
      <c r="S53">
        <v>3.5755840500000003E-8</v>
      </c>
      <c r="T53">
        <v>21.78727052318964</v>
      </c>
      <c r="U53">
        <v>100.934</v>
      </c>
      <c r="V53">
        <v>-599.76798445458223</v>
      </c>
      <c r="W53">
        <v>69.220645599999997</v>
      </c>
      <c r="X53">
        <v>94.852926499999995</v>
      </c>
      <c r="Y53">
        <v>177.97</v>
      </c>
      <c r="Z53">
        <v>257.45363200000003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2.6441452151638711</v>
      </c>
    </row>
    <row r="54" spans="1:40" x14ac:dyDescent="0.3">
      <c r="A54">
        <v>28</v>
      </c>
      <c r="B54">
        <v>13</v>
      </c>
      <c r="C54">
        <v>7.3640426012703957</v>
      </c>
      <c r="D54">
        <v>23</v>
      </c>
      <c r="E54">
        <v>5</v>
      </c>
      <c r="F54">
        <v>0.30320634645557576</v>
      </c>
      <c r="G54">
        <v>24</v>
      </c>
      <c r="H54">
        <v>11</v>
      </c>
      <c r="I54">
        <v>1.3563816927849408</v>
      </c>
      <c r="J54">
        <v>328261394.67049301</v>
      </c>
      <c r="K54">
        <v>165469000</v>
      </c>
      <c r="L54">
        <v>79924620.307272837</v>
      </c>
      <c r="M54">
        <v>77231900</v>
      </c>
      <c r="N54">
        <v>15759569.279999999</v>
      </c>
      <c r="O54">
        <v>231.94855100000001</v>
      </c>
      <c r="P54">
        <v>2.6400274555432302</v>
      </c>
      <c r="Q54">
        <v>43.809618800000003</v>
      </c>
      <c r="R54">
        <v>800.07187399999998</v>
      </c>
      <c r="S54">
        <v>5.8285527999999998E-8</v>
      </c>
      <c r="T54">
        <v>21.734210824249985</v>
      </c>
      <c r="U54">
        <v>100.934</v>
      </c>
      <c r="V54">
        <v>-596.1969403139002</v>
      </c>
      <c r="W54">
        <v>69.222353799999993</v>
      </c>
      <c r="X54">
        <v>94.863402199999996</v>
      </c>
      <c r="Y54">
        <v>177.97</v>
      </c>
      <c r="Z54">
        <v>254.40012999999999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2.6400274555432302</v>
      </c>
    </row>
    <row r="55" spans="1:40" x14ac:dyDescent="0.3">
      <c r="A55">
        <v>38</v>
      </c>
      <c r="B55">
        <v>13</v>
      </c>
      <c r="C55">
        <v>4.8409223132504833</v>
      </c>
      <c r="D55">
        <v>16</v>
      </c>
      <c r="E55">
        <v>9</v>
      </c>
      <c r="F55">
        <v>0.31470980671531767</v>
      </c>
      <c r="G55">
        <v>16</v>
      </c>
      <c r="H55">
        <v>13</v>
      </c>
      <c r="I55">
        <v>1.2626610110734307</v>
      </c>
      <c r="J55">
        <v>327680862.30939442</v>
      </c>
      <c r="K55">
        <v>165449000</v>
      </c>
      <c r="L55">
        <v>79925020.762941808</v>
      </c>
      <c r="M55">
        <v>77335500</v>
      </c>
      <c r="N55">
        <v>15759589.760000002</v>
      </c>
      <c r="O55">
        <v>231.59771000000001</v>
      </c>
      <c r="P55">
        <v>2.6399692511948176</v>
      </c>
      <c r="Q55">
        <v>43.8206749</v>
      </c>
      <c r="R55">
        <v>800.38958700000001</v>
      </c>
      <c r="S55">
        <v>2.95535308E-11</v>
      </c>
      <c r="T55">
        <v>21.621197536124466</v>
      </c>
      <c r="U55">
        <v>100.934</v>
      </c>
      <c r="V55">
        <v>-609.98552339957143</v>
      </c>
      <c r="W55">
        <v>69.221724699999996</v>
      </c>
      <c r="X55">
        <v>94.858043899999998</v>
      </c>
      <c r="Y55">
        <v>144.29</v>
      </c>
      <c r="Z55">
        <v>255.62389999999999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2.6399692511948176</v>
      </c>
    </row>
    <row r="56" spans="1:40" x14ac:dyDescent="0.3">
      <c r="A56">
        <v>35</v>
      </c>
      <c r="B56">
        <v>15</v>
      </c>
      <c r="C56">
        <v>5.529654927684696</v>
      </c>
      <c r="D56">
        <v>13</v>
      </c>
      <c r="E56">
        <v>11</v>
      </c>
      <c r="F56">
        <v>0.31056242612708973</v>
      </c>
      <c r="G56">
        <v>20</v>
      </c>
      <c r="H56">
        <v>13</v>
      </c>
      <c r="I56">
        <v>1.283870933499879</v>
      </c>
      <c r="J56">
        <v>327734140.7438857</v>
      </c>
      <c r="K56">
        <v>165449000</v>
      </c>
      <c r="L56">
        <v>79924520.164901972</v>
      </c>
      <c r="M56">
        <v>77002400</v>
      </c>
      <c r="N56">
        <v>15759533.359999999</v>
      </c>
      <c r="O56">
        <v>232.33083199999999</v>
      </c>
      <c r="P56">
        <v>2.6381234593968061</v>
      </c>
      <c r="Q56">
        <v>43.710654900000002</v>
      </c>
      <c r="R56">
        <v>801.77972699999998</v>
      </c>
      <c r="S56">
        <v>1.88849899E-12</v>
      </c>
      <c r="T56">
        <v>21.245639711481246</v>
      </c>
      <c r="U56">
        <v>100.934</v>
      </c>
      <c r="V56">
        <v>-617.57476940963545</v>
      </c>
      <c r="W56">
        <v>69.220057400000002</v>
      </c>
      <c r="X56">
        <v>94.849356700000001</v>
      </c>
      <c r="Y56">
        <v>121.52199999999999</v>
      </c>
      <c r="Z56">
        <v>254.445742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2.6381234593968061</v>
      </c>
    </row>
    <row r="57" spans="1:40" x14ac:dyDescent="0.3">
      <c r="A57">
        <v>38</v>
      </c>
      <c r="B57">
        <v>11</v>
      </c>
      <c r="C57">
        <v>14.711006711869864</v>
      </c>
      <c r="D57">
        <v>18</v>
      </c>
      <c r="E57">
        <v>11</v>
      </c>
      <c r="F57">
        <v>0.33796173847913241</v>
      </c>
      <c r="G57">
        <v>15</v>
      </c>
      <c r="H57">
        <v>13</v>
      </c>
      <c r="I57">
        <v>0.61417267864373359</v>
      </c>
      <c r="J57">
        <v>329686913.50359792</v>
      </c>
      <c r="K57">
        <v>165574000</v>
      </c>
      <c r="L57">
        <v>79944942.334491238</v>
      </c>
      <c r="M57">
        <v>77518400</v>
      </c>
      <c r="N57">
        <v>15764243.119999999</v>
      </c>
      <c r="O57">
        <v>231.33390299999999</v>
      </c>
      <c r="P57">
        <v>2.6477617543918015</v>
      </c>
      <c r="Q57">
        <v>43.845931800000002</v>
      </c>
      <c r="R57">
        <v>800.523865</v>
      </c>
      <c r="S57">
        <v>3.9035294999999998E-13</v>
      </c>
      <c r="T57">
        <v>21.647493534059905</v>
      </c>
      <c r="U57">
        <v>100.934</v>
      </c>
      <c r="V57">
        <v>-614.00957788178937</v>
      </c>
      <c r="W57">
        <v>69.219644500000001</v>
      </c>
      <c r="X57">
        <v>94.843877899999995</v>
      </c>
      <c r="Y57">
        <v>144.29</v>
      </c>
      <c r="Z57">
        <v>262.16968900000001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2.6477617543918015</v>
      </c>
    </row>
    <row r="58" spans="1:40" x14ac:dyDescent="0.3">
      <c r="A58">
        <v>29</v>
      </c>
      <c r="B58">
        <v>16</v>
      </c>
      <c r="C58">
        <v>8.2052406863413765</v>
      </c>
      <c r="D58">
        <v>10</v>
      </c>
      <c r="E58">
        <v>6</v>
      </c>
      <c r="F58">
        <v>0.30571071337001976</v>
      </c>
      <c r="G58">
        <v>18</v>
      </c>
      <c r="H58">
        <v>7</v>
      </c>
      <c r="I58">
        <v>0.32997934477150376</v>
      </c>
      <c r="J58">
        <v>327909104.790914</v>
      </c>
      <c r="K58">
        <v>165466000</v>
      </c>
      <c r="L58">
        <v>79939736.820239395</v>
      </c>
      <c r="M58">
        <v>77160400</v>
      </c>
      <c r="N58">
        <v>15763401.120000001</v>
      </c>
      <c r="O58">
        <v>231.828959</v>
      </c>
      <c r="P58">
        <v>2.6416620861204034</v>
      </c>
      <c r="Q58">
        <v>43.775859199999999</v>
      </c>
      <c r="R58">
        <v>801.03179399999999</v>
      </c>
      <c r="S58">
        <v>1.0090162E-8</v>
      </c>
      <c r="T58">
        <v>21.55476649120293</v>
      </c>
      <c r="U58">
        <v>100.934</v>
      </c>
      <c r="V58">
        <v>-613.5978118635071</v>
      </c>
      <c r="W58">
        <v>69.220518200000001</v>
      </c>
      <c r="X58">
        <v>94.853345899999994</v>
      </c>
      <c r="Y58">
        <v>121.52199999999999</v>
      </c>
      <c r="Z58">
        <v>253.51571200000001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2.6416620861204034</v>
      </c>
    </row>
    <row r="59" spans="1:40" x14ac:dyDescent="0.3">
      <c r="A59">
        <v>38</v>
      </c>
      <c r="B59">
        <v>10</v>
      </c>
      <c r="C59">
        <v>1.6797246131104613</v>
      </c>
      <c r="D59">
        <v>17</v>
      </c>
      <c r="E59">
        <v>14</v>
      </c>
      <c r="F59">
        <v>0.32606999798908237</v>
      </c>
      <c r="G59">
        <v>25</v>
      </c>
      <c r="H59">
        <v>10</v>
      </c>
      <c r="I59">
        <v>0.56554678793807889</v>
      </c>
      <c r="J59">
        <v>327148799.60128719</v>
      </c>
      <c r="K59">
        <v>165446000</v>
      </c>
      <c r="L59">
        <v>79926522.415512189</v>
      </c>
      <c r="M59">
        <v>77527400</v>
      </c>
      <c r="N59">
        <v>15760062.239999998</v>
      </c>
      <c r="O59">
        <v>230.72278299999999</v>
      </c>
      <c r="P59">
        <v>2.6446858720841866</v>
      </c>
      <c r="Q59">
        <v>43.8082773</v>
      </c>
      <c r="R59">
        <v>800.94657700000005</v>
      </c>
      <c r="S59">
        <v>6.4571871999999996E-9</v>
      </c>
      <c r="T59">
        <v>21.753095412456553</v>
      </c>
      <c r="U59">
        <v>100.934</v>
      </c>
      <c r="V59">
        <v>-563.50644062771835</v>
      </c>
      <c r="W59">
        <v>69.341798600000004</v>
      </c>
      <c r="X59">
        <v>95.306692499999997</v>
      </c>
      <c r="Y59">
        <v>165.7</v>
      </c>
      <c r="Z59">
        <v>254.16354899999999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2.6446858720841866</v>
      </c>
    </row>
    <row r="60" spans="1:40" x14ac:dyDescent="0.3">
      <c r="A60">
        <v>27</v>
      </c>
      <c r="B60">
        <v>18</v>
      </c>
      <c r="C60">
        <v>8.3359882399782919</v>
      </c>
      <c r="D60">
        <v>21</v>
      </c>
      <c r="E60">
        <v>5</v>
      </c>
      <c r="F60">
        <v>0.40335202105532209</v>
      </c>
      <c r="G60">
        <v>10</v>
      </c>
      <c r="H60">
        <v>7</v>
      </c>
      <c r="I60">
        <v>1.3069539092572189</v>
      </c>
      <c r="J60">
        <v>328057264.85871649</v>
      </c>
      <c r="K60">
        <v>165460000</v>
      </c>
      <c r="L60">
        <v>79930426.620486185</v>
      </c>
      <c r="M60">
        <v>77446500</v>
      </c>
      <c r="N60">
        <v>15760938.319999998</v>
      </c>
      <c r="O60">
        <v>231.07455300000001</v>
      </c>
      <c r="P60">
        <v>2.6451416387071056</v>
      </c>
      <c r="Q60">
        <v>43.886426399999998</v>
      </c>
      <c r="R60">
        <v>800.65103699999997</v>
      </c>
      <c r="S60">
        <v>2.4577334300000001E-8</v>
      </c>
      <c r="T60">
        <v>21.819494916585363</v>
      </c>
      <c r="U60">
        <v>100.934</v>
      </c>
      <c r="V60">
        <v>-606.5550998654428</v>
      </c>
      <c r="W60">
        <v>69.222406399999997</v>
      </c>
      <c r="X60">
        <v>94.863353799999999</v>
      </c>
      <c r="Y60">
        <v>177.97</v>
      </c>
      <c r="Z60">
        <v>255.38194200000001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2.6451416387071056</v>
      </c>
    </row>
    <row r="61" spans="1:40" x14ac:dyDescent="0.3">
      <c r="A61">
        <v>39</v>
      </c>
      <c r="B61">
        <v>18</v>
      </c>
      <c r="C61">
        <v>2.6287396210710492</v>
      </c>
      <c r="D61">
        <v>28</v>
      </c>
      <c r="E61">
        <v>5</v>
      </c>
      <c r="F61">
        <v>0.30619804911215565</v>
      </c>
      <c r="G61">
        <v>17</v>
      </c>
      <c r="H61">
        <v>7</v>
      </c>
      <c r="I61">
        <v>1.1379498330589388</v>
      </c>
      <c r="J61">
        <v>327509653.29046303</v>
      </c>
      <c r="K61">
        <v>165463000</v>
      </c>
      <c r="L61">
        <v>79926422.30334121</v>
      </c>
      <c r="M61">
        <v>77232700</v>
      </c>
      <c r="N61">
        <v>15760032.16</v>
      </c>
      <c r="O61">
        <v>231.95167599999999</v>
      </c>
      <c r="P61">
        <v>2.6376623461427817</v>
      </c>
      <c r="Q61">
        <v>43.813786999999998</v>
      </c>
      <c r="R61">
        <v>800.01054199999999</v>
      </c>
      <c r="S61">
        <v>5.6300433899999999E-8</v>
      </c>
      <c r="T61">
        <v>21.749286365377277</v>
      </c>
      <c r="U61">
        <v>100.934</v>
      </c>
      <c r="V61">
        <v>-594.05154732618291</v>
      </c>
      <c r="W61">
        <v>69.222852000000003</v>
      </c>
      <c r="X61">
        <v>94.867639999999994</v>
      </c>
      <c r="Y61">
        <v>177.97</v>
      </c>
      <c r="Z61">
        <v>254.30504999999999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2.6376623461427817</v>
      </c>
    </row>
    <row r="62" spans="1:40" x14ac:dyDescent="0.3">
      <c r="A62">
        <v>38</v>
      </c>
      <c r="B62">
        <v>10</v>
      </c>
      <c r="C62">
        <v>2.0191436125510647</v>
      </c>
      <c r="D62">
        <v>29</v>
      </c>
      <c r="E62">
        <v>8</v>
      </c>
      <c r="F62">
        <v>0.33428205518957105</v>
      </c>
      <c r="G62">
        <v>14</v>
      </c>
      <c r="H62">
        <v>9</v>
      </c>
      <c r="I62">
        <v>0.55536412884431408</v>
      </c>
      <c r="J62">
        <v>327254937.80019891</v>
      </c>
      <c r="K62">
        <v>165450000</v>
      </c>
      <c r="L62">
        <v>79930026.246788338</v>
      </c>
      <c r="M62">
        <v>77491800</v>
      </c>
      <c r="N62">
        <v>15760867.6</v>
      </c>
      <c r="O62">
        <v>231.035571</v>
      </c>
      <c r="P62">
        <v>2.642173853462952</v>
      </c>
      <c r="Q62">
        <v>43.841510100000001</v>
      </c>
      <c r="R62">
        <v>800.42178200000001</v>
      </c>
      <c r="S62">
        <v>1.1931562299999999E-10</v>
      </c>
      <c r="T62">
        <v>21.759125576596023</v>
      </c>
      <c r="U62">
        <v>100.934</v>
      </c>
      <c r="V62">
        <v>-575.71311228850425</v>
      </c>
      <c r="W62">
        <v>69.291402399999996</v>
      </c>
      <c r="X62">
        <v>95.105917099999999</v>
      </c>
      <c r="Y62">
        <v>177.97</v>
      </c>
      <c r="Z62">
        <v>255.011595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2.642173853462952</v>
      </c>
    </row>
    <row r="63" spans="1:40" x14ac:dyDescent="0.3">
      <c r="A63">
        <v>38</v>
      </c>
      <c r="B63">
        <v>18</v>
      </c>
      <c r="C63">
        <v>9.1563157944990774</v>
      </c>
      <c r="D63">
        <v>29</v>
      </c>
      <c r="E63">
        <v>5</v>
      </c>
      <c r="F63">
        <v>0.3157203316663772</v>
      </c>
      <c r="G63">
        <v>13</v>
      </c>
      <c r="H63">
        <v>7</v>
      </c>
      <c r="I63">
        <v>1.2550496791657544</v>
      </c>
      <c r="J63">
        <v>328858631.41738808</v>
      </c>
      <c r="K63">
        <v>165530000</v>
      </c>
      <c r="L63">
        <v>79927122.995678633</v>
      </c>
      <c r="M63">
        <v>77247000</v>
      </c>
      <c r="N63">
        <v>15760181.84</v>
      </c>
      <c r="O63">
        <v>231.90029200000001</v>
      </c>
      <c r="P63">
        <v>2.6431989071096105</v>
      </c>
      <c r="Q63">
        <v>43.823319900000001</v>
      </c>
      <c r="R63">
        <v>800.02423899999997</v>
      </c>
      <c r="S63">
        <v>5.1221589200000002E-8</v>
      </c>
      <c r="T63">
        <v>21.757144401805611</v>
      </c>
      <c r="U63">
        <v>100.934</v>
      </c>
      <c r="V63">
        <v>-595.82722130450747</v>
      </c>
      <c r="W63">
        <v>69.218759000000006</v>
      </c>
      <c r="X63">
        <v>94.8320097</v>
      </c>
      <c r="Y63">
        <v>177.97</v>
      </c>
      <c r="Z63">
        <v>254.41001399999999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2.6431989071096105</v>
      </c>
    </row>
    <row r="64" spans="1:40" x14ac:dyDescent="0.3">
      <c r="A64">
        <v>30</v>
      </c>
      <c r="B64">
        <v>15</v>
      </c>
      <c r="C64">
        <v>13.899208213718371</v>
      </c>
      <c r="D64">
        <v>11</v>
      </c>
      <c r="E64">
        <v>8</v>
      </c>
      <c r="F64">
        <v>0.32081224035963762</v>
      </c>
      <c r="G64">
        <v>23</v>
      </c>
      <c r="H64">
        <v>12</v>
      </c>
      <c r="I64">
        <v>0.55595501748395004</v>
      </c>
      <c r="J64">
        <v>329200019.26819301</v>
      </c>
      <c r="K64">
        <v>165515000</v>
      </c>
      <c r="L64">
        <v>79925621.359954432</v>
      </c>
      <c r="M64">
        <v>77162400</v>
      </c>
      <c r="N64">
        <v>15759814.479999999</v>
      </c>
      <c r="O64">
        <v>231.831177</v>
      </c>
      <c r="P64">
        <v>2.6463118434258481</v>
      </c>
      <c r="Q64">
        <v>43.767686099999999</v>
      </c>
      <c r="R64">
        <v>801.36012499999993</v>
      </c>
      <c r="S64">
        <v>2.3188468499999999E-10</v>
      </c>
      <c r="T64">
        <v>21.446523466961477</v>
      </c>
      <c r="U64">
        <v>100.934</v>
      </c>
      <c r="V64">
        <v>-617.80180659087989</v>
      </c>
      <c r="W64">
        <v>69.219501699999995</v>
      </c>
      <c r="X64">
        <v>94.844480300000001</v>
      </c>
      <c r="Y64">
        <v>121.52199999999999</v>
      </c>
      <c r="Z64">
        <v>254.33855299999999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2.6463118434258481</v>
      </c>
    </row>
    <row r="65" spans="1:40" x14ac:dyDescent="0.3">
      <c r="A65">
        <v>28</v>
      </c>
      <c r="B65">
        <v>19</v>
      </c>
      <c r="C65">
        <v>14.848566225826296</v>
      </c>
      <c r="D65">
        <v>10</v>
      </c>
      <c r="E65">
        <v>6</v>
      </c>
      <c r="F65">
        <v>0.34920809445018169</v>
      </c>
      <c r="G65">
        <v>12</v>
      </c>
      <c r="H65">
        <v>10</v>
      </c>
      <c r="I65">
        <v>0.97137219231020033</v>
      </c>
      <c r="J65">
        <v>329132668.74534988</v>
      </c>
      <c r="K65">
        <v>165524000</v>
      </c>
      <c r="L65">
        <v>79931127.353911877</v>
      </c>
      <c r="M65">
        <v>77383800</v>
      </c>
      <c r="N65">
        <v>15760943.92</v>
      </c>
      <c r="O65">
        <v>231.427798</v>
      </c>
      <c r="P65">
        <v>2.6466754100938665</v>
      </c>
      <c r="Q65">
        <v>43.810861600000003</v>
      </c>
      <c r="R65">
        <v>801.24913499999991</v>
      </c>
      <c r="S65">
        <v>6.0339449600000001E-9</v>
      </c>
      <c r="T65">
        <v>21.606793477795584</v>
      </c>
      <c r="U65">
        <v>100.934</v>
      </c>
      <c r="V65">
        <v>-618.33858598378197</v>
      </c>
      <c r="W65">
        <v>69.220257599999997</v>
      </c>
      <c r="X65">
        <v>94.8502273</v>
      </c>
      <c r="Y65">
        <v>121.52199999999999</v>
      </c>
      <c r="Z65">
        <v>259.05376899999999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2.6466754100938665</v>
      </c>
    </row>
    <row r="66" spans="1:40" x14ac:dyDescent="0.3">
      <c r="A66">
        <v>38</v>
      </c>
      <c r="B66">
        <v>11</v>
      </c>
      <c r="C66">
        <v>1.586313612391399</v>
      </c>
      <c r="D66">
        <v>28</v>
      </c>
      <c r="E66">
        <v>6</v>
      </c>
      <c r="F66">
        <v>0.38938947213864405</v>
      </c>
      <c r="G66">
        <v>11</v>
      </c>
      <c r="H66">
        <v>8</v>
      </c>
      <c r="I66">
        <v>0.351948961587077</v>
      </c>
      <c r="J66">
        <v>327044541.04980803</v>
      </c>
      <c r="K66">
        <v>165477000</v>
      </c>
      <c r="L66">
        <v>79956655.257164389</v>
      </c>
      <c r="M66">
        <v>77778200</v>
      </c>
      <c r="N66">
        <v>15767248.719999999</v>
      </c>
      <c r="O66">
        <v>230.18197799999999</v>
      </c>
      <c r="P66">
        <v>2.6463767552277915</v>
      </c>
      <c r="Q66">
        <v>43.868099600000001</v>
      </c>
      <c r="R66">
        <v>801.12978199999998</v>
      </c>
      <c r="S66">
        <v>3.1424539700000001E-9</v>
      </c>
      <c r="T66">
        <v>21.878779361770881</v>
      </c>
      <c r="U66">
        <v>100.934</v>
      </c>
      <c r="V66">
        <v>-559.14782180686086</v>
      </c>
      <c r="W66">
        <v>69.349232700000002</v>
      </c>
      <c r="X66">
        <v>95.340108099999995</v>
      </c>
      <c r="Y66">
        <v>177.97</v>
      </c>
      <c r="Z66">
        <v>260.40123299999999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2.6463767552277915</v>
      </c>
    </row>
    <row r="67" spans="1:40" x14ac:dyDescent="0.3">
      <c r="A67">
        <v>34</v>
      </c>
      <c r="B67">
        <v>10</v>
      </c>
      <c r="C67">
        <v>11.26316692685366</v>
      </c>
      <c r="D67">
        <v>11</v>
      </c>
      <c r="E67">
        <v>8</v>
      </c>
      <c r="F67">
        <v>0.34187733548930621</v>
      </c>
      <c r="G67">
        <v>16</v>
      </c>
      <c r="H67">
        <v>14</v>
      </c>
      <c r="I67">
        <v>1.1356567228088927</v>
      </c>
      <c r="J67">
        <v>328798120.14113444</v>
      </c>
      <c r="K67">
        <v>165516000</v>
      </c>
      <c r="L67">
        <v>79925821.648804992</v>
      </c>
      <c r="M67">
        <v>77212200</v>
      </c>
      <c r="N67">
        <v>15759877.84</v>
      </c>
      <c r="O67">
        <v>231.61031500000001</v>
      </c>
      <c r="P67">
        <v>2.6467272766648207</v>
      </c>
      <c r="Q67">
        <v>43.785058599999999</v>
      </c>
      <c r="R67">
        <v>801.48169099999996</v>
      </c>
      <c r="S67">
        <v>1.6376561800000001E-10</v>
      </c>
      <c r="T67">
        <v>21.480729307893125</v>
      </c>
      <c r="U67">
        <v>100.934</v>
      </c>
      <c r="V67">
        <v>-619.40664602780464</v>
      </c>
      <c r="W67">
        <v>69.221191200000007</v>
      </c>
      <c r="X67">
        <v>94.854730900000007</v>
      </c>
      <c r="Y67">
        <v>121.52199999999999</v>
      </c>
      <c r="Z67">
        <v>254.13243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2.6467272766648207</v>
      </c>
    </row>
    <row r="68" spans="1:40" x14ac:dyDescent="0.3">
      <c r="A68">
        <v>29</v>
      </c>
      <c r="B68">
        <v>14</v>
      </c>
      <c r="C68">
        <v>4.0363160907342541</v>
      </c>
      <c r="D68">
        <v>29</v>
      </c>
      <c r="E68">
        <v>5</v>
      </c>
      <c r="F68">
        <v>0.30236278113815951</v>
      </c>
      <c r="G68">
        <v>19</v>
      </c>
      <c r="H68">
        <v>7</v>
      </c>
      <c r="I68">
        <v>1.0464603483422825</v>
      </c>
      <c r="J68">
        <v>327624745.11119938</v>
      </c>
      <c r="K68">
        <v>165447000</v>
      </c>
      <c r="L68">
        <v>79926522.401953071</v>
      </c>
      <c r="M68">
        <v>77230200</v>
      </c>
      <c r="N68">
        <v>15760055.76</v>
      </c>
      <c r="O68">
        <v>231.96811199999999</v>
      </c>
      <c r="P68">
        <v>2.6375553678858878</v>
      </c>
      <c r="Q68">
        <v>43.8099743</v>
      </c>
      <c r="R68">
        <v>799.99672099999998</v>
      </c>
      <c r="S68">
        <v>5.8487661999999999E-8</v>
      </c>
      <c r="T68">
        <v>21.750246945513517</v>
      </c>
      <c r="U68">
        <v>100.934</v>
      </c>
      <c r="V68">
        <v>-592.31600058738729</v>
      </c>
      <c r="W68">
        <v>69.226227499999993</v>
      </c>
      <c r="X68">
        <v>94.880654100000001</v>
      </c>
      <c r="Y68">
        <v>177.97</v>
      </c>
      <c r="Z68">
        <v>254.298182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2.6375553678858878</v>
      </c>
    </row>
    <row r="69" spans="1:40" x14ac:dyDescent="0.3">
      <c r="A69">
        <v>38</v>
      </c>
      <c r="B69">
        <v>12</v>
      </c>
      <c r="C69">
        <v>7.3892019275353196</v>
      </c>
      <c r="D69">
        <v>21</v>
      </c>
      <c r="E69">
        <v>5</v>
      </c>
      <c r="F69">
        <v>0.30163389795163165</v>
      </c>
      <c r="G69">
        <v>11</v>
      </c>
      <c r="H69">
        <v>7</v>
      </c>
      <c r="I69">
        <v>1.1737335857421982</v>
      </c>
      <c r="J69">
        <v>328233153.54167461</v>
      </c>
      <c r="K69">
        <v>165474000</v>
      </c>
      <c r="L69">
        <v>79928924.962163433</v>
      </c>
      <c r="M69">
        <v>77240900</v>
      </c>
      <c r="N69">
        <v>15760596.560000001</v>
      </c>
      <c r="O69">
        <v>231.955162</v>
      </c>
      <c r="P69">
        <v>2.6397934352332313</v>
      </c>
      <c r="Q69">
        <v>43.807763100000003</v>
      </c>
      <c r="R69">
        <v>800.10060499999997</v>
      </c>
      <c r="S69">
        <v>5.9391184600000002E-8</v>
      </c>
      <c r="T69">
        <v>21.726116143490344</v>
      </c>
      <c r="U69">
        <v>100.934</v>
      </c>
      <c r="V69">
        <v>-597.76484728713217</v>
      </c>
      <c r="W69">
        <v>69.220624000000001</v>
      </c>
      <c r="X69">
        <v>94.851260600000003</v>
      </c>
      <c r="Y69">
        <v>170.55</v>
      </c>
      <c r="Z69">
        <v>254.97039899999999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2.6397934352332313</v>
      </c>
    </row>
    <row r="70" spans="1:40" x14ac:dyDescent="0.3">
      <c r="A70">
        <v>38</v>
      </c>
      <c r="B70">
        <v>11</v>
      </c>
      <c r="C70">
        <v>4.1343611613502755</v>
      </c>
      <c r="D70">
        <v>28</v>
      </c>
      <c r="E70">
        <v>5</v>
      </c>
      <c r="F70">
        <v>0.33312108304752081</v>
      </c>
      <c r="G70">
        <v>23</v>
      </c>
      <c r="H70">
        <v>12</v>
      </c>
      <c r="I70">
        <v>0.93493269512239596</v>
      </c>
      <c r="J70">
        <v>327981420.75664604</v>
      </c>
      <c r="K70">
        <v>165482000</v>
      </c>
      <c r="L70">
        <v>79924620.374863058</v>
      </c>
      <c r="M70">
        <v>77297200</v>
      </c>
      <c r="N70">
        <v>15759585.199999999</v>
      </c>
      <c r="O70">
        <v>231.68290200000001</v>
      </c>
      <c r="P70">
        <v>2.641237682589193</v>
      </c>
      <c r="Q70">
        <v>43.835639</v>
      </c>
      <c r="R70">
        <v>800.15702899999997</v>
      </c>
      <c r="S70">
        <v>4.3291688000000001E-8</v>
      </c>
      <c r="T70">
        <v>21.775584065079684</v>
      </c>
      <c r="U70">
        <v>100.934</v>
      </c>
      <c r="V70">
        <v>-594.41477016588715</v>
      </c>
      <c r="W70">
        <v>69.227480400000005</v>
      </c>
      <c r="X70">
        <v>94.880606900000004</v>
      </c>
      <c r="Y70">
        <v>177.97</v>
      </c>
      <c r="Z70">
        <v>254.34480099999999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2.641237682589193</v>
      </c>
    </row>
    <row r="71" spans="1:40" x14ac:dyDescent="0.3">
      <c r="A71">
        <v>39</v>
      </c>
      <c r="B71">
        <v>19</v>
      </c>
      <c r="C71">
        <v>1.7271526311124883</v>
      </c>
      <c r="D71">
        <v>12</v>
      </c>
      <c r="E71">
        <v>9</v>
      </c>
      <c r="F71">
        <v>0.31108777306775698</v>
      </c>
      <c r="G71">
        <v>14</v>
      </c>
      <c r="H71">
        <v>11</v>
      </c>
      <c r="I71">
        <v>0.50212892797277764</v>
      </c>
      <c r="J71">
        <v>326959894.93084645</v>
      </c>
      <c r="K71">
        <v>165441000</v>
      </c>
      <c r="L71">
        <v>79938735.656619474</v>
      </c>
      <c r="M71">
        <v>77321200</v>
      </c>
      <c r="N71">
        <v>15762849.76</v>
      </c>
      <c r="O71">
        <v>231.628355</v>
      </c>
      <c r="P71">
        <v>2.6376270340220684</v>
      </c>
      <c r="Q71">
        <v>43.748956300000003</v>
      </c>
      <c r="R71">
        <v>801.42595100000005</v>
      </c>
      <c r="S71">
        <v>4.3616027400000001E-11</v>
      </c>
      <c r="T71">
        <v>21.448378821417986</v>
      </c>
      <c r="U71">
        <v>100.934</v>
      </c>
      <c r="V71">
        <v>-600.81606763105538</v>
      </c>
      <c r="W71">
        <v>69.263361399999994</v>
      </c>
      <c r="X71">
        <v>95.016980500000003</v>
      </c>
      <c r="Y71">
        <v>121.52199999999999</v>
      </c>
      <c r="Z71">
        <v>258.58537200000001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2.6376270340220684</v>
      </c>
    </row>
    <row r="72" spans="1:40" x14ac:dyDescent="0.3">
      <c r="A72">
        <v>38</v>
      </c>
      <c r="B72">
        <v>19</v>
      </c>
      <c r="C72">
        <v>3.2721249161514709</v>
      </c>
      <c r="D72">
        <v>29</v>
      </c>
      <c r="E72">
        <v>5</v>
      </c>
      <c r="F72">
        <v>0.34408610300515702</v>
      </c>
      <c r="G72">
        <v>28</v>
      </c>
      <c r="H72">
        <v>8</v>
      </c>
      <c r="I72">
        <v>1.1092835898803326</v>
      </c>
      <c r="J72">
        <v>328025120.58407289</v>
      </c>
      <c r="K72">
        <v>165484000</v>
      </c>
      <c r="L72">
        <v>79925621.434940532</v>
      </c>
      <c r="M72">
        <v>77301400</v>
      </c>
      <c r="N72">
        <v>15759830.720000001</v>
      </c>
      <c r="O72">
        <v>231.64670000000001</v>
      </c>
      <c r="P72">
        <v>2.6417365992109558</v>
      </c>
      <c r="Q72">
        <v>43.846378100000003</v>
      </c>
      <c r="R72">
        <v>800.1631890000001</v>
      </c>
      <c r="S72">
        <v>3.92677784E-8</v>
      </c>
      <c r="T72">
        <v>21.783531620663592</v>
      </c>
      <c r="U72">
        <v>100.934</v>
      </c>
      <c r="V72">
        <v>-597.50608893111951</v>
      </c>
      <c r="W72">
        <v>69.220250300000004</v>
      </c>
      <c r="X72">
        <v>94.852112099999999</v>
      </c>
      <c r="Y72">
        <v>177.97</v>
      </c>
      <c r="Z72">
        <v>254.25301999999999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2.6417365992109558</v>
      </c>
    </row>
    <row r="73" spans="1:40" x14ac:dyDescent="0.3">
      <c r="A73">
        <v>39</v>
      </c>
      <c r="B73">
        <v>17</v>
      </c>
      <c r="C73">
        <v>8.8664542347909752</v>
      </c>
      <c r="D73">
        <v>15</v>
      </c>
      <c r="E73">
        <v>10</v>
      </c>
      <c r="F73">
        <v>0.36131403981575239</v>
      </c>
      <c r="G73">
        <v>29</v>
      </c>
      <c r="H73">
        <v>13</v>
      </c>
      <c r="I73">
        <v>0.53849315972153577</v>
      </c>
      <c r="J73">
        <v>328775076.73647457</v>
      </c>
      <c r="K73">
        <v>165528000</v>
      </c>
      <c r="L73">
        <v>79925421.251070499</v>
      </c>
      <c r="M73">
        <v>77375400</v>
      </c>
      <c r="N73">
        <v>15759793.199999999</v>
      </c>
      <c r="O73">
        <v>231.113913</v>
      </c>
      <c r="P73">
        <v>2.6494564471974038</v>
      </c>
      <c r="Q73">
        <v>43.851157899999997</v>
      </c>
      <c r="R73">
        <v>801.02072999999996</v>
      </c>
      <c r="S73">
        <v>1.7558537400000001E-12</v>
      </c>
      <c r="T73">
        <v>21.64830131548554</v>
      </c>
      <c r="U73">
        <v>100.934</v>
      </c>
      <c r="V73">
        <v>-620.26115589634219</v>
      </c>
      <c r="W73">
        <v>69.218794099999997</v>
      </c>
      <c r="X73">
        <v>94.833443399999993</v>
      </c>
      <c r="Y73">
        <v>144.29</v>
      </c>
      <c r="Z73">
        <v>253.96317099999999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2.6494564471974038</v>
      </c>
    </row>
    <row r="74" spans="1:40" x14ac:dyDescent="0.3">
      <c r="A74">
        <v>28</v>
      </c>
      <c r="B74">
        <v>10</v>
      </c>
      <c r="C74">
        <v>1.1292846034026192</v>
      </c>
      <c r="D74">
        <v>28</v>
      </c>
      <c r="E74">
        <v>6</v>
      </c>
      <c r="F74">
        <v>0.3089636211367181</v>
      </c>
      <c r="G74">
        <v>14</v>
      </c>
      <c r="H74">
        <v>10</v>
      </c>
      <c r="I74">
        <v>1.275004322434194</v>
      </c>
      <c r="J74">
        <v>326722399.12107271</v>
      </c>
      <c r="K74">
        <v>165427000</v>
      </c>
      <c r="L74">
        <v>79925721.507872224</v>
      </c>
      <c r="M74">
        <v>77843700</v>
      </c>
      <c r="N74">
        <v>15759793.199999999</v>
      </c>
      <c r="O74">
        <v>229.71891299999999</v>
      </c>
      <c r="P74">
        <v>2.6485398353465439</v>
      </c>
      <c r="Q74">
        <v>43.767702300000003</v>
      </c>
      <c r="R74">
        <v>801.41476499999999</v>
      </c>
      <c r="S74">
        <v>7.2077269999999998E-9</v>
      </c>
      <c r="T74">
        <v>21.704835682070676</v>
      </c>
      <c r="U74">
        <v>91.850000000000009</v>
      </c>
      <c r="V74">
        <v>-489.26047483025422</v>
      </c>
      <c r="W74">
        <v>69.530690300000003</v>
      </c>
      <c r="X74">
        <v>96.435762999999994</v>
      </c>
      <c r="Y74">
        <v>177.97</v>
      </c>
      <c r="Z74">
        <v>254.962536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2.6485398353465439</v>
      </c>
    </row>
    <row r="75" spans="1:40" x14ac:dyDescent="0.3">
      <c r="A75">
        <v>38</v>
      </c>
      <c r="B75">
        <v>11</v>
      </c>
      <c r="C75">
        <v>14.407151304478901</v>
      </c>
      <c r="D75">
        <v>29</v>
      </c>
      <c r="E75">
        <v>11</v>
      </c>
      <c r="F75">
        <v>0.51545164422852807</v>
      </c>
      <c r="G75">
        <v>28</v>
      </c>
      <c r="H75">
        <v>14</v>
      </c>
      <c r="I75">
        <v>1.0952415828785564</v>
      </c>
      <c r="J75">
        <v>330355274.98878062</v>
      </c>
      <c r="K75">
        <v>165591000</v>
      </c>
      <c r="L75">
        <v>79924420.088477775</v>
      </c>
      <c r="M75">
        <v>77771000</v>
      </c>
      <c r="N75">
        <v>15759519.6</v>
      </c>
      <c r="O75">
        <v>229.266784</v>
      </c>
      <c r="P75">
        <v>2.6690772738803767</v>
      </c>
      <c r="Q75">
        <v>44.035326599999998</v>
      </c>
      <c r="R75">
        <v>802.25079099999994</v>
      </c>
      <c r="S75">
        <v>1.06896156E-14</v>
      </c>
      <c r="T75">
        <v>22.059248192132326</v>
      </c>
      <c r="U75">
        <v>100.934</v>
      </c>
      <c r="V75">
        <v>-628.32237173720387</v>
      </c>
      <c r="W75">
        <v>69.219673499999999</v>
      </c>
      <c r="X75">
        <v>94.844126500000002</v>
      </c>
      <c r="Y75">
        <v>177.97</v>
      </c>
      <c r="Z75">
        <v>253.655259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2.6690772738803767</v>
      </c>
    </row>
    <row r="76" spans="1:40" x14ac:dyDescent="0.3">
      <c r="A76">
        <v>30</v>
      </c>
      <c r="B76">
        <v>18</v>
      </c>
      <c r="C76">
        <v>14.39002228564045</v>
      </c>
      <c r="D76">
        <v>27</v>
      </c>
      <c r="E76">
        <v>5</v>
      </c>
      <c r="F76">
        <v>0.35961915289319096</v>
      </c>
      <c r="G76">
        <v>28</v>
      </c>
      <c r="H76">
        <v>13</v>
      </c>
      <c r="I76">
        <v>0.57048316364270968</v>
      </c>
      <c r="J76">
        <v>329746906.27434957</v>
      </c>
      <c r="K76">
        <v>165550000</v>
      </c>
      <c r="L76">
        <v>79925321.009471446</v>
      </c>
      <c r="M76">
        <v>77329500</v>
      </c>
      <c r="N76">
        <v>15759736.4</v>
      </c>
      <c r="O76">
        <v>231.50923499999999</v>
      </c>
      <c r="P76">
        <v>2.6490766643624246</v>
      </c>
      <c r="Q76">
        <v>43.858181600000002</v>
      </c>
      <c r="R76">
        <v>800.26691000000005</v>
      </c>
      <c r="S76">
        <v>3.4415598200000003E-8</v>
      </c>
      <c r="T76">
        <v>21.792915925870091</v>
      </c>
      <c r="U76">
        <v>100.934</v>
      </c>
      <c r="V76">
        <v>-599.86270201661046</v>
      </c>
      <c r="W76">
        <v>69.219382999999993</v>
      </c>
      <c r="X76">
        <v>94.842675900000003</v>
      </c>
      <c r="Y76">
        <v>177.97</v>
      </c>
      <c r="Z76">
        <v>254.22467499999999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2.6490766643624246</v>
      </c>
    </row>
    <row r="77" spans="1:40" x14ac:dyDescent="0.3">
      <c r="A77">
        <v>38</v>
      </c>
      <c r="B77">
        <v>19</v>
      </c>
      <c r="C77">
        <v>4.5740249668826829</v>
      </c>
      <c r="D77">
        <v>10</v>
      </c>
      <c r="E77">
        <v>6</v>
      </c>
      <c r="F77">
        <v>0.32508694728509402</v>
      </c>
      <c r="G77">
        <v>22</v>
      </c>
      <c r="H77">
        <v>7</v>
      </c>
      <c r="I77">
        <v>0.7188813374158538</v>
      </c>
      <c r="J77">
        <v>327559656.44361389</v>
      </c>
      <c r="K77">
        <v>165449000</v>
      </c>
      <c r="L77">
        <v>79927723.727460787</v>
      </c>
      <c r="M77">
        <v>77221700</v>
      </c>
      <c r="N77">
        <v>15760365.199999999</v>
      </c>
      <c r="O77">
        <v>231.65491499999999</v>
      </c>
      <c r="P77">
        <v>2.6411306826138903</v>
      </c>
      <c r="Q77">
        <v>43.791989100000002</v>
      </c>
      <c r="R77">
        <v>801.12044500000002</v>
      </c>
      <c r="S77">
        <v>7.9454685099999996E-9</v>
      </c>
      <c r="T77">
        <v>21.576367745710577</v>
      </c>
      <c r="U77">
        <v>100.934</v>
      </c>
      <c r="V77">
        <v>-616.02562600327633</v>
      </c>
      <c r="W77">
        <v>69.2192553</v>
      </c>
      <c r="X77">
        <v>94.841500300000007</v>
      </c>
      <c r="Y77">
        <v>121.52199999999999</v>
      </c>
      <c r="Z77">
        <v>254.11537200000001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2.6411306826138903</v>
      </c>
    </row>
    <row r="78" spans="1:40" x14ac:dyDescent="0.3">
      <c r="A78">
        <v>38</v>
      </c>
      <c r="B78">
        <v>16</v>
      </c>
      <c r="C78">
        <v>9.8212622173650352</v>
      </c>
      <c r="D78">
        <v>29</v>
      </c>
      <c r="E78">
        <v>5</v>
      </c>
      <c r="F78">
        <v>0.31424350700915993</v>
      </c>
      <c r="G78">
        <v>27</v>
      </c>
      <c r="H78">
        <v>8</v>
      </c>
      <c r="I78">
        <v>0.35322707478959664</v>
      </c>
      <c r="J78">
        <v>329253432.79028696</v>
      </c>
      <c r="K78">
        <v>165558000</v>
      </c>
      <c r="L78">
        <v>79937033.812372282</v>
      </c>
      <c r="M78">
        <v>77217700</v>
      </c>
      <c r="N78">
        <v>15762714.640000001</v>
      </c>
      <c r="O78">
        <v>231.912362</v>
      </c>
      <c r="P78">
        <v>2.645307683184972</v>
      </c>
      <c r="Q78">
        <v>43.822049100000001</v>
      </c>
      <c r="R78">
        <v>800.01815099999999</v>
      </c>
      <c r="S78">
        <v>5.1978631000000003E-8</v>
      </c>
      <c r="T78">
        <v>21.755926008007179</v>
      </c>
      <c r="U78">
        <v>100.934</v>
      </c>
      <c r="V78">
        <v>-595.67359346563228</v>
      </c>
      <c r="W78">
        <v>69.218852699999999</v>
      </c>
      <c r="X78">
        <v>94.834812200000002</v>
      </c>
      <c r="Y78">
        <v>177.97</v>
      </c>
      <c r="Z78">
        <v>253.59046499999999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2.645307683184972</v>
      </c>
    </row>
    <row r="79" spans="1:40" x14ac:dyDescent="0.3">
      <c r="A79">
        <v>34</v>
      </c>
      <c r="B79">
        <v>10</v>
      </c>
      <c r="C79">
        <v>8.4175061400028035</v>
      </c>
      <c r="D79">
        <v>28</v>
      </c>
      <c r="E79">
        <v>5</v>
      </c>
      <c r="F79">
        <v>0.32386944698170683</v>
      </c>
      <c r="G79">
        <v>15</v>
      </c>
      <c r="H79">
        <v>9</v>
      </c>
      <c r="I79">
        <v>0.52462034676052505</v>
      </c>
      <c r="J79">
        <v>328464921.26334268</v>
      </c>
      <c r="K79">
        <v>165493000</v>
      </c>
      <c r="L79">
        <v>79929625.729281515</v>
      </c>
      <c r="M79">
        <v>77279700</v>
      </c>
      <c r="N79">
        <v>15760778.959999999</v>
      </c>
      <c r="O79">
        <v>231.79743500000001</v>
      </c>
      <c r="P79">
        <v>2.6418913853703847</v>
      </c>
      <c r="Q79">
        <v>43.829083400000002</v>
      </c>
      <c r="R79">
        <v>800.09093700000005</v>
      </c>
      <c r="S79">
        <v>4.7300067600000002E-8</v>
      </c>
      <c r="T79">
        <v>21.764271987599258</v>
      </c>
      <c r="U79">
        <v>100.934</v>
      </c>
      <c r="V79">
        <v>-595.46625599395657</v>
      </c>
      <c r="W79">
        <v>69.222525399999995</v>
      </c>
      <c r="X79">
        <v>94.862134800000007</v>
      </c>
      <c r="Y79">
        <v>177.97</v>
      </c>
      <c r="Z79">
        <v>254.76111499999999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2.6418913853703847</v>
      </c>
    </row>
    <row r="80" spans="1:40" x14ac:dyDescent="0.3">
      <c r="A80">
        <v>32</v>
      </c>
      <c r="B80">
        <v>17</v>
      </c>
      <c r="C80">
        <v>5.5480076535016476</v>
      </c>
      <c r="D80">
        <v>13</v>
      </c>
      <c r="E80">
        <v>10</v>
      </c>
      <c r="F80">
        <v>0.31720368255244763</v>
      </c>
      <c r="G80">
        <v>19</v>
      </c>
      <c r="H80">
        <v>10</v>
      </c>
      <c r="I80">
        <v>1.3778470355968719</v>
      </c>
      <c r="J80">
        <v>327649507.75811619</v>
      </c>
      <c r="K80">
        <v>165449000</v>
      </c>
      <c r="L80">
        <v>79924820.535312772</v>
      </c>
      <c r="M80">
        <v>77161800</v>
      </c>
      <c r="N80">
        <v>15759622.08</v>
      </c>
      <c r="O80">
        <v>231.869877</v>
      </c>
      <c r="P80">
        <v>2.6400855804662018</v>
      </c>
      <c r="Q80">
        <v>43.766098599999999</v>
      </c>
      <c r="R80">
        <v>801.252116</v>
      </c>
      <c r="S80">
        <v>6.42101579E-12</v>
      </c>
      <c r="T80">
        <v>21.421540420305639</v>
      </c>
      <c r="U80">
        <v>100.934</v>
      </c>
      <c r="V80">
        <v>-617.37156599357559</v>
      </c>
      <c r="W80">
        <v>69.220117400000007</v>
      </c>
      <c r="X80">
        <v>94.850512899999998</v>
      </c>
      <c r="Y80">
        <v>121.52199999999999</v>
      </c>
      <c r="Z80">
        <v>254.24402499999999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2.6400855804662018</v>
      </c>
    </row>
    <row r="81" spans="1:40" x14ac:dyDescent="0.3">
      <c r="A81">
        <v>27</v>
      </c>
      <c r="B81">
        <v>15</v>
      </c>
      <c r="C81">
        <v>1.7672512984818252</v>
      </c>
      <c r="D81">
        <v>14</v>
      </c>
      <c r="E81">
        <v>5</v>
      </c>
      <c r="F81">
        <v>0.35940808911734218</v>
      </c>
      <c r="G81">
        <v>18</v>
      </c>
      <c r="H81">
        <v>8</v>
      </c>
      <c r="I81">
        <v>0.96691070800006074</v>
      </c>
      <c r="J81">
        <v>326647338.58142793</v>
      </c>
      <c r="K81">
        <v>165410000</v>
      </c>
      <c r="L81">
        <v>79926021.84869945</v>
      </c>
      <c r="M81">
        <v>77536300</v>
      </c>
      <c r="N81">
        <v>15759926.4</v>
      </c>
      <c r="O81">
        <v>230.61743100000001</v>
      </c>
      <c r="P81">
        <v>2.6435584623797723</v>
      </c>
      <c r="Q81">
        <v>43.822341000000002</v>
      </c>
      <c r="R81">
        <v>801.13932299999999</v>
      </c>
      <c r="S81">
        <v>3.3963901300000002E-8</v>
      </c>
      <c r="T81">
        <v>21.814561760961585</v>
      </c>
      <c r="U81">
        <v>91.850000000000009</v>
      </c>
      <c r="V81">
        <v>-574.30822455195926</v>
      </c>
      <c r="W81">
        <v>69.327573900000004</v>
      </c>
      <c r="X81">
        <v>95.259435300000007</v>
      </c>
      <c r="Y81">
        <v>144.29</v>
      </c>
      <c r="Z81">
        <v>254.14595199999999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2.6435584623797723</v>
      </c>
    </row>
    <row r="82" spans="1:40" x14ac:dyDescent="0.3">
      <c r="A82">
        <v>27</v>
      </c>
      <c r="B82">
        <v>17</v>
      </c>
      <c r="C82">
        <v>11.058269832248101</v>
      </c>
      <c r="D82">
        <v>16</v>
      </c>
      <c r="E82">
        <v>14</v>
      </c>
      <c r="F82">
        <v>0.4133614633367052</v>
      </c>
      <c r="G82">
        <v>29</v>
      </c>
      <c r="H82">
        <v>12</v>
      </c>
      <c r="I82">
        <v>0.44055930108435731</v>
      </c>
      <c r="J82">
        <v>328832385.01761591</v>
      </c>
      <c r="K82">
        <v>165516000</v>
      </c>
      <c r="L82">
        <v>79927323.268299326</v>
      </c>
      <c r="M82">
        <v>77218400</v>
      </c>
      <c r="N82">
        <v>15760262.960000001</v>
      </c>
      <c r="O82">
        <v>231.35375099999999</v>
      </c>
      <c r="P82">
        <v>2.6496446571235794</v>
      </c>
      <c r="Q82">
        <v>43.7936409</v>
      </c>
      <c r="R82">
        <v>802.22271999999998</v>
      </c>
      <c r="S82">
        <v>1.59515914E-13</v>
      </c>
      <c r="T82">
        <v>21.408607244307888</v>
      </c>
      <c r="U82">
        <v>100.934</v>
      </c>
      <c r="V82">
        <v>-627.36389745625036</v>
      </c>
      <c r="W82">
        <v>69.2212818</v>
      </c>
      <c r="X82">
        <v>94.857836500000005</v>
      </c>
      <c r="Y82">
        <v>121.52199999999999</v>
      </c>
      <c r="Z82">
        <v>253.972926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2.6496446571235794</v>
      </c>
    </row>
    <row r="83" spans="1:40" x14ac:dyDescent="0.3">
      <c r="A83">
        <v>29</v>
      </c>
      <c r="B83">
        <v>19</v>
      </c>
      <c r="C83">
        <v>4.906242702224727</v>
      </c>
      <c r="D83">
        <v>10</v>
      </c>
      <c r="E83">
        <v>8</v>
      </c>
      <c r="F83">
        <v>0.35581120999448462</v>
      </c>
      <c r="G83">
        <v>12</v>
      </c>
      <c r="H83">
        <v>10</v>
      </c>
      <c r="I83">
        <v>0.32370742216073117</v>
      </c>
      <c r="J83">
        <v>327107194.6826846</v>
      </c>
      <c r="K83">
        <v>165481000</v>
      </c>
      <c r="L83">
        <v>79973273.283822969</v>
      </c>
      <c r="M83">
        <v>77311800</v>
      </c>
      <c r="N83">
        <v>15771152.560000001</v>
      </c>
      <c r="O83">
        <v>231.90218899999999</v>
      </c>
      <c r="P83">
        <v>2.6358840218240105</v>
      </c>
      <c r="Q83">
        <v>43.7432911</v>
      </c>
      <c r="R83">
        <v>802.05573500000003</v>
      </c>
      <c r="S83">
        <v>1.8242088200000001E-10</v>
      </c>
      <c r="T83">
        <v>21.33916562502667</v>
      </c>
      <c r="U83">
        <v>100.934</v>
      </c>
      <c r="V83">
        <v>-620.96999262569364</v>
      </c>
      <c r="W83">
        <v>69.223132000000007</v>
      </c>
      <c r="X83">
        <v>94.867479200000005</v>
      </c>
      <c r="Y83">
        <v>121.52199999999999</v>
      </c>
      <c r="Z83">
        <v>274.63305500000001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2.6358840218240105</v>
      </c>
    </row>
    <row r="84" spans="1:40" x14ac:dyDescent="0.3">
      <c r="A84">
        <v>27</v>
      </c>
      <c r="B84">
        <v>10</v>
      </c>
      <c r="C84">
        <v>6.6667200960524298</v>
      </c>
      <c r="D84">
        <v>15</v>
      </c>
      <c r="E84">
        <v>13</v>
      </c>
      <c r="F84">
        <v>0.32555776962834293</v>
      </c>
      <c r="G84">
        <v>24</v>
      </c>
      <c r="H84">
        <v>12</v>
      </c>
      <c r="I84">
        <v>0.80856082382435357</v>
      </c>
      <c r="J84">
        <v>327830514.60263962</v>
      </c>
      <c r="K84">
        <v>165449000</v>
      </c>
      <c r="L84">
        <v>79924820.498744205</v>
      </c>
      <c r="M84">
        <v>77332800</v>
      </c>
      <c r="N84">
        <v>15759614.560000001</v>
      </c>
      <c r="O84">
        <v>231.43187399999999</v>
      </c>
      <c r="P84">
        <v>2.6423514333759917</v>
      </c>
      <c r="Q84">
        <v>43.828807500000003</v>
      </c>
      <c r="R84">
        <v>800.55021399999998</v>
      </c>
      <c r="S84">
        <v>1.56115594E-10</v>
      </c>
      <c r="T84">
        <v>21.650967892136713</v>
      </c>
      <c r="U84">
        <v>100.934</v>
      </c>
      <c r="V84">
        <v>-609.34198730077696</v>
      </c>
      <c r="W84">
        <v>69.227569500000001</v>
      </c>
      <c r="X84">
        <v>94.884250499999993</v>
      </c>
      <c r="Y84">
        <v>144.29</v>
      </c>
      <c r="Z84">
        <v>254.275024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2.6423514333759917</v>
      </c>
    </row>
    <row r="85" spans="1:40" x14ac:dyDescent="0.3">
      <c r="A85">
        <v>28</v>
      </c>
      <c r="B85">
        <v>14</v>
      </c>
      <c r="C85">
        <v>14.685216085471179</v>
      </c>
      <c r="D85">
        <v>14</v>
      </c>
      <c r="E85">
        <v>12</v>
      </c>
      <c r="F85">
        <v>0.35716776444141735</v>
      </c>
      <c r="G85">
        <v>16</v>
      </c>
      <c r="H85">
        <v>7</v>
      </c>
      <c r="I85">
        <v>1.2746945225512964</v>
      </c>
      <c r="J85">
        <v>329402451.19129807</v>
      </c>
      <c r="K85">
        <v>165538000</v>
      </c>
      <c r="L85">
        <v>79926222.031131387</v>
      </c>
      <c r="M85">
        <v>77100800</v>
      </c>
      <c r="N85">
        <v>15759968.4</v>
      </c>
      <c r="O85">
        <v>231.908075</v>
      </c>
      <c r="P85">
        <v>2.6476372784073456</v>
      </c>
      <c r="Q85">
        <v>43.748560599999998</v>
      </c>
      <c r="R85">
        <v>801.89220899999998</v>
      </c>
      <c r="S85">
        <v>1.02835867E-13</v>
      </c>
      <c r="T85">
        <v>21.309199158655581</v>
      </c>
      <c r="U85">
        <v>100.934</v>
      </c>
      <c r="V85">
        <v>-621.94479457499392</v>
      </c>
      <c r="W85">
        <v>69.2202482</v>
      </c>
      <c r="X85">
        <v>94.851269599999995</v>
      </c>
      <c r="Y85">
        <v>121.52199999999999</v>
      </c>
      <c r="Z85">
        <v>254.221022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2.6476372784073456</v>
      </c>
    </row>
    <row r="86" spans="1:40" x14ac:dyDescent="0.3">
      <c r="A86">
        <v>39</v>
      </c>
      <c r="B86">
        <v>19</v>
      </c>
      <c r="C86">
        <v>10.61379327198417</v>
      </c>
      <c r="D86">
        <v>13</v>
      </c>
      <c r="E86">
        <v>10</v>
      </c>
      <c r="F86">
        <v>0.31150540443581787</v>
      </c>
      <c r="G86">
        <v>14</v>
      </c>
      <c r="H86">
        <v>12</v>
      </c>
      <c r="I86">
        <v>0.84389870586939075</v>
      </c>
      <c r="J86">
        <v>328748944.17429531</v>
      </c>
      <c r="K86">
        <v>165520000</v>
      </c>
      <c r="L86">
        <v>79931027.268242836</v>
      </c>
      <c r="M86">
        <v>77268300</v>
      </c>
      <c r="N86">
        <v>15760890.799999999</v>
      </c>
      <c r="O86">
        <v>231.936004</v>
      </c>
      <c r="P86">
        <v>2.641875160378051</v>
      </c>
      <c r="Q86">
        <v>43.761536399999997</v>
      </c>
      <c r="R86">
        <v>801.22003799999993</v>
      </c>
      <c r="S86">
        <v>7.3170029600000002E-12</v>
      </c>
      <c r="T86">
        <v>21.411852593969513</v>
      </c>
      <c r="U86">
        <v>100.934</v>
      </c>
      <c r="V86">
        <v>-617.14605474169366</v>
      </c>
      <c r="W86">
        <v>69.218648700000003</v>
      </c>
      <c r="X86">
        <v>94.828325800000002</v>
      </c>
      <c r="Y86">
        <v>121.52199999999999</v>
      </c>
      <c r="Z86">
        <v>259.949746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2.641875160378051</v>
      </c>
    </row>
    <row r="87" spans="1:40" x14ac:dyDescent="0.3">
      <c r="A87">
        <v>28</v>
      </c>
      <c r="B87">
        <v>12</v>
      </c>
      <c r="C87">
        <v>5.4453814085985108</v>
      </c>
      <c r="D87">
        <v>16</v>
      </c>
      <c r="E87">
        <v>6</v>
      </c>
      <c r="F87">
        <v>0.30853939029532335</v>
      </c>
      <c r="G87">
        <v>26</v>
      </c>
      <c r="H87">
        <v>14</v>
      </c>
      <c r="I87">
        <v>0.57708784439192429</v>
      </c>
      <c r="J87">
        <v>327719664.18800306</v>
      </c>
      <c r="K87">
        <v>165447000</v>
      </c>
      <c r="L87">
        <v>79925020.715484843</v>
      </c>
      <c r="M87">
        <v>77278100</v>
      </c>
      <c r="N87">
        <v>15759666.560000001</v>
      </c>
      <c r="O87">
        <v>231.70415199999999</v>
      </c>
      <c r="P87">
        <v>2.6399256253753487</v>
      </c>
      <c r="Q87">
        <v>43.815340599999999</v>
      </c>
      <c r="R87">
        <v>800.31327999999996</v>
      </c>
      <c r="S87">
        <v>8.55350119E-9</v>
      </c>
      <c r="T87">
        <v>21.683252217132477</v>
      </c>
      <c r="U87">
        <v>100.934</v>
      </c>
      <c r="V87">
        <v>-603.33700364058325</v>
      </c>
      <c r="W87">
        <v>69.2255392</v>
      </c>
      <c r="X87">
        <v>94.876952700000004</v>
      </c>
      <c r="Y87">
        <v>165.7</v>
      </c>
      <c r="Z87">
        <v>254.329521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2.6399256253753487</v>
      </c>
    </row>
    <row r="88" spans="1:40" x14ac:dyDescent="0.3">
      <c r="A88">
        <v>28</v>
      </c>
      <c r="B88">
        <v>11</v>
      </c>
      <c r="C88">
        <v>11.857882876604181</v>
      </c>
      <c r="D88">
        <v>14</v>
      </c>
      <c r="E88">
        <v>12</v>
      </c>
      <c r="F88">
        <v>0.3303887888858229</v>
      </c>
      <c r="G88">
        <v>29</v>
      </c>
      <c r="H88">
        <v>14</v>
      </c>
      <c r="I88">
        <v>0.93048408392791226</v>
      </c>
      <c r="J88">
        <v>329021280.86526918</v>
      </c>
      <c r="K88">
        <v>165531000</v>
      </c>
      <c r="L88">
        <v>79924420.106762066</v>
      </c>
      <c r="M88">
        <v>77048400</v>
      </c>
      <c r="N88">
        <v>15759523.199999999</v>
      </c>
      <c r="O88">
        <v>232.147132</v>
      </c>
      <c r="P88">
        <v>2.6446594919307245</v>
      </c>
      <c r="Q88">
        <v>43.726670400000003</v>
      </c>
      <c r="R88">
        <v>801.79784899999993</v>
      </c>
      <c r="S88">
        <v>1.9348164299999999E-13</v>
      </c>
      <c r="T88">
        <v>21.268651514187294</v>
      </c>
      <c r="U88">
        <v>100.934</v>
      </c>
      <c r="V88">
        <v>-618.88343145350461</v>
      </c>
      <c r="W88">
        <v>69.221624300000002</v>
      </c>
      <c r="X88">
        <v>94.859159700000006</v>
      </c>
      <c r="Y88">
        <v>121.52199999999999</v>
      </c>
      <c r="Z88">
        <v>254.35833400000001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2.6446594919307245</v>
      </c>
    </row>
    <row r="89" spans="1:40" x14ac:dyDescent="0.3">
      <c r="A89">
        <v>28</v>
      </c>
      <c r="B89">
        <v>19</v>
      </c>
      <c r="C89">
        <v>10.038840113332189</v>
      </c>
      <c r="D89">
        <v>13</v>
      </c>
      <c r="E89">
        <v>10</v>
      </c>
      <c r="F89">
        <v>0.33795278000069906</v>
      </c>
      <c r="G89">
        <v>10</v>
      </c>
      <c r="H89">
        <v>7</v>
      </c>
      <c r="I89">
        <v>0.50369593755187103</v>
      </c>
      <c r="J89">
        <v>328221983.00725263</v>
      </c>
      <c r="K89">
        <v>165493000</v>
      </c>
      <c r="L89">
        <v>79943340.706573814</v>
      </c>
      <c r="M89">
        <v>77295000</v>
      </c>
      <c r="N89">
        <v>15764011.439999999</v>
      </c>
      <c r="O89">
        <v>231.65591599999999</v>
      </c>
      <c r="P89">
        <v>2.6425018534227878</v>
      </c>
      <c r="Q89">
        <v>43.784035600000003</v>
      </c>
      <c r="R89">
        <v>801.36463400000002</v>
      </c>
      <c r="S89">
        <v>4.9207654599999997E-12</v>
      </c>
      <c r="T89">
        <v>21.456292190938864</v>
      </c>
      <c r="U89">
        <v>100.934</v>
      </c>
      <c r="V89">
        <v>-619.61265999030547</v>
      </c>
      <c r="W89">
        <v>69.220934799999995</v>
      </c>
      <c r="X89">
        <v>94.854805200000001</v>
      </c>
      <c r="Y89">
        <v>121.52199999999999</v>
      </c>
      <c r="Z89">
        <v>258.35761300000001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2.6425018534227878</v>
      </c>
    </row>
    <row r="90" spans="1:40" x14ac:dyDescent="0.3">
      <c r="A90">
        <v>28</v>
      </c>
      <c r="B90">
        <v>19</v>
      </c>
      <c r="C90">
        <v>14.703140137884445</v>
      </c>
      <c r="D90">
        <v>15</v>
      </c>
      <c r="E90">
        <v>13</v>
      </c>
      <c r="F90">
        <v>0.36266903784566945</v>
      </c>
      <c r="G90">
        <v>28</v>
      </c>
      <c r="H90">
        <v>7</v>
      </c>
      <c r="I90">
        <v>0.53893645833184989</v>
      </c>
      <c r="J90">
        <v>329599934.81123656</v>
      </c>
      <c r="K90">
        <v>165558000</v>
      </c>
      <c r="L90">
        <v>79929525.605194926</v>
      </c>
      <c r="M90">
        <v>77105200</v>
      </c>
      <c r="N90">
        <v>15760803.279999999</v>
      </c>
      <c r="O90">
        <v>231.86309900000001</v>
      </c>
      <c r="P90">
        <v>2.6490260574595479</v>
      </c>
      <c r="Q90">
        <v>43.753309299999998</v>
      </c>
      <c r="R90">
        <v>801.88583400000005</v>
      </c>
      <c r="S90">
        <v>4.7033303000000005E-13</v>
      </c>
      <c r="T90">
        <v>21.313520680150532</v>
      </c>
      <c r="U90">
        <v>100.934</v>
      </c>
      <c r="V90">
        <v>-622.64674534632798</v>
      </c>
      <c r="W90">
        <v>69.220269900000005</v>
      </c>
      <c r="X90">
        <v>94.850316100000001</v>
      </c>
      <c r="Y90">
        <v>121.52199999999999</v>
      </c>
      <c r="Z90">
        <v>253.97224800000001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2.6490260574595479</v>
      </c>
    </row>
    <row r="91" spans="1:40" x14ac:dyDescent="0.3">
      <c r="A91">
        <v>37</v>
      </c>
      <c r="B91">
        <v>13</v>
      </c>
      <c r="C91">
        <v>3.6464396647328092</v>
      </c>
      <c r="D91">
        <v>29</v>
      </c>
      <c r="E91">
        <v>5</v>
      </c>
      <c r="F91">
        <v>0.30399065158315358</v>
      </c>
      <c r="G91">
        <v>23</v>
      </c>
      <c r="H91">
        <v>7</v>
      </c>
      <c r="I91">
        <v>1.2528744199545496</v>
      </c>
      <c r="J91">
        <v>327872441.86811429</v>
      </c>
      <c r="K91">
        <v>165465000</v>
      </c>
      <c r="L91">
        <v>79926121.920193046</v>
      </c>
      <c r="M91">
        <v>77232000</v>
      </c>
      <c r="N91">
        <v>15759943.439999999</v>
      </c>
      <c r="O91">
        <v>231.96146200000001</v>
      </c>
      <c r="P91">
        <v>2.6386641825626262</v>
      </c>
      <c r="Q91">
        <v>43.811799499999999</v>
      </c>
      <c r="R91">
        <v>800.0004429999999</v>
      </c>
      <c r="S91">
        <v>5.7523051600000002E-8</v>
      </c>
      <c r="T91">
        <v>21.750721366594572</v>
      </c>
      <c r="U91">
        <v>100.934</v>
      </c>
      <c r="V91">
        <v>-592.83248870709224</v>
      </c>
      <c r="W91">
        <v>69.224834799999996</v>
      </c>
      <c r="X91">
        <v>94.872404200000005</v>
      </c>
      <c r="Y91">
        <v>177.97</v>
      </c>
      <c r="Z91">
        <v>254.31833900000001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2.6386641825626262</v>
      </c>
    </row>
    <row r="92" spans="1:40" x14ac:dyDescent="0.3">
      <c r="A92">
        <v>35</v>
      </c>
      <c r="B92">
        <v>17</v>
      </c>
      <c r="C92">
        <v>7.5216597004381667</v>
      </c>
      <c r="D92">
        <v>16</v>
      </c>
      <c r="E92">
        <v>14</v>
      </c>
      <c r="F92">
        <v>0.3119566834609801</v>
      </c>
      <c r="G92">
        <v>29</v>
      </c>
      <c r="H92">
        <v>7</v>
      </c>
      <c r="I92">
        <v>1.1900932772349049</v>
      </c>
      <c r="J92">
        <v>328438397.9616769</v>
      </c>
      <c r="K92">
        <v>165490000</v>
      </c>
      <c r="L92">
        <v>79926021.867805496</v>
      </c>
      <c r="M92">
        <v>77001300</v>
      </c>
      <c r="N92">
        <v>15759943.439999999</v>
      </c>
      <c r="O92">
        <v>232.33659</v>
      </c>
      <c r="P92">
        <v>2.6409157102650656</v>
      </c>
      <c r="Q92">
        <v>43.712595100000001</v>
      </c>
      <c r="R92">
        <v>801.71087799999998</v>
      </c>
      <c r="S92">
        <v>9.3642823299999996E-15</v>
      </c>
      <c r="T92">
        <v>21.236895632736218</v>
      </c>
      <c r="U92">
        <v>100.934</v>
      </c>
      <c r="V92">
        <v>-618.0191163043271</v>
      </c>
      <c r="W92">
        <v>69.219116299999996</v>
      </c>
      <c r="X92">
        <v>94.839297299999998</v>
      </c>
      <c r="Y92">
        <v>121.52199999999999</v>
      </c>
      <c r="Z92">
        <v>254.29901000000001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2.6409157102650656</v>
      </c>
    </row>
    <row r="93" spans="1:40" x14ac:dyDescent="0.3">
      <c r="A93">
        <v>39</v>
      </c>
      <c r="B93">
        <v>16</v>
      </c>
      <c r="C93">
        <v>2.2133987594560232</v>
      </c>
      <c r="D93">
        <v>29</v>
      </c>
      <c r="E93">
        <v>9</v>
      </c>
      <c r="F93">
        <v>0.30227385756124081</v>
      </c>
      <c r="G93">
        <v>27</v>
      </c>
      <c r="H93">
        <v>7</v>
      </c>
      <c r="I93">
        <v>1.3623509162450527</v>
      </c>
      <c r="J93">
        <v>327753324.48044187</v>
      </c>
      <c r="K93">
        <v>165480000</v>
      </c>
      <c r="L93">
        <v>79925921.753169209</v>
      </c>
      <c r="M93">
        <v>77287600</v>
      </c>
      <c r="N93">
        <v>15759904.08</v>
      </c>
      <c r="O93">
        <v>231.802651</v>
      </c>
      <c r="P93">
        <v>2.6393499522006327</v>
      </c>
      <c r="Q93">
        <v>43.821502600000002</v>
      </c>
      <c r="R93">
        <v>799.86287000000004</v>
      </c>
      <c r="S93">
        <v>3.5493068500000002E-11</v>
      </c>
      <c r="T93">
        <v>21.671323958232531</v>
      </c>
      <c r="U93">
        <v>100.934</v>
      </c>
      <c r="V93">
        <v>-593.19182084190925</v>
      </c>
      <c r="W93">
        <v>69.232922099999996</v>
      </c>
      <c r="X93">
        <v>94.907297200000002</v>
      </c>
      <c r="Y93">
        <v>177.97</v>
      </c>
      <c r="Z93">
        <v>254.16378499999999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2.6393499522006327</v>
      </c>
    </row>
    <row r="94" spans="1:40" x14ac:dyDescent="0.3">
      <c r="A94">
        <v>27</v>
      </c>
      <c r="B94">
        <v>18</v>
      </c>
      <c r="C94">
        <v>14.969985112332729</v>
      </c>
      <c r="D94">
        <v>29</v>
      </c>
      <c r="E94">
        <v>14</v>
      </c>
      <c r="F94">
        <v>0.48558115829467696</v>
      </c>
      <c r="G94">
        <v>11</v>
      </c>
      <c r="H94">
        <v>7</v>
      </c>
      <c r="I94">
        <v>0.93095918440674685</v>
      </c>
      <c r="J94">
        <v>329593149.42397863</v>
      </c>
      <c r="K94">
        <v>165543000</v>
      </c>
      <c r="L94">
        <v>79930226.3702586</v>
      </c>
      <c r="M94">
        <v>77749900</v>
      </c>
      <c r="N94">
        <v>15760901.359999999</v>
      </c>
      <c r="O94">
        <v>229.46068099999999</v>
      </c>
      <c r="P94">
        <v>2.6640496383052041</v>
      </c>
      <c r="Q94">
        <v>44.013445900000001</v>
      </c>
      <c r="R94">
        <v>802.11674400000004</v>
      </c>
      <c r="S94">
        <v>4.5572974699999997E-13</v>
      </c>
      <c r="T94">
        <v>22.020599595893035</v>
      </c>
      <c r="U94">
        <v>100.934</v>
      </c>
      <c r="V94">
        <v>-627.50579704167524</v>
      </c>
      <c r="W94">
        <v>69.220834100000005</v>
      </c>
      <c r="X94">
        <v>94.854671699999997</v>
      </c>
      <c r="Y94">
        <v>177.97</v>
      </c>
      <c r="Z94">
        <v>254.47999899999999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2.6640496383052041</v>
      </c>
    </row>
    <row r="95" spans="1:40" x14ac:dyDescent="0.3">
      <c r="A95">
        <v>37</v>
      </c>
      <c r="B95">
        <v>10</v>
      </c>
      <c r="C95">
        <v>4.6522623861042787</v>
      </c>
      <c r="D95">
        <v>10</v>
      </c>
      <c r="E95">
        <v>6</v>
      </c>
      <c r="F95">
        <v>0.38853411455966913</v>
      </c>
      <c r="G95">
        <v>17</v>
      </c>
      <c r="H95">
        <v>14</v>
      </c>
      <c r="I95">
        <v>1.1483066305134517</v>
      </c>
      <c r="J95">
        <v>327518633.01446056</v>
      </c>
      <c r="K95">
        <v>165449000</v>
      </c>
      <c r="L95">
        <v>79926422.266978085</v>
      </c>
      <c r="M95">
        <v>77366800</v>
      </c>
      <c r="N95">
        <v>15760023.92</v>
      </c>
      <c r="O95">
        <v>231.01055600000001</v>
      </c>
      <c r="P95">
        <v>2.6456043593011498</v>
      </c>
      <c r="Q95">
        <v>43.838585100000003</v>
      </c>
      <c r="R95">
        <v>801.529765</v>
      </c>
      <c r="S95">
        <v>4.0218376699999996E-9</v>
      </c>
      <c r="T95">
        <v>21.665844275903503</v>
      </c>
      <c r="U95">
        <v>100.934</v>
      </c>
      <c r="V95">
        <v>-619.07649384716501</v>
      </c>
      <c r="W95">
        <v>69.228794399999998</v>
      </c>
      <c r="X95">
        <v>94.885181299999999</v>
      </c>
      <c r="Y95">
        <v>121.52199999999999</v>
      </c>
      <c r="Z95">
        <v>254.057198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2.6456043593011498</v>
      </c>
    </row>
    <row r="96" spans="1:40" x14ac:dyDescent="0.3">
      <c r="A96">
        <v>38</v>
      </c>
      <c r="B96">
        <v>19</v>
      </c>
      <c r="C96">
        <v>4.6707737177250523</v>
      </c>
      <c r="D96">
        <v>10</v>
      </c>
      <c r="E96">
        <v>5</v>
      </c>
      <c r="F96">
        <v>0.3319532334007475</v>
      </c>
      <c r="G96">
        <v>17</v>
      </c>
      <c r="H96">
        <v>7</v>
      </c>
      <c r="I96">
        <v>0.59892188155386306</v>
      </c>
      <c r="J96">
        <v>327439550.26448739</v>
      </c>
      <c r="K96">
        <v>165451000</v>
      </c>
      <c r="L96">
        <v>79929225.346544236</v>
      </c>
      <c r="M96">
        <v>77246400</v>
      </c>
      <c r="N96">
        <v>15760737.199999999</v>
      </c>
      <c r="O96">
        <v>231.60493700000001</v>
      </c>
      <c r="P96">
        <v>2.6409159125914399</v>
      </c>
      <c r="Q96">
        <v>43.803527500000001</v>
      </c>
      <c r="R96">
        <v>800.94988499999999</v>
      </c>
      <c r="S96">
        <v>4.7391361399999997E-8</v>
      </c>
      <c r="T96">
        <v>21.657651907517234</v>
      </c>
      <c r="U96">
        <v>100.934</v>
      </c>
      <c r="V96">
        <v>-613.75475019297949</v>
      </c>
      <c r="W96">
        <v>69.219223200000002</v>
      </c>
      <c r="X96">
        <v>94.841014200000004</v>
      </c>
      <c r="Y96">
        <v>144.29</v>
      </c>
      <c r="Z96">
        <v>254.05169900000001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2.6409159125914399</v>
      </c>
    </row>
    <row r="97" spans="1:40" x14ac:dyDescent="0.3">
      <c r="A97">
        <v>27</v>
      </c>
      <c r="B97">
        <v>18</v>
      </c>
      <c r="C97">
        <v>1.8247836694635262</v>
      </c>
      <c r="D97">
        <v>29</v>
      </c>
      <c r="E97">
        <v>14</v>
      </c>
      <c r="F97">
        <v>0.40307989424515533</v>
      </c>
      <c r="G97">
        <v>15</v>
      </c>
      <c r="H97">
        <v>7</v>
      </c>
      <c r="I97">
        <v>0.72099477302613035</v>
      </c>
      <c r="J97">
        <v>326895750.1924091</v>
      </c>
      <c r="K97">
        <v>165430000</v>
      </c>
      <c r="L97">
        <v>79928424.486155778</v>
      </c>
      <c r="M97">
        <v>77629500</v>
      </c>
      <c r="N97">
        <v>15760531.039999999</v>
      </c>
      <c r="O97">
        <v>230.34462400000001</v>
      </c>
      <c r="P97">
        <v>2.6460186327380333</v>
      </c>
      <c r="Q97">
        <v>43.862090000000002</v>
      </c>
      <c r="R97">
        <v>800.920704</v>
      </c>
      <c r="S97">
        <v>2.34564153E-8</v>
      </c>
      <c r="T97">
        <v>21.913223774099126</v>
      </c>
      <c r="U97">
        <v>80.72</v>
      </c>
      <c r="V97">
        <v>-560.96892267132284</v>
      </c>
      <c r="W97">
        <v>69.351592499999995</v>
      </c>
      <c r="X97">
        <v>95.347014799999997</v>
      </c>
      <c r="Y97">
        <v>177.97</v>
      </c>
      <c r="Z97">
        <v>254.06195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2.6460186327380333</v>
      </c>
    </row>
    <row r="98" spans="1:40" x14ac:dyDescent="0.3">
      <c r="A98">
        <v>28</v>
      </c>
      <c r="B98">
        <v>17</v>
      </c>
      <c r="C98">
        <v>5.7403258014201164</v>
      </c>
      <c r="D98">
        <v>29</v>
      </c>
      <c r="E98">
        <v>14</v>
      </c>
      <c r="F98">
        <v>0.37608344572574881</v>
      </c>
      <c r="G98">
        <v>28</v>
      </c>
      <c r="H98">
        <v>9</v>
      </c>
      <c r="I98">
        <v>1.1656610448597473</v>
      </c>
      <c r="J98">
        <v>328181771.81714493</v>
      </c>
      <c r="K98">
        <v>165485000</v>
      </c>
      <c r="L98">
        <v>79925220.900382087</v>
      </c>
      <c r="M98">
        <v>77464100</v>
      </c>
      <c r="N98">
        <v>15759706.560000001</v>
      </c>
      <c r="O98">
        <v>230.924027</v>
      </c>
      <c r="P98">
        <v>2.6473733289479253</v>
      </c>
      <c r="Q98">
        <v>43.900632799999997</v>
      </c>
      <c r="R98">
        <v>800.54244799999992</v>
      </c>
      <c r="S98">
        <v>1.1866674500000001E-13</v>
      </c>
      <c r="T98">
        <v>21.7649673177438</v>
      </c>
      <c r="U98">
        <v>100.934</v>
      </c>
      <c r="V98">
        <v>-609.93513467733396</v>
      </c>
      <c r="W98">
        <v>69.222764999999995</v>
      </c>
      <c r="X98">
        <v>94.8671954</v>
      </c>
      <c r="Y98">
        <v>177.97</v>
      </c>
      <c r="Z98">
        <v>253.98227399999999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2.6473733289479253</v>
      </c>
    </row>
    <row r="99" spans="1:40" x14ac:dyDescent="0.3">
      <c r="A99">
        <v>39</v>
      </c>
      <c r="B99">
        <v>12</v>
      </c>
      <c r="C99">
        <v>1.5589422921268505</v>
      </c>
      <c r="D99">
        <v>26</v>
      </c>
      <c r="E99">
        <v>14</v>
      </c>
      <c r="F99">
        <v>0.30553782200269358</v>
      </c>
      <c r="G99">
        <v>18</v>
      </c>
      <c r="H99">
        <v>9</v>
      </c>
      <c r="I99">
        <v>0.6652465793678346</v>
      </c>
      <c r="J99">
        <v>327200563.37227148</v>
      </c>
      <c r="K99">
        <v>165464000</v>
      </c>
      <c r="L99">
        <v>79926622.44838281</v>
      </c>
      <c r="M99">
        <v>77519300</v>
      </c>
      <c r="N99">
        <v>15760062.16</v>
      </c>
      <c r="O99">
        <v>230.89405500000001</v>
      </c>
      <c r="P99">
        <v>2.6433752872456817</v>
      </c>
      <c r="Q99">
        <v>43.798144200000003</v>
      </c>
      <c r="R99">
        <v>800.51129300000002</v>
      </c>
      <c r="S99">
        <v>2.95855396E-15</v>
      </c>
      <c r="T99">
        <v>21.687149215034026</v>
      </c>
      <c r="U99">
        <v>100.934</v>
      </c>
      <c r="V99">
        <v>-559.80016285472936</v>
      </c>
      <c r="W99">
        <v>69.345918400000002</v>
      </c>
      <c r="X99">
        <v>95.327190999999999</v>
      </c>
      <c r="Y99">
        <v>170.55</v>
      </c>
      <c r="Z99">
        <v>254.186857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2.6433752872456817</v>
      </c>
    </row>
    <row r="100" spans="1:40" x14ac:dyDescent="0.3">
      <c r="A100">
        <v>38</v>
      </c>
      <c r="B100">
        <v>13</v>
      </c>
      <c r="C100">
        <v>1.8877385472393688</v>
      </c>
      <c r="D100">
        <v>29</v>
      </c>
      <c r="E100">
        <v>14</v>
      </c>
      <c r="F100">
        <v>0.49708401343903685</v>
      </c>
      <c r="G100">
        <v>29</v>
      </c>
      <c r="H100">
        <v>14</v>
      </c>
      <c r="I100">
        <v>0.67272846690449029</v>
      </c>
      <c r="J100">
        <v>327709532.26413858</v>
      </c>
      <c r="K100">
        <v>165481000</v>
      </c>
      <c r="L100">
        <v>79924720.431975752</v>
      </c>
      <c r="M100">
        <v>77853000</v>
      </c>
      <c r="N100">
        <v>15759601.68</v>
      </c>
      <c r="O100">
        <v>228.94215700000001</v>
      </c>
      <c r="P100">
        <v>2.6613147242682222</v>
      </c>
      <c r="Q100">
        <v>44.013590299999997</v>
      </c>
      <c r="R100">
        <v>802.5411489999999</v>
      </c>
      <c r="S100">
        <v>1.6539682999999999E-17</v>
      </c>
      <c r="T100">
        <v>22.079337665726747</v>
      </c>
      <c r="U100">
        <v>100.934</v>
      </c>
      <c r="V100">
        <v>-611.20567073103314</v>
      </c>
      <c r="W100">
        <v>69.271806400000003</v>
      </c>
      <c r="X100">
        <v>95.036372799999995</v>
      </c>
      <c r="Y100">
        <v>177.97</v>
      </c>
      <c r="Z100">
        <v>253.63663199999999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2.6613147242682222</v>
      </c>
    </row>
    <row r="101" spans="1:40" x14ac:dyDescent="0.3">
      <c r="A101">
        <v>37</v>
      </c>
      <c r="B101">
        <v>10</v>
      </c>
      <c r="C101">
        <v>3.4300894433835403</v>
      </c>
      <c r="D101">
        <v>27</v>
      </c>
      <c r="E101">
        <v>14</v>
      </c>
      <c r="F101">
        <v>0.38382258675375591</v>
      </c>
      <c r="G101">
        <v>24</v>
      </c>
      <c r="H101">
        <v>7</v>
      </c>
      <c r="I101">
        <v>1.1403192500860726</v>
      </c>
      <c r="J101">
        <v>327753604.46208805</v>
      </c>
      <c r="K101">
        <v>165467000</v>
      </c>
      <c r="L101">
        <v>79926322.159121364</v>
      </c>
      <c r="M101">
        <v>77512300</v>
      </c>
      <c r="N101">
        <v>15759999.279999999</v>
      </c>
      <c r="O101">
        <v>230.68055000000001</v>
      </c>
      <c r="P101">
        <v>2.6476407184843413</v>
      </c>
      <c r="Q101">
        <v>43.903968900000002</v>
      </c>
      <c r="R101">
        <v>800.79447000000005</v>
      </c>
      <c r="S101">
        <v>2.7235393800000002E-16</v>
      </c>
      <c r="T101">
        <v>21.783229802980916</v>
      </c>
      <c r="U101">
        <v>100.934</v>
      </c>
      <c r="V101">
        <v>-607.4647654648104</v>
      </c>
      <c r="W101">
        <v>69.237636699999996</v>
      </c>
      <c r="X101">
        <v>94.919085300000006</v>
      </c>
      <c r="Y101">
        <v>170.55</v>
      </c>
      <c r="Z101">
        <v>253.862067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2.6476407184843413</v>
      </c>
    </row>
    <row r="102" spans="1:40" x14ac:dyDescent="0.3">
      <c r="A102">
        <v>29</v>
      </c>
      <c r="B102">
        <v>18</v>
      </c>
      <c r="C102">
        <v>1.0664820968714661</v>
      </c>
      <c r="D102">
        <v>12</v>
      </c>
      <c r="E102">
        <v>8</v>
      </c>
      <c r="F102">
        <v>0.31690741392555616</v>
      </c>
      <c r="G102">
        <v>16</v>
      </c>
      <c r="H102">
        <v>10</v>
      </c>
      <c r="I102">
        <v>0.45114450138194673</v>
      </c>
      <c r="J102">
        <v>326323455.77628583</v>
      </c>
      <c r="K102">
        <v>165396000</v>
      </c>
      <c r="L102">
        <v>79931127.33953099</v>
      </c>
      <c r="M102">
        <v>77879200</v>
      </c>
      <c r="N102">
        <v>15761140.32</v>
      </c>
      <c r="O102">
        <v>229.235625</v>
      </c>
      <c r="P102">
        <v>2.6516616412882703</v>
      </c>
      <c r="Q102">
        <v>43.716535399999998</v>
      </c>
      <c r="R102">
        <v>802.77153300000009</v>
      </c>
      <c r="S102">
        <v>2.0055636600000001E-10</v>
      </c>
      <c r="T102">
        <v>21.725896508089079</v>
      </c>
      <c r="U102">
        <v>80.72</v>
      </c>
      <c r="V102">
        <v>-501.85454513665348</v>
      </c>
      <c r="W102">
        <v>69.603540600000002</v>
      </c>
      <c r="X102">
        <v>96.642863199999994</v>
      </c>
      <c r="Y102">
        <v>121.52199999999999</v>
      </c>
      <c r="Z102">
        <v>254.79353499999999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2.6516616412882703</v>
      </c>
    </row>
    <row r="103" spans="1:40" x14ac:dyDescent="0.3">
      <c r="A103">
        <v>27</v>
      </c>
      <c r="B103">
        <v>10</v>
      </c>
      <c r="C103">
        <v>8.88905482136731</v>
      </c>
      <c r="D103">
        <v>18</v>
      </c>
      <c r="E103">
        <v>6</v>
      </c>
      <c r="F103">
        <v>0.33189342413734851</v>
      </c>
      <c r="G103">
        <v>27</v>
      </c>
      <c r="H103">
        <v>7</v>
      </c>
      <c r="I103">
        <v>1.3977875154315866</v>
      </c>
      <c r="J103">
        <v>328467299.20930076</v>
      </c>
      <c r="K103">
        <v>165473000</v>
      </c>
      <c r="L103">
        <v>79925921.715778887</v>
      </c>
      <c r="M103">
        <v>77325200</v>
      </c>
      <c r="N103">
        <v>15759895.360000001</v>
      </c>
      <c r="O103">
        <v>231.49741599999999</v>
      </c>
      <c r="P103">
        <v>2.6440732351359055</v>
      </c>
      <c r="Q103">
        <v>43.839219399999998</v>
      </c>
      <c r="R103">
        <v>800.38326299999994</v>
      </c>
      <c r="S103">
        <v>6.3289292100000004E-9</v>
      </c>
      <c r="T103">
        <v>21.720657398770914</v>
      </c>
      <c r="U103">
        <v>100.934</v>
      </c>
      <c r="V103">
        <v>-604.07512520645423</v>
      </c>
      <c r="W103">
        <v>69.224771899999993</v>
      </c>
      <c r="X103">
        <v>94.873246300000005</v>
      </c>
      <c r="Y103">
        <v>170.55</v>
      </c>
      <c r="Z103">
        <v>254.211681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2.6440732351359055</v>
      </c>
    </row>
    <row r="104" spans="1:40" x14ac:dyDescent="0.3">
      <c r="A104">
        <v>28</v>
      </c>
      <c r="B104">
        <v>12</v>
      </c>
      <c r="C104">
        <v>1.4514616599005263</v>
      </c>
      <c r="D104">
        <v>25</v>
      </c>
      <c r="E104">
        <v>14</v>
      </c>
      <c r="F104">
        <v>0.30535108101321412</v>
      </c>
      <c r="G104">
        <v>28</v>
      </c>
      <c r="H104">
        <v>8</v>
      </c>
      <c r="I104">
        <v>1.0035724594486655</v>
      </c>
      <c r="J104">
        <v>326993245.29887635</v>
      </c>
      <c r="K104">
        <v>165428000</v>
      </c>
      <c r="L104">
        <v>79925821.618605122</v>
      </c>
      <c r="M104">
        <v>77608100</v>
      </c>
      <c r="N104">
        <v>15759873.68</v>
      </c>
      <c r="O104">
        <v>230.53965500000001</v>
      </c>
      <c r="P104">
        <v>2.6444387205979578</v>
      </c>
      <c r="Q104">
        <v>43.786571500000001</v>
      </c>
      <c r="R104">
        <v>800.79466300000001</v>
      </c>
      <c r="S104">
        <v>2.8439158199999998E-15</v>
      </c>
      <c r="T104">
        <v>21.702300325347995</v>
      </c>
      <c r="U104">
        <v>91.850000000000009</v>
      </c>
      <c r="V104">
        <v>-544.45660684373922</v>
      </c>
      <c r="W104">
        <v>69.397013299999998</v>
      </c>
      <c r="X104">
        <v>95.563302899999996</v>
      </c>
      <c r="Y104">
        <v>165.7</v>
      </c>
      <c r="Z104">
        <v>254.15025700000001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2.6444387205979578</v>
      </c>
    </row>
    <row r="105" spans="1:40" x14ac:dyDescent="0.3">
      <c r="A105">
        <v>39</v>
      </c>
      <c r="B105">
        <v>17</v>
      </c>
      <c r="C105">
        <v>2.9754198706140218</v>
      </c>
      <c r="D105">
        <v>15</v>
      </c>
      <c r="E105">
        <v>13</v>
      </c>
      <c r="F105">
        <v>0.3467918022208672</v>
      </c>
      <c r="G105">
        <v>27</v>
      </c>
      <c r="H105">
        <v>13</v>
      </c>
      <c r="I105">
        <v>1.1147250776522972</v>
      </c>
      <c r="J105">
        <v>327555280.91700739</v>
      </c>
      <c r="K105">
        <v>165465000</v>
      </c>
      <c r="L105">
        <v>79924520.127306208</v>
      </c>
      <c r="M105">
        <v>77085300</v>
      </c>
      <c r="N105">
        <v>15759527.52</v>
      </c>
      <c r="O105">
        <v>231.99945199999999</v>
      </c>
      <c r="P105">
        <v>2.640095369467184</v>
      </c>
      <c r="Q105">
        <v>43.740025899999999</v>
      </c>
      <c r="R105">
        <v>801.82406700000001</v>
      </c>
      <c r="S105">
        <v>2.0750924900000001E-14</v>
      </c>
      <c r="T105">
        <v>21.289153437315086</v>
      </c>
      <c r="U105">
        <v>100.934</v>
      </c>
      <c r="V105">
        <v>-620.32049217672829</v>
      </c>
      <c r="W105">
        <v>69.221950000000007</v>
      </c>
      <c r="X105">
        <v>94.8617141</v>
      </c>
      <c r="Y105">
        <v>121.52199999999999</v>
      </c>
      <c r="Z105">
        <v>254.33879099999999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2.640095369467184</v>
      </c>
    </row>
    <row r="106" spans="1:40" x14ac:dyDescent="0.3">
      <c r="A106">
        <v>37</v>
      </c>
      <c r="B106">
        <v>16</v>
      </c>
      <c r="C106">
        <v>7.8545368590013647</v>
      </c>
      <c r="D106">
        <v>11</v>
      </c>
      <c r="E106">
        <v>9</v>
      </c>
      <c r="F106">
        <v>0.38611987031520262</v>
      </c>
      <c r="G106">
        <v>11</v>
      </c>
      <c r="H106">
        <v>7</v>
      </c>
      <c r="I106">
        <v>1.1452460651800027</v>
      </c>
      <c r="J106">
        <v>328029117.24762207</v>
      </c>
      <c r="K106">
        <v>165458000</v>
      </c>
      <c r="L106">
        <v>79928824.891491607</v>
      </c>
      <c r="M106">
        <v>77168200</v>
      </c>
      <c r="N106">
        <v>15760580.48</v>
      </c>
      <c r="O106">
        <v>231.63307800000001</v>
      </c>
      <c r="P106">
        <v>2.6439466298706216</v>
      </c>
      <c r="Q106">
        <v>43.769471299999999</v>
      </c>
      <c r="R106">
        <v>802.16215099999999</v>
      </c>
      <c r="S106">
        <v>1.74744178E-11</v>
      </c>
      <c r="T106">
        <v>21.379325980994111</v>
      </c>
      <c r="U106">
        <v>100.934</v>
      </c>
      <c r="V106">
        <v>-624.97676250099494</v>
      </c>
      <c r="W106">
        <v>69.2190595</v>
      </c>
      <c r="X106">
        <v>94.838467800000004</v>
      </c>
      <c r="Y106">
        <v>121.52199999999999</v>
      </c>
      <c r="Z106">
        <v>254.756608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2.6439466298706216</v>
      </c>
    </row>
    <row r="107" spans="1:40" x14ac:dyDescent="0.3">
      <c r="A107">
        <v>39</v>
      </c>
      <c r="B107">
        <v>16</v>
      </c>
      <c r="C107">
        <v>14.464317769473674</v>
      </c>
      <c r="D107">
        <v>29</v>
      </c>
      <c r="E107">
        <v>11</v>
      </c>
      <c r="F107">
        <v>0.31038877454940489</v>
      </c>
      <c r="G107">
        <v>13</v>
      </c>
      <c r="H107">
        <v>8</v>
      </c>
      <c r="I107">
        <v>0.56914059185541976</v>
      </c>
      <c r="J107">
        <v>329897700.14131975</v>
      </c>
      <c r="K107">
        <v>165576000</v>
      </c>
      <c r="L107">
        <v>79931027.297826394</v>
      </c>
      <c r="M107">
        <v>77307200</v>
      </c>
      <c r="N107">
        <v>15761112.719999999</v>
      </c>
      <c r="O107">
        <v>231.79745600000001</v>
      </c>
      <c r="P107">
        <v>2.6471442027527856</v>
      </c>
      <c r="Q107">
        <v>43.833791900000001</v>
      </c>
      <c r="R107">
        <v>799.83061600000008</v>
      </c>
      <c r="S107">
        <v>7.2837368200000004E-13</v>
      </c>
      <c r="T107">
        <v>21.656813262426375</v>
      </c>
      <c r="U107">
        <v>100.934</v>
      </c>
      <c r="V107">
        <v>-600.2385387190476</v>
      </c>
      <c r="W107">
        <v>69.218660299999996</v>
      </c>
      <c r="X107">
        <v>94.830427200000003</v>
      </c>
      <c r="Y107">
        <v>177.97</v>
      </c>
      <c r="Z107">
        <v>255.02774500000001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2.6471442027527856</v>
      </c>
    </row>
    <row r="108" spans="1:40" x14ac:dyDescent="0.3">
      <c r="A108">
        <v>36</v>
      </c>
      <c r="B108">
        <v>19</v>
      </c>
      <c r="C108">
        <v>2.5029829176715168</v>
      </c>
      <c r="D108">
        <v>21</v>
      </c>
      <c r="E108">
        <v>5</v>
      </c>
      <c r="F108">
        <v>0.34810307950770492</v>
      </c>
      <c r="G108">
        <v>24</v>
      </c>
      <c r="H108">
        <v>9</v>
      </c>
      <c r="I108">
        <v>0.80511407924059242</v>
      </c>
      <c r="J108">
        <v>327277205.08320928</v>
      </c>
      <c r="K108">
        <v>165445000</v>
      </c>
      <c r="L108">
        <v>79925721.53766121</v>
      </c>
      <c r="M108">
        <v>77322600</v>
      </c>
      <c r="N108">
        <v>15759856.16</v>
      </c>
      <c r="O108">
        <v>231.51624799999999</v>
      </c>
      <c r="P108">
        <v>2.6398842464928483</v>
      </c>
      <c r="Q108">
        <v>43.844671900000002</v>
      </c>
      <c r="R108">
        <v>800.35174899999993</v>
      </c>
      <c r="S108">
        <v>3.8112864499999997E-8</v>
      </c>
      <c r="T108">
        <v>21.770048980120183</v>
      </c>
      <c r="U108">
        <v>100.934</v>
      </c>
      <c r="V108">
        <v>-600.53519676840301</v>
      </c>
      <c r="W108">
        <v>69.224689100000006</v>
      </c>
      <c r="X108">
        <v>94.876306600000007</v>
      </c>
      <c r="Y108">
        <v>177.97</v>
      </c>
      <c r="Z108">
        <v>254.21201500000001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2.6398842464928483</v>
      </c>
    </row>
    <row r="109" spans="1:40" x14ac:dyDescent="0.3">
      <c r="A109">
        <v>38</v>
      </c>
      <c r="B109">
        <v>10</v>
      </c>
      <c r="C109">
        <v>6.2740002677666382</v>
      </c>
      <c r="D109">
        <v>27</v>
      </c>
      <c r="E109">
        <v>12</v>
      </c>
      <c r="F109">
        <v>0.34208271694780651</v>
      </c>
      <c r="G109">
        <v>11</v>
      </c>
      <c r="H109">
        <v>7</v>
      </c>
      <c r="I109">
        <v>1.1544471150715436</v>
      </c>
      <c r="J109">
        <v>328124134.65347761</v>
      </c>
      <c r="K109">
        <v>165471000</v>
      </c>
      <c r="L109">
        <v>79929025.072074562</v>
      </c>
      <c r="M109">
        <v>77396200</v>
      </c>
      <c r="N109">
        <v>15760620</v>
      </c>
      <c r="O109">
        <v>231.346048</v>
      </c>
      <c r="P109">
        <v>2.6434033390866984</v>
      </c>
      <c r="Q109">
        <v>43.864193800000002</v>
      </c>
      <c r="R109">
        <v>800.18703900000003</v>
      </c>
      <c r="S109">
        <v>4.5913948500000002E-14</v>
      </c>
      <c r="T109">
        <v>21.702556280865306</v>
      </c>
      <c r="U109">
        <v>100.934</v>
      </c>
      <c r="V109">
        <v>-604.18607891258762</v>
      </c>
      <c r="W109">
        <v>69.224464100000006</v>
      </c>
      <c r="X109">
        <v>94.868015</v>
      </c>
      <c r="Y109">
        <v>170.55</v>
      </c>
      <c r="Z109">
        <v>254.72416000000001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2.6434033390866984</v>
      </c>
    </row>
    <row r="110" spans="1:40" x14ac:dyDescent="0.3">
      <c r="A110">
        <v>27</v>
      </c>
      <c r="B110">
        <v>19</v>
      </c>
      <c r="C110">
        <v>8.6141304958082436</v>
      </c>
      <c r="D110">
        <v>16</v>
      </c>
      <c r="E110">
        <v>14</v>
      </c>
      <c r="F110">
        <v>0.33041569534429266</v>
      </c>
      <c r="G110">
        <v>17</v>
      </c>
      <c r="H110">
        <v>8</v>
      </c>
      <c r="I110">
        <v>1.0263553875915932</v>
      </c>
      <c r="J110">
        <v>328190182.01249075</v>
      </c>
      <c r="K110">
        <v>165454000</v>
      </c>
      <c r="L110">
        <v>79925821.658460736</v>
      </c>
      <c r="M110">
        <v>77048600</v>
      </c>
      <c r="N110">
        <v>15759881.359999999</v>
      </c>
      <c r="O110">
        <v>232.15549100000001</v>
      </c>
      <c r="P110">
        <v>2.6406660928785919</v>
      </c>
      <c r="Q110">
        <v>43.727029600000002</v>
      </c>
      <c r="R110">
        <v>801.74398700000006</v>
      </c>
      <c r="S110">
        <v>4.86847409E-12</v>
      </c>
      <c r="T110">
        <v>21.262309531075562</v>
      </c>
      <c r="U110">
        <v>100.934</v>
      </c>
      <c r="V110">
        <v>-619.06505898800253</v>
      </c>
      <c r="W110">
        <v>69.222797400000005</v>
      </c>
      <c r="X110">
        <v>94.864205900000002</v>
      </c>
      <c r="Y110">
        <v>121.52199999999999</v>
      </c>
      <c r="Z110">
        <v>254.31679700000001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2.6406660928785919</v>
      </c>
    </row>
    <row r="111" spans="1:40" x14ac:dyDescent="0.3">
      <c r="A111">
        <v>35</v>
      </c>
      <c r="B111">
        <v>17</v>
      </c>
      <c r="C111">
        <v>2.8972563153834048</v>
      </c>
      <c r="D111">
        <v>29</v>
      </c>
      <c r="E111">
        <v>14</v>
      </c>
      <c r="F111">
        <v>0.35331187487014992</v>
      </c>
      <c r="G111">
        <v>26</v>
      </c>
      <c r="H111">
        <v>7</v>
      </c>
      <c r="I111">
        <v>0.46255502971347051</v>
      </c>
      <c r="J111">
        <v>327679040.75583833</v>
      </c>
      <c r="K111">
        <v>165472000</v>
      </c>
      <c r="L111">
        <v>79932328.72276774</v>
      </c>
      <c r="M111">
        <v>77393400</v>
      </c>
      <c r="N111">
        <v>15761529.920000002</v>
      </c>
      <c r="O111">
        <v>231.216779</v>
      </c>
      <c r="P111">
        <v>2.6436469646915608</v>
      </c>
      <c r="Q111">
        <v>43.8762866</v>
      </c>
      <c r="R111">
        <v>800.26162299999999</v>
      </c>
      <c r="S111">
        <v>6.6613017899999999E-16</v>
      </c>
      <c r="T111">
        <v>21.717674032353436</v>
      </c>
      <c r="U111">
        <v>100.934</v>
      </c>
      <c r="V111">
        <v>-606.08478191130234</v>
      </c>
      <c r="W111">
        <v>69.223726099999993</v>
      </c>
      <c r="X111">
        <v>94.871364700000001</v>
      </c>
      <c r="Y111">
        <v>170.55</v>
      </c>
      <c r="Z111">
        <v>253.60476399999999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2.6436469646915608</v>
      </c>
    </row>
    <row r="112" spans="1:40" x14ac:dyDescent="0.3">
      <c r="A112">
        <v>36</v>
      </c>
      <c r="B112">
        <v>10</v>
      </c>
      <c r="C112">
        <v>13.416032134130546</v>
      </c>
      <c r="D112">
        <v>28</v>
      </c>
      <c r="E112">
        <v>6</v>
      </c>
      <c r="F112">
        <v>0.32801776058208199</v>
      </c>
      <c r="G112">
        <v>12</v>
      </c>
      <c r="H112">
        <v>9</v>
      </c>
      <c r="I112">
        <v>1.2634484543612132</v>
      </c>
      <c r="J112">
        <v>329592321.90178859</v>
      </c>
      <c r="K112">
        <v>165553000</v>
      </c>
      <c r="L112">
        <v>79927423.322124973</v>
      </c>
      <c r="M112">
        <v>77335300</v>
      </c>
      <c r="N112">
        <v>15760178.560000001</v>
      </c>
      <c r="O112">
        <v>231.67381800000001</v>
      </c>
      <c r="P112">
        <v>2.6466884206823305</v>
      </c>
      <c r="Q112">
        <v>43.842596</v>
      </c>
      <c r="R112">
        <v>800.08951200000001</v>
      </c>
      <c r="S112">
        <v>6.5483664600000002E-9</v>
      </c>
      <c r="T112">
        <v>21.743650757509968</v>
      </c>
      <c r="U112">
        <v>100.934</v>
      </c>
      <c r="V112">
        <v>-598.31568724729459</v>
      </c>
      <c r="W112">
        <v>69.220532800000001</v>
      </c>
      <c r="X112">
        <v>94.850362000000004</v>
      </c>
      <c r="Y112">
        <v>177.97</v>
      </c>
      <c r="Z112">
        <v>255.707899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2.6466884206823305</v>
      </c>
    </row>
    <row r="113" spans="1:40" x14ac:dyDescent="0.3">
      <c r="A113">
        <v>27</v>
      </c>
      <c r="B113">
        <v>10</v>
      </c>
      <c r="C113">
        <v>12.340974875508381</v>
      </c>
      <c r="D113">
        <v>10</v>
      </c>
      <c r="E113">
        <v>8</v>
      </c>
      <c r="F113">
        <v>0.38016769126963224</v>
      </c>
      <c r="G113">
        <v>24</v>
      </c>
      <c r="H113">
        <v>7</v>
      </c>
      <c r="I113">
        <v>0.30504105973423601</v>
      </c>
      <c r="J113">
        <v>328826245.33577734</v>
      </c>
      <c r="K113">
        <v>165530000</v>
      </c>
      <c r="L113">
        <v>79940637.818068132</v>
      </c>
      <c r="M113">
        <v>77108400</v>
      </c>
      <c r="N113">
        <v>15763646.880000001</v>
      </c>
      <c r="O113">
        <v>231.671582</v>
      </c>
      <c r="P113">
        <v>2.6483543437926027</v>
      </c>
      <c r="Q113">
        <v>43.7619659</v>
      </c>
      <c r="R113">
        <v>802.18814400000008</v>
      </c>
      <c r="S113">
        <v>1.30188988E-10</v>
      </c>
      <c r="T113">
        <v>21.379755706238644</v>
      </c>
      <c r="U113">
        <v>100.934</v>
      </c>
      <c r="V113">
        <v>-622.90354434632957</v>
      </c>
      <c r="W113">
        <v>69.222894299999993</v>
      </c>
      <c r="X113">
        <v>94.865957499999993</v>
      </c>
      <c r="Y113">
        <v>121.52199999999999</v>
      </c>
      <c r="Z113">
        <v>253.15078600000001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2.6483543437926027</v>
      </c>
    </row>
    <row r="114" spans="1:40" x14ac:dyDescent="0.3">
      <c r="A114">
        <v>37</v>
      </c>
      <c r="B114">
        <v>17</v>
      </c>
      <c r="C114">
        <v>5.2112784520382398</v>
      </c>
      <c r="D114">
        <v>12</v>
      </c>
      <c r="E114">
        <v>5</v>
      </c>
      <c r="F114">
        <v>0.32799939848760529</v>
      </c>
      <c r="G114">
        <v>23</v>
      </c>
      <c r="H114">
        <v>14</v>
      </c>
      <c r="I114">
        <v>1.2626982849057493</v>
      </c>
      <c r="J114">
        <v>327760208.79990953</v>
      </c>
      <c r="K114">
        <v>165449000</v>
      </c>
      <c r="L114">
        <v>79924420.068344533</v>
      </c>
      <c r="M114">
        <v>77277200</v>
      </c>
      <c r="N114">
        <v>15759513.84</v>
      </c>
      <c r="O114">
        <v>231.60709800000001</v>
      </c>
      <c r="P114">
        <v>2.6412059870286959</v>
      </c>
      <c r="Q114">
        <v>43.815845299999999</v>
      </c>
      <c r="R114">
        <v>800.649945</v>
      </c>
      <c r="S114">
        <v>4.7322960199999997E-8</v>
      </c>
      <c r="T114">
        <v>21.700146919064235</v>
      </c>
      <c r="U114">
        <v>100.934</v>
      </c>
      <c r="V114">
        <v>-610.10941270342028</v>
      </c>
      <c r="W114">
        <v>69.219423399999997</v>
      </c>
      <c r="X114">
        <v>94.843569599999995</v>
      </c>
      <c r="Y114">
        <v>144.29</v>
      </c>
      <c r="Z114">
        <v>254.321619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2.6412059870286959</v>
      </c>
    </row>
    <row r="115" spans="1:40" x14ac:dyDescent="0.3">
      <c r="A115">
        <v>28</v>
      </c>
      <c r="B115">
        <v>10</v>
      </c>
      <c r="C115">
        <v>1.3069832987264789</v>
      </c>
      <c r="D115">
        <v>20</v>
      </c>
      <c r="E115">
        <v>5</v>
      </c>
      <c r="F115">
        <v>0.31170880013475299</v>
      </c>
      <c r="G115">
        <v>23</v>
      </c>
      <c r="H115">
        <v>7</v>
      </c>
      <c r="I115">
        <v>1.312028305226129</v>
      </c>
      <c r="J115">
        <v>326784385.40936381</v>
      </c>
      <c r="K115">
        <v>165429000</v>
      </c>
      <c r="L115">
        <v>79926021.835551202</v>
      </c>
      <c r="M115">
        <v>77679900</v>
      </c>
      <c r="N115">
        <v>15759923.68</v>
      </c>
      <c r="O115">
        <v>230.20513600000001</v>
      </c>
      <c r="P115">
        <v>2.6463078972940886</v>
      </c>
      <c r="Q115">
        <v>43.768339599999997</v>
      </c>
      <c r="R115">
        <v>801.30543499999999</v>
      </c>
      <c r="S115">
        <v>4.9111449099999998E-8</v>
      </c>
      <c r="T115">
        <v>21.773213770729043</v>
      </c>
      <c r="U115">
        <v>100.934</v>
      </c>
      <c r="V115">
        <v>-517.21223067053177</v>
      </c>
      <c r="W115">
        <v>69.458470700000007</v>
      </c>
      <c r="X115">
        <v>96.0990951</v>
      </c>
      <c r="Y115">
        <v>170.55</v>
      </c>
      <c r="Z115">
        <v>254.26613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2.6463078972940886</v>
      </c>
    </row>
    <row r="116" spans="1:40" x14ac:dyDescent="0.3">
      <c r="A116">
        <v>39</v>
      </c>
      <c r="B116">
        <v>15</v>
      </c>
      <c r="C116">
        <v>1.1642787264409942</v>
      </c>
      <c r="D116">
        <v>15</v>
      </c>
      <c r="E116">
        <v>9</v>
      </c>
      <c r="F116">
        <v>0.31448243458355496</v>
      </c>
      <c r="G116">
        <v>29</v>
      </c>
      <c r="H116">
        <v>13</v>
      </c>
      <c r="I116">
        <v>1.1268173340222984</v>
      </c>
      <c r="J116">
        <v>327203291.22991914</v>
      </c>
      <c r="K116">
        <v>165461000</v>
      </c>
      <c r="L116">
        <v>79924520.139221802</v>
      </c>
      <c r="M116">
        <v>77785000</v>
      </c>
      <c r="N116">
        <v>15759530.32</v>
      </c>
      <c r="O116">
        <v>229.69081399999999</v>
      </c>
      <c r="P116">
        <v>2.6520666928322907</v>
      </c>
      <c r="Q116">
        <v>43.755559300000002</v>
      </c>
      <c r="R116">
        <v>801.91216299999996</v>
      </c>
      <c r="S116">
        <v>2.5075645299999999E-11</v>
      </c>
      <c r="T116">
        <v>21.746081625957654</v>
      </c>
      <c r="U116">
        <v>100.934</v>
      </c>
      <c r="V116">
        <v>-517.67255111944996</v>
      </c>
      <c r="W116">
        <v>69.495350200000004</v>
      </c>
      <c r="X116">
        <v>96.253569100000007</v>
      </c>
      <c r="Y116">
        <v>144.29</v>
      </c>
      <c r="Z116">
        <v>254.14897999999999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2.6520666928322907</v>
      </c>
    </row>
    <row r="117" spans="1:40" x14ac:dyDescent="0.3">
      <c r="A117">
        <v>27</v>
      </c>
      <c r="B117">
        <v>16</v>
      </c>
      <c r="C117">
        <v>14.742950714457788</v>
      </c>
      <c r="D117">
        <v>29</v>
      </c>
      <c r="E117">
        <v>6</v>
      </c>
      <c r="F117">
        <v>0.37547445723053019</v>
      </c>
      <c r="G117">
        <v>28</v>
      </c>
      <c r="H117">
        <v>7</v>
      </c>
      <c r="I117">
        <v>0.99522851246106758</v>
      </c>
      <c r="J117">
        <v>329897832.21884435</v>
      </c>
      <c r="K117">
        <v>165573000</v>
      </c>
      <c r="L117">
        <v>79926622.499126837</v>
      </c>
      <c r="M117">
        <v>77394100</v>
      </c>
      <c r="N117">
        <v>15760078.48</v>
      </c>
      <c r="O117">
        <v>231.22141400000001</v>
      </c>
      <c r="P117">
        <v>2.6520231050247682</v>
      </c>
      <c r="Q117">
        <v>43.884411</v>
      </c>
      <c r="R117">
        <v>800.38732300000004</v>
      </c>
      <c r="S117">
        <v>3.8316091899999997E-9</v>
      </c>
      <c r="T117">
        <v>21.804192192713316</v>
      </c>
      <c r="U117">
        <v>100.934</v>
      </c>
      <c r="V117">
        <v>-602.43038214720889</v>
      </c>
      <c r="W117">
        <v>69.220712000000006</v>
      </c>
      <c r="X117">
        <v>94.854517400000006</v>
      </c>
      <c r="Y117">
        <v>177.97</v>
      </c>
      <c r="Z117">
        <v>254.08225999999999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2.6520231050247682</v>
      </c>
    </row>
    <row r="118" spans="1:40" x14ac:dyDescent="0.3">
      <c r="A118">
        <v>27</v>
      </c>
      <c r="B118">
        <v>12</v>
      </c>
      <c r="C118">
        <v>8.2000922346393672</v>
      </c>
      <c r="D118">
        <v>18</v>
      </c>
      <c r="E118">
        <v>5</v>
      </c>
      <c r="F118">
        <v>0.3118593891069682</v>
      </c>
      <c r="G118">
        <v>16</v>
      </c>
      <c r="H118">
        <v>9</v>
      </c>
      <c r="I118">
        <v>1.3377099249257827</v>
      </c>
      <c r="J118">
        <v>328116698.90527058</v>
      </c>
      <c r="K118">
        <v>165454000</v>
      </c>
      <c r="L118">
        <v>79925321.075829014</v>
      </c>
      <c r="M118">
        <v>77256100</v>
      </c>
      <c r="N118">
        <v>15759744</v>
      </c>
      <c r="O118">
        <v>231.80967999999999</v>
      </c>
      <c r="P118">
        <v>2.6404388000545498</v>
      </c>
      <c r="Q118">
        <v>43.813550800000002</v>
      </c>
      <c r="R118">
        <v>800.24463199999991</v>
      </c>
      <c r="S118">
        <v>5.3650246600000003E-8</v>
      </c>
      <c r="T118">
        <v>21.725972414972951</v>
      </c>
      <c r="U118">
        <v>100.934</v>
      </c>
      <c r="V118">
        <v>-600.12959584159898</v>
      </c>
      <c r="W118">
        <v>69.223292400000005</v>
      </c>
      <c r="X118">
        <v>94.868170399999997</v>
      </c>
      <c r="Y118">
        <v>170.55</v>
      </c>
      <c r="Z118">
        <v>254.38713100000001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2.6404388000545498</v>
      </c>
    </row>
    <row r="119" spans="1:40" x14ac:dyDescent="0.3">
      <c r="A119">
        <v>39</v>
      </c>
      <c r="B119">
        <v>10</v>
      </c>
      <c r="C119">
        <v>8.1498507112829017</v>
      </c>
      <c r="D119">
        <v>14</v>
      </c>
      <c r="E119">
        <v>12</v>
      </c>
      <c r="F119">
        <v>0.36874602329071987</v>
      </c>
      <c r="G119">
        <v>27</v>
      </c>
      <c r="H119">
        <v>13</v>
      </c>
      <c r="I119">
        <v>0.36014323144737725</v>
      </c>
      <c r="J119">
        <v>328657530.07477975</v>
      </c>
      <c r="K119">
        <v>165495000</v>
      </c>
      <c r="L119">
        <v>79931928.302845582</v>
      </c>
      <c r="M119">
        <v>77118800</v>
      </c>
      <c r="N119">
        <v>15761430.399999999</v>
      </c>
      <c r="O119">
        <v>231.780047</v>
      </c>
      <c r="P119">
        <v>2.6457561993688334</v>
      </c>
      <c r="Q119">
        <v>43.757502500000001</v>
      </c>
      <c r="R119">
        <v>801.96420899999998</v>
      </c>
      <c r="S119">
        <v>7.9479753000000006E-14</v>
      </c>
      <c r="T119">
        <v>21.330290993165001</v>
      </c>
      <c r="U119">
        <v>100.934</v>
      </c>
      <c r="V119">
        <v>-622.22925691653734</v>
      </c>
      <c r="W119">
        <v>69.222427100000004</v>
      </c>
      <c r="X119">
        <v>94.859880799999999</v>
      </c>
      <c r="Y119">
        <v>121.52199999999999</v>
      </c>
      <c r="Z119">
        <v>253.81480500000001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2.6457561993688334</v>
      </c>
    </row>
    <row r="120" spans="1:40" x14ac:dyDescent="0.3">
      <c r="A120">
        <v>27</v>
      </c>
      <c r="B120">
        <v>18</v>
      </c>
      <c r="C120">
        <v>14.244652429789106</v>
      </c>
      <c r="D120">
        <v>10</v>
      </c>
      <c r="E120">
        <v>5</v>
      </c>
      <c r="F120">
        <v>0.33690654564839473</v>
      </c>
      <c r="G120">
        <v>26</v>
      </c>
      <c r="H120">
        <v>12</v>
      </c>
      <c r="I120">
        <v>1.2050923777664737</v>
      </c>
      <c r="J120">
        <v>329247340.69519258</v>
      </c>
      <c r="K120">
        <v>165514000</v>
      </c>
      <c r="L120">
        <v>79924520.217494965</v>
      </c>
      <c r="M120">
        <v>77266200</v>
      </c>
      <c r="N120">
        <v>15759548.640000001</v>
      </c>
      <c r="O120">
        <v>231.55405500000001</v>
      </c>
      <c r="P120">
        <v>2.6476197571594517</v>
      </c>
      <c r="Q120">
        <v>43.806813699999999</v>
      </c>
      <c r="R120">
        <v>800.97607500000004</v>
      </c>
      <c r="S120">
        <v>4.5311506099999999E-8</v>
      </c>
      <c r="T120">
        <v>21.663149989780134</v>
      </c>
      <c r="U120">
        <v>100.934</v>
      </c>
      <c r="V120">
        <v>-613.81968337471062</v>
      </c>
      <c r="W120">
        <v>69.2209146</v>
      </c>
      <c r="X120">
        <v>94.855169000000004</v>
      </c>
      <c r="Y120">
        <v>144.29</v>
      </c>
      <c r="Z120">
        <v>254.28187800000001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2.6476197571594517</v>
      </c>
    </row>
    <row r="121" spans="1:40" x14ac:dyDescent="0.3">
      <c r="A121">
        <v>38</v>
      </c>
      <c r="B121">
        <v>11</v>
      </c>
      <c r="C121">
        <v>1.2537683432654978</v>
      </c>
      <c r="D121">
        <v>25</v>
      </c>
      <c r="E121">
        <v>14</v>
      </c>
      <c r="F121">
        <v>0.32712541510957843</v>
      </c>
      <c r="G121">
        <v>11</v>
      </c>
      <c r="H121">
        <v>8</v>
      </c>
      <c r="I121">
        <v>0.7365256863080889</v>
      </c>
      <c r="J121">
        <v>326912178.2148487</v>
      </c>
      <c r="K121">
        <v>165451000</v>
      </c>
      <c r="L121">
        <v>79933129.559735894</v>
      </c>
      <c r="M121">
        <v>77779600</v>
      </c>
      <c r="N121">
        <v>15761529.280000001</v>
      </c>
      <c r="O121">
        <v>230.07558800000001</v>
      </c>
      <c r="P121">
        <v>2.6466842189721302</v>
      </c>
      <c r="Q121">
        <v>43.781686100000002</v>
      </c>
      <c r="R121">
        <v>801.32326899999998</v>
      </c>
      <c r="S121">
        <v>4.20862839E-8</v>
      </c>
      <c r="T121">
        <v>21.826720115521251</v>
      </c>
      <c r="U121">
        <v>100.934</v>
      </c>
      <c r="V121">
        <v>-513.10807084676571</v>
      </c>
      <c r="W121">
        <v>69.462490399999993</v>
      </c>
      <c r="X121">
        <v>96.111312299999994</v>
      </c>
      <c r="Y121">
        <v>177.97</v>
      </c>
      <c r="Z121">
        <v>257.102306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2.6466842189721302</v>
      </c>
    </row>
    <row r="122" spans="1:40" x14ac:dyDescent="0.3">
      <c r="A122">
        <v>27</v>
      </c>
      <c r="B122">
        <v>19</v>
      </c>
      <c r="C122">
        <v>6.6200418719982315</v>
      </c>
      <c r="D122">
        <v>12</v>
      </c>
      <c r="E122">
        <v>5</v>
      </c>
      <c r="F122">
        <v>0.34159354395588959</v>
      </c>
      <c r="G122">
        <v>28</v>
      </c>
      <c r="H122">
        <v>10</v>
      </c>
      <c r="I122">
        <v>1.1246338870193842</v>
      </c>
      <c r="J122">
        <v>327981586.30253309</v>
      </c>
      <c r="K122">
        <v>165467000</v>
      </c>
      <c r="L122">
        <v>79924920.60927166</v>
      </c>
      <c r="M122">
        <v>77309300</v>
      </c>
      <c r="N122">
        <v>15759639.119999999</v>
      </c>
      <c r="O122">
        <v>231.46164400000001</v>
      </c>
      <c r="P122">
        <v>2.6432461307729191</v>
      </c>
      <c r="Q122">
        <v>43.825392100000002</v>
      </c>
      <c r="R122">
        <v>800.73284699999999</v>
      </c>
      <c r="S122">
        <v>4.1788112100000001E-8</v>
      </c>
      <c r="T122">
        <v>21.715135205038774</v>
      </c>
      <c r="U122">
        <v>100.934</v>
      </c>
      <c r="V122">
        <v>-610.49363044208269</v>
      </c>
      <c r="W122">
        <v>69.224615400000005</v>
      </c>
      <c r="X122">
        <v>94.872905900000006</v>
      </c>
      <c r="Y122">
        <v>144.29</v>
      </c>
      <c r="Z122">
        <v>254.24163999999999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2.6432461307729191</v>
      </c>
    </row>
    <row r="123" spans="1:40" x14ac:dyDescent="0.3">
      <c r="A123">
        <v>39</v>
      </c>
      <c r="B123">
        <v>10</v>
      </c>
      <c r="C123">
        <v>8.9055462936813754</v>
      </c>
      <c r="D123">
        <v>28</v>
      </c>
      <c r="E123">
        <v>7</v>
      </c>
      <c r="F123">
        <v>0.30506884591725714</v>
      </c>
      <c r="G123">
        <v>16</v>
      </c>
      <c r="H123">
        <v>7</v>
      </c>
      <c r="I123">
        <v>0.43877908166769769</v>
      </c>
      <c r="J123">
        <v>328712414.46621537</v>
      </c>
      <c r="K123">
        <v>165535000</v>
      </c>
      <c r="L123">
        <v>79933730.265632436</v>
      </c>
      <c r="M123">
        <v>77253300</v>
      </c>
      <c r="N123">
        <v>15761869.76</v>
      </c>
      <c r="O123">
        <v>231.86051499999999</v>
      </c>
      <c r="P123">
        <v>2.6431995098585648</v>
      </c>
      <c r="Q123">
        <v>43.824533799999998</v>
      </c>
      <c r="R123">
        <v>799.917778</v>
      </c>
      <c r="S123">
        <v>1.36574737E-9</v>
      </c>
      <c r="T123">
        <v>21.695166574184956</v>
      </c>
      <c r="U123">
        <v>100.934</v>
      </c>
      <c r="V123">
        <v>-596.60841533606947</v>
      </c>
      <c r="W123">
        <v>69.221939800000001</v>
      </c>
      <c r="X123">
        <v>94.856740200000004</v>
      </c>
      <c r="Y123">
        <v>177.97</v>
      </c>
      <c r="Z123">
        <v>254.004841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2.6431995098585648</v>
      </c>
    </row>
    <row r="124" spans="1:40" x14ac:dyDescent="0.3">
      <c r="A124">
        <v>31</v>
      </c>
      <c r="B124">
        <v>14</v>
      </c>
      <c r="C124">
        <v>1.1695204009036666</v>
      </c>
      <c r="D124">
        <v>25</v>
      </c>
      <c r="E124">
        <v>7</v>
      </c>
      <c r="F124">
        <v>0.3099799594101752</v>
      </c>
      <c r="G124">
        <v>11</v>
      </c>
      <c r="H124">
        <v>7</v>
      </c>
      <c r="I124">
        <v>1.3722038751040695</v>
      </c>
      <c r="J124">
        <v>326717223.49424666</v>
      </c>
      <c r="K124">
        <v>165429000</v>
      </c>
      <c r="L124">
        <v>79928424.443013087</v>
      </c>
      <c r="M124">
        <v>77796200</v>
      </c>
      <c r="N124">
        <v>15760486.16</v>
      </c>
      <c r="O124">
        <v>229.83897899999999</v>
      </c>
      <c r="P124">
        <v>2.6480916814901514</v>
      </c>
      <c r="Q124">
        <v>43.770143300000001</v>
      </c>
      <c r="R124">
        <v>801.40975800000001</v>
      </c>
      <c r="S124">
        <v>1.08743622E-9</v>
      </c>
      <c r="T124">
        <v>21.826366478793155</v>
      </c>
      <c r="U124">
        <v>91.850000000000009</v>
      </c>
      <c r="V124">
        <v>-503.38368874256514</v>
      </c>
      <c r="W124">
        <v>69.503677699999997</v>
      </c>
      <c r="X124">
        <v>96.287408299999996</v>
      </c>
      <c r="Y124">
        <v>177.97</v>
      </c>
      <c r="Z124">
        <v>254.79365799999999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2.6480916814901514</v>
      </c>
    </row>
    <row r="125" spans="1:40" x14ac:dyDescent="0.3">
      <c r="A125">
        <v>39</v>
      </c>
      <c r="B125">
        <v>17</v>
      </c>
      <c r="C125">
        <v>3.852802650176459</v>
      </c>
      <c r="D125">
        <v>24</v>
      </c>
      <c r="E125">
        <v>5</v>
      </c>
      <c r="F125">
        <v>0.31931530638847</v>
      </c>
      <c r="G125">
        <v>23</v>
      </c>
      <c r="H125">
        <v>10</v>
      </c>
      <c r="I125">
        <v>0.32161358548754487</v>
      </c>
      <c r="J125">
        <v>327745847.56649709</v>
      </c>
      <c r="K125">
        <v>165479000</v>
      </c>
      <c r="L125">
        <v>79939436.398262814</v>
      </c>
      <c r="M125">
        <v>77230700</v>
      </c>
      <c r="N125">
        <v>15763308.32</v>
      </c>
      <c r="O125">
        <v>231.826819</v>
      </c>
      <c r="P125">
        <v>2.6401173271295382</v>
      </c>
      <c r="Q125">
        <v>43.824296599999997</v>
      </c>
      <c r="R125">
        <v>800.12136599999997</v>
      </c>
      <c r="S125">
        <v>4.9605745999999999E-8</v>
      </c>
      <c r="T125">
        <v>21.749561382103948</v>
      </c>
      <c r="U125">
        <v>100.934</v>
      </c>
      <c r="V125">
        <v>-597.78136383200899</v>
      </c>
      <c r="W125">
        <v>69.220101400000004</v>
      </c>
      <c r="X125">
        <v>94.850015499999998</v>
      </c>
      <c r="Y125">
        <v>177.97</v>
      </c>
      <c r="Z125">
        <v>253.48813999999999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2.6401173271295382</v>
      </c>
    </row>
    <row r="126" spans="1:40" x14ac:dyDescent="0.3">
      <c r="A126">
        <v>39</v>
      </c>
      <c r="B126">
        <v>19</v>
      </c>
      <c r="C126">
        <v>14.206772337193531</v>
      </c>
      <c r="D126">
        <v>25</v>
      </c>
      <c r="E126">
        <v>13</v>
      </c>
      <c r="F126">
        <v>0.46793206792372899</v>
      </c>
      <c r="G126">
        <v>28</v>
      </c>
      <c r="H126">
        <v>7</v>
      </c>
      <c r="I126">
        <v>0.89805070801780107</v>
      </c>
      <c r="J126">
        <v>330148123.56239015</v>
      </c>
      <c r="K126">
        <v>165589000</v>
      </c>
      <c r="L126">
        <v>79927022.920281649</v>
      </c>
      <c r="M126">
        <v>77680200</v>
      </c>
      <c r="N126">
        <v>15760177.120000001</v>
      </c>
      <c r="O126">
        <v>229.679847</v>
      </c>
      <c r="P126">
        <v>2.6653715529010351</v>
      </c>
      <c r="Q126">
        <v>43.991886200000003</v>
      </c>
      <c r="R126">
        <v>801.94030699999996</v>
      </c>
      <c r="S126">
        <v>3.0589167099999999E-16</v>
      </c>
      <c r="T126">
        <v>21.968620988889452</v>
      </c>
      <c r="U126">
        <v>100.934</v>
      </c>
      <c r="V126">
        <v>-627.98109862720219</v>
      </c>
      <c r="W126">
        <v>69.218582499999997</v>
      </c>
      <c r="X126">
        <v>94.825939000000005</v>
      </c>
      <c r="Y126">
        <v>170.55</v>
      </c>
      <c r="Z126">
        <v>253.61790400000001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2.6653715529010351</v>
      </c>
    </row>
    <row r="127" spans="1:40" x14ac:dyDescent="0.3">
      <c r="A127">
        <v>27</v>
      </c>
      <c r="B127">
        <v>10</v>
      </c>
      <c r="C127">
        <v>12.843420114327889</v>
      </c>
      <c r="D127">
        <v>16</v>
      </c>
      <c r="E127">
        <v>14</v>
      </c>
      <c r="F127">
        <v>0.3549388056143411</v>
      </c>
      <c r="G127">
        <v>28</v>
      </c>
      <c r="H127">
        <v>9</v>
      </c>
      <c r="I127">
        <v>1.1859806292463928</v>
      </c>
      <c r="J127">
        <v>329264700.62895572</v>
      </c>
      <c r="K127">
        <v>165533000</v>
      </c>
      <c r="L127">
        <v>79925120.802797437</v>
      </c>
      <c r="M127">
        <v>77104000</v>
      </c>
      <c r="N127">
        <v>15759683.520000001</v>
      </c>
      <c r="O127">
        <v>231.92312200000001</v>
      </c>
      <c r="P127">
        <v>2.6469062203539737</v>
      </c>
      <c r="Q127">
        <v>43.746607099999999</v>
      </c>
      <c r="R127">
        <v>801.8336579999999</v>
      </c>
      <c r="S127">
        <v>2.6350446099999999E-15</v>
      </c>
      <c r="T127">
        <v>21.298068036526701</v>
      </c>
      <c r="U127">
        <v>100.934</v>
      </c>
      <c r="V127">
        <v>-620.81965075547032</v>
      </c>
      <c r="W127">
        <v>69.222727000000006</v>
      </c>
      <c r="X127">
        <v>94.865312099999997</v>
      </c>
      <c r="Y127">
        <v>121.52199999999999</v>
      </c>
      <c r="Z127">
        <v>254.29514900000001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2.6469062203539737</v>
      </c>
    </row>
    <row r="128" spans="1:40" x14ac:dyDescent="0.3">
      <c r="A128">
        <v>27</v>
      </c>
      <c r="B128">
        <v>19</v>
      </c>
      <c r="C128">
        <v>5.3632684119471508</v>
      </c>
      <c r="D128">
        <v>29</v>
      </c>
      <c r="E128">
        <v>5</v>
      </c>
      <c r="F128">
        <v>0.36815108011671477</v>
      </c>
      <c r="G128">
        <v>22</v>
      </c>
      <c r="H128">
        <v>8</v>
      </c>
      <c r="I128">
        <v>1.2194227270474496</v>
      </c>
      <c r="J128">
        <v>327954037.90562868</v>
      </c>
      <c r="K128">
        <v>165468000</v>
      </c>
      <c r="L128">
        <v>79925521.311264828</v>
      </c>
      <c r="M128">
        <v>77354900</v>
      </c>
      <c r="N128">
        <v>15759802.32</v>
      </c>
      <c r="O128">
        <v>231.41370699999999</v>
      </c>
      <c r="P128">
        <v>2.6428620927110389</v>
      </c>
      <c r="Q128">
        <v>43.8638999</v>
      </c>
      <c r="R128">
        <v>800.29235899999992</v>
      </c>
      <c r="S128">
        <v>3.1950216199999998E-8</v>
      </c>
      <c r="T128">
        <v>21.808386628513823</v>
      </c>
      <c r="U128">
        <v>100.934</v>
      </c>
      <c r="V128">
        <v>-597.87014297346218</v>
      </c>
      <c r="W128">
        <v>69.227290100000005</v>
      </c>
      <c r="X128">
        <v>94.883231600000002</v>
      </c>
      <c r="Y128">
        <v>177.97</v>
      </c>
      <c r="Z128">
        <v>254.20506700000001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2.6428620927110389</v>
      </c>
    </row>
    <row r="129" spans="1:40" x14ac:dyDescent="0.3">
      <c r="A129">
        <v>28</v>
      </c>
      <c r="B129">
        <v>11</v>
      </c>
      <c r="C129">
        <v>7.8761090649752044</v>
      </c>
      <c r="D129">
        <v>13</v>
      </c>
      <c r="E129">
        <v>5</v>
      </c>
      <c r="F129">
        <v>0.32506224766044778</v>
      </c>
      <c r="G129">
        <v>18</v>
      </c>
      <c r="H129">
        <v>14</v>
      </c>
      <c r="I129">
        <v>0.52163111383208804</v>
      </c>
      <c r="J129">
        <v>327906751.33482546</v>
      </c>
      <c r="K129">
        <v>165457000</v>
      </c>
      <c r="L129">
        <v>79929825.938420832</v>
      </c>
      <c r="M129">
        <v>77334000</v>
      </c>
      <c r="N129">
        <v>15760729.68</v>
      </c>
      <c r="O129">
        <v>231.608689</v>
      </c>
      <c r="P129">
        <v>2.6406872637025556</v>
      </c>
      <c r="Q129">
        <v>43.816595800000002</v>
      </c>
      <c r="R129">
        <v>800.57112399999994</v>
      </c>
      <c r="S129">
        <v>4.8052501000000003E-8</v>
      </c>
      <c r="T129">
        <v>21.711249211619347</v>
      </c>
      <c r="U129">
        <v>100.934</v>
      </c>
      <c r="V129">
        <v>-607.03988511577825</v>
      </c>
      <c r="W129">
        <v>69.2235242</v>
      </c>
      <c r="X129">
        <v>94.868491800000001</v>
      </c>
      <c r="Y129">
        <v>144.29</v>
      </c>
      <c r="Z129">
        <v>256.43710399999998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2.6406872637025556</v>
      </c>
    </row>
    <row r="130" spans="1:40" x14ac:dyDescent="0.3">
      <c r="A130">
        <v>39</v>
      </c>
      <c r="B130">
        <v>10</v>
      </c>
      <c r="C130">
        <v>14.636234008516004</v>
      </c>
      <c r="D130">
        <v>14</v>
      </c>
      <c r="E130">
        <v>11</v>
      </c>
      <c r="F130">
        <v>0.37429263875107588</v>
      </c>
      <c r="G130">
        <v>29</v>
      </c>
      <c r="H130">
        <v>9</v>
      </c>
      <c r="I130">
        <v>0.51758150120328861</v>
      </c>
      <c r="J130">
        <v>330009701.06103033</v>
      </c>
      <c r="K130">
        <v>165574000</v>
      </c>
      <c r="L130">
        <v>79927823.761974946</v>
      </c>
      <c r="M130">
        <v>77285800</v>
      </c>
      <c r="N130">
        <v>15760375.84</v>
      </c>
      <c r="O130">
        <v>231.272593</v>
      </c>
      <c r="P130">
        <v>2.6538508281832791</v>
      </c>
      <c r="Q130">
        <v>43.816282399999999</v>
      </c>
      <c r="R130">
        <v>801.60158999999999</v>
      </c>
      <c r="S130">
        <v>2.89847296E-13</v>
      </c>
      <c r="T130">
        <v>21.519559929998046</v>
      </c>
      <c r="U130">
        <v>100.934</v>
      </c>
      <c r="V130">
        <v>-623.62305265286182</v>
      </c>
      <c r="W130">
        <v>69.220220499999996</v>
      </c>
      <c r="X130">
        <v>94.847518800000003</v>
      </c>
      <c r="Y130">
        <v>121.52199999999999</v>
      </c>
      <c r="Z130">
        <v>253.88708800000001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2.6538508281832791</v>
      </c>
    </row>
    <row r="131" spans="1:40" x14ac:dyDescent="0.3">
      <c r="A131">
        <v>38</v>
      </c>
      <c r="B131">
        <v>10</v>
      </c>
      <c r="C131">
        <v>6.4179326775822947</v>
      </c>
      <c r="D131">
        <v>11</v>
      </c>
      <c r="E131">
        <v>9</v>
      </c>
      <c r="F131">
        <v>0.30360197062672362</v>
      </c>
      <c r="G131">
        <v>11</v>
      </c>
      <c r="H131">
        <v>9</v>
      </c>
      <c r="I131">
        <v>1.3379648512804665</v>
      </c>
      <c r="J131">
        <v>327771302.69293129</v>
      </c>
      <c r="K131">
        <v>165452000</v>
      </c>
      <c r="L131">
        <v>79929325.390508696</v>
      </c>
      <c r="M131">
        <v>77062200</v>
      </c>
      <c r="N131">
        <v>15760569.68</v>
      </c>
      <c r="O131">
        <v>232.34909300000001</v>
      </c>
      <c r="P131">
        <v>2.6369455691123109</v>
      </c>
      <c r="Q131">
        <v>43.703458400000002</v>
      </c>
      <c r="R131">
        <v>801.86872899999992</v>
      </c>
      <c r="S131">
        <v>7.3378247700000003E-11</v>
      </c>
      <c r="T131">
        <v>21.255831413001932</v>
      </c>
      <c r="U131">
        <v>100.934</v>
      </c>
      <c r="V131">
        <v>-615.42209481637337</v>
      </c>
      <c r="W131">
        <v>69.224245499999995</v>
      </c>
      <c r="X131">
        <v>94.867179699999994</v>
      </c>
      <c r="Y131">
        <v>121.52199999999999</v>
      </c>
      <c r="Z131">
        <v>257.67413499999998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2.6369455691123109</v>
      </c>
    </row>
    <row r="132" spans="1:40" x14ac:dyDescent="0.3">
      <c r="A132">
        <v>32</v>
      </c>
      <c r="B132">
        <v>19</v>
      </c>
      <c r="C132">
        <v>3.63427121288733</v>
      </c>
      <c r="D132">
        <v>29</v>
      </c>
      <c r="E132">
        <v>5</v>
      </c>
      <c r="F132">
        <v>0.3890321160429081</v>
      </c>
      <c r="G132">
        <v>11</v>
      </c>
      <c r="H132">
        <v>8</v>
      </c>
      <c r="I132">
        <v>0.53656058390059491</v>
      </c>
      <c r="J132">
        <v>327409542.5529148</v>
      </c>
      <c r="K132">
        <v>165463000</v>
      </c>
      <c r="L132">
        <v>79940537.647346362</v>
      </c>
      <c r="M132">
        <v>77471100</v>
      </c>
      <c r="N132">
        <v>15763316.559999999</v>
      </c>
      <c r="O132">
        <v>231.267866</v>
      </c>
      <c r="P132">
        <v>2.6406170169051237</v>
      </c>
      <c r="Q132">
        <v>43.880367900000003</v>
      </c>
      <c r="R132">
        <v>800.39691000000005</v>
      </c>
      <c r="S132">
        <v>2.7144772900000001E-8</v>
      </c>
      <c r="T132">
        <v>21.824666911718353</v>
      </c>
      <c r="U132">
        <v>100.934</v>
      </c>
      <c r="V132">
        <v>-600.47572039086629</v>
      </c>
      <c r="W132">
        <v>69.222130500000006</v>
      </c>
      <c r="X132">
        <v>94.8638215</v>
      </c>
      <c r="Y132">
        <v>177.97</v>
      </c>
      <c r="Z132">
        <v>258.255943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2.6406170169051237</v>
      </c>
    </row>
    <row r="133" spans="1:40" x14ac:dyDescent="0.3">
      <c r="A133">
        <v>27</v>
      </c>
      <c r="B133">
        <v>11</v>
      </c>
      <c r="C133">
        <v>8.4990329566676301</v>
      </c>
      <c r="D133">
        <v>15</v>
      </c>
      <c r="E133">
        <v>5</v>
      </c>
      <c r="F133">
        <v>0.31660020392382016</v>
      </c>
      <c r="G133">
        <v>29</v>
      </c>
      <c r="H133">
        <v>11</v>
      </c>
      <c r="I133">
        <v>0.31749546615651847</v>
      </c>
      <c r="J133">
        <v>328313056.7909351</v>
      </c>
      <c r="K133">
        <v>165486000</v>
      </c>
      <c r="L133">
        <v>79939436.486397162</v>
      </c>
      <c r="M133">
        <v>77239400</v>
      </c>
      <c r="N133">
        <v>15763334.48</v>
      </c>
      <c r="O133">
        <v>231.711555</v>
      </c>
      <c r="P133">
        <v>2.6430600331708112</v>
      </c>
      <c r="Q133">
        <v>43.8141672</v>
      </c>
      <c r="R133">
        <v>800.40294700000004</v>
      </c>
      <c r="S133">
        <v>5.1560327199999998E-8</v>
      </c>
      <c r="T133">
        <v>21.717632587135157</v>
      </c>
      <c r="U133">
        <v>100.934</v>
      </c>
      <c r="V133">
        <v>-603.51305738330279</v>
      </c>
      <c r="W133">
        <v>69.223914800000003</v>
      </c>
      <c r="X133">
        <v>94.870276399999995</v>
      </c>
      <c r="Y133">
        <v>165.7</v>
      </c>
      <c r="Z133">
        <v>253.40347199999999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2.6430600331708112</v>
      </c>
    </row>
    <row r="134" spans="1:40" x14ac:dyDescent="0.3">
      <c r="A134">
        <v>27</v>
      </c>
      <c r="B134">
        <v>12</v>
      </c>
      <c r="C134">
        <v>9.3528464132062687</v>
      </c>
      <c r="D134">
        <v>28</v>
      </c>
      <c r="E134">
        <v>5</v>
      </c>
      <c r="F134">
        <v>0.33456770637318528</v>
      </c>
      <c r="G134">
        <v>18</v>
      </c>
      <c r="H134">
        <v>7</v>
      </c>
      <c r="I134">
        <v>0.54962259341498187</v>
      </c>
      <c r="J134">
        <v>328433211.84616578</v>
      </c>
      <c r="K134">
        <v>165497000</v>
      </c>
      <c r="L134">
        <v>79930026.252540693</v>
      </c>
      <c r="M134">
        <v>77280500</v>
      </c>
      <c r="N134">
        <v>15760949.68</v>
      </c>
      <c r="O134">
        <v>231.705321</v>
      </c>
      <c r="P134">
        <v>2.6429097261303975</v>
      </c>
      <c r="Q134">
        <v>43.837777099999997</v>
      </c>
      <c r="R134">
        <v>800.14005899999995</v>
      </c>
      <c r="S134">
        <v>4.2796506799999998E-8</v>
      </c>
      <c r="T134">
        <v>21.77429772644777</v>
      </c>
      <c r="U134">
        <v>100.934</v>
      </c>
      <c r="V134">
        <v>-596.2923549579898</v>
      </c>
      <c r="W134">
        <v>69.222649099999998</v>
      </c>
      <c r="X134">
        <v>94.865614600000001</v>
      </c>
      <c r="Y134">
        <v>177.97</v>
      </c>
      <c r="Z134">
        <v>254.02872300000001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2.6429097261303975</v>
      </c>
    </row>
    <row r="135" spans="1:40" x14ac:dyDescent="0.3">
      <c r="A135">
        <v>35</v>
      </c>
      <c r="B135">
        <v>14</v>
      </c>
      <c r="C135">
        <v>14.430122099079616</v>
      </c>
      <c r="D135">
        <v>12</v>
      </c>
      <c r="E135">
        <v>5</v>
      </c>
      <c r="F135">
        <v>0.37095780487910629</v>
      </c>
      <c r="G135">
        <v>29</v>
      </c>
      <c r="H135">
        <v>7</v>
      </c>
      <c r="I135">
        <v>1.3980904720006648</v>
      </c>
      <c r="J135">
        <v>329814298.59094566</v>
      </c>
      <c r="K135">
        <v>165555000</v>
      </c>
      <c r="L135">
        <v>79925921.716395214</v>
      </c>
      <c r="M135">
        <v>77353300</v>
      </c>
      <c r="N135">
        <v>15759895.52</v>
      </c>
      <c r="O135">
        <v>231.235342</v>
      </c>
      <c r="P135">
        <v>2.6520533874054784</v>
      </c>
      <c r="Q135">
        <v>43.848286899999998</v>
      </c>
      <c r="R135">
        <v>800.89078599999993</v>
      </c>
      <c r="S135">
        <v>3.2631899499999997E-8</v>
      </c>
      <c r="T135">
        <v>21.741197246090916</v>
      </c>
      <c r="U135">
        <v>100.934</v>
      </c>
      <c r="V135">
        <v>-614.50105991374096</v>
      </c>
      <c r="W135">
        <v>69.2189908</v>
      </c>
      <c r="X135">
        <v>94.837351100000006</v>
      </c>
      <c r="Y135">
        <v>144.29</v>
      </c>
      <c r="Z135">
        <v>254.11229900000001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2.6520533874054784</v>
      </c>
    </row>
    <row r="136" spans="1:40" x14ac:dyDescent="0.3">
      <c r="A136">
        <v>27</v>
      </c>
      <c r="B136">
        <v>17</v>
      </c>
      <c r="C136">
        <v>5.8147004845075205</v>
      </c>
      <c r="D136">
        <v>28</v>
      </c>
      <c r="E136">
        <v>5</v>
      </c>
      <c r="F136">
        <v>0.34049472630651539</v>
      </c>
      <c r="G136">
        <v>14</v>
      </c>
      <c r="H136">
        <v>10</v>
      </c>
      <c r="I136">
        <v>0.30991928113780609</v>
      </c>
      <c r="J136">
        <v>327725664.75089639</v>
      </c>
      <c r="K136">
        <v>165477000</v>
      </c>
      <c r="L136">
        <v>79952550.71608831</v>
      </c>
      <c r="M136">
        <v>77369700</v>
      </c>
      <c r="N136">
        <v>15766320.879999999</v>
      </c>
      <c r="O136">
        <v>231.64736099999999</v>
      </c>
      <c r="P136">
        <v>2.6394165504970144</v>
      </c>
      <c r="Q136">
        <v>43.842297000000002</v>
      </c>
      <c r="R136">
        <v>800.16956699999992</v>
      </c>
      <c r="S136">
        <v>4.0554422599999999E-8</v>
      </c>
      <c r="T136">
        <v>21.780495837647202</v>
      </c>
      <c r="U136">
        <v>100.934</v>
      </c>
      <c r="V136">
        <v>-596.50277848523967</v>
      </c>
      <c r="W136">
        <v>69.224340299999994</v>
      </c>
      <c r="X136">
        <v>94.873263899999998</v>
      </c>
      <c r="Y136">
        <v>177.97</v>
      </c>
      <c r="Z136">
        <v>257.79525100000001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2.6394165504970144</v>
      </c>
    </row>
    <row r="137" spans="1:40" x14ac:dyDescent="0.3">
      <c r="A137">
        <v>28</v>
      </c>
      <c r="B137">
        <v>18</v>
      </c>
      <c r="C137">
        <v>14.859640877956036</v>
      </c>
      <c r="D137">
        <v>29</v>
      </c>
      <c r="E137">
        <v>5</v>
      </c>
      <c r="F137">
        <v>0.31932084192758459</v>
      </c>
      <c r="G137">
        <v>17</v>
      </c>
      <c r="H137">
        <v>14</v>
      </c>
      <c r="I137">
        <v>0.30488463843408908</v>
      </c>
      <c r="J137">
        <v>329531835.19193119</v>
      </c>
      <c r="K137">
        <v>165591000</v>
      </c>
      <c r="L137">
        <v>79961660.596380189</v>
      </c>
      <c r="M137">
        <v>77383100</v>
      </c>
      <c r="N137">
        <v>15768436.16</v>
      </c>
      <c r="O137">
        <v>231.86187699999999</v>
      </c>
      <c r="P137">
        <v>2.6441780647926669</v>
      </c>
      <c r="Q137">
        <v>43.825994299999998</v>
      </c>
      <c r="R137">
        <v>800.04346599999997</v>
      </c>
      <c r="S137">
        <v>4.9440623400000002E-8</v>
      </c>
      <c r="T137">
        <v>21.761086267233683</v>
      </c>
      <c r="U137">
        <v>100.934</v>
      </c>
      <c r="V137">
        <v>-595.75828293548261</v>
      </c>
      <c r="W137">
        <v>69.220138899999995</v>
      </c>
      <c r="X137">
        <v>94.849912799999998</v>
      </c>
      <c r="Y137">
        <v>177.97</v>
      </c>
      <c r="Z137">
        <v>261.60547300000002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2.6441780647926669</v>
      </c>
    </row>
    <row r="138" spans="1:40" x14ac:dyDescent="0.3">
      <c r="A138">
        <v>28</v>
      </c>
      <c r="B138">
        <v>11</v>
      </c>
      <c r="C138">
        <v>4.5942826575965832</v>
      </c>
      <c r="D138">
        <v>10</v>
      </c>
      <c r="E138">
        <v>6</v>
      </c>
      <c r="F138">
        <v>0.33570017630536009</v>
      </c>
      <c r="G138">
        <v>23</v>
      </c>
      <c r="H138">
        <v>7</v>
      </c>
      <c r="I138">
        <v>0.54949110598033046</v>
      </c>
      <c r="J138">
        <v>327302082.65313154</v>
      </c>
      <c r="K138">
        <v>165434000</v>
      </c>
      <c r="L138">
        <v>79929725.841452509</v>
      </c>
      <c r="M138">
        <v>77258900</v>
      </c>
      <c r="N138">
        <v>15760858.16</v>
      </c>
      <c r="O138">
        <v>231.48258000000001</v>
      </c>
      <c r="P138">
        <v>2.6413461432732355</v>
      </c>
      <c r="Q138">
        <v>43.797923099999998</v>
      </c>
      <c r="R138">
        <v>801.22283299999992</v>
      </c>
      <c r="S138">
        <v>6.9867006899999998E-9</v>
      </c>
      <c r="T138">
        <v>21.595708949416615</v>
      </c>
      <c r="U138">
        <v>100.934</v>
      </c>
      <c r="V138">
        <v>-613.37939790615758</v>
      </c>
      <c r="W138">
        <v>69.229997299999994</v>
      </c>
      <c r="X138">
        <v>94.894230800000003</v>
      </c>
      <c r="Y138">
        <v>121.52199999999999</v>
      </c>
      <c r="Z138">
        <v>253.960814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2.6413461432732355</v>
      </c>
    </row>
    <row r="139" spans="1:40" x14ac:dyDescent="0.3">
      <c r="A139">
        <v>39</v>
      </c>
      <c r="B139">
        <v>18</v>
      </c>
      <c r="C139">
        <v>2.3703860914595962</v>
      </c>
      <c r="D139">
        <v>10</v>
      </c>
      <c r="E139">
        <v>8</v>
      </c>
      <c r="F139">
        <v>0.32540080509995695</v>
      </c>
      <c r="G139">
        <v>16</v>
      </c>
      <c r="H139">
        <v>13</v>
      </c>
      <c r="I139">
        <v>0.81561532308198714</v>
      </c>
      <c r="J139">
        <v>326936934.02470523</v>
      </c>
      <c r="K139">
        <v>165428000</v>
      </c>
      <c r="L139">
        <v>79926021.797749996</v>
      </c>
      <c r="M139">
        <v>77095000</v>
      </c>
      <c r="N139">
        <v>15759770.640000001</v>
      </c>
      <c r="O139">
        <v>232.15074000000001</v>
      </c>
      <c r="P139">
        <v>2.6356787029063162</v>
      </c>
      <c r="Q139">
        <v>43.719178200000002</v>
      </c>
      <c r="R139">
        <v>801.96376399999997</v>
      </c>
      <c r="S139">
        <v>2.88990686E-10</v>
      </c>
      <c r="T139">
        <v>21.296922394822975</v>
      </c>
      <c r="U139">
        <v>100.934</v>
      </c>
      <c r="V139">
        <v>-616.92029350616815</v>
      </c>
      <c r="W139">
        <v>69.225401300000001</v>
      </c>
      <c r="X139">
        <v>94.878112700000003</v>
      </c>
      <c r="Y139">
        <v>121.52199999999999</v>
      </c>
      <c r="Z139">
        <v>256.854489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2.6356787029063162</v>
      </c>
    </row>
    <row r="140" spans="1:40" x14ac:dyDescent="0.3">
      <c r="A140">
        <v>39</v>
      </c>
      <c r="B140">
        <v>10</v>
      </c>
      <c r="C140">
        <v>9.8416298901633432</v>
      </c>
      <c r="D140">
        <v>10</v>
      </c>
      <c r="E140">
        <v>5</v>
      </c>
      <c r="F140">
        <v>0.4206923219161931</v>
      </c>
      <c r="G140">
        <v>10</v>
      </c>
      <c r="H140">
        <v>8</v>
      </c>
      <c r="I140">
        <v>0.33518438931121858</v>
      </c>
      <c r="J140">
        <v>328494660.33202428</v>
      </c>
      <c r="K140">
        <v>165561000</v>
      </c>
      <c r="L140">
        <v>79974174.293567315</v>
      </c>
      <c r="M140">
        <v>77629400</v>
      </c>
      <c r="N140">
        <v>15771383.279999999</v>
      </c>
      <c r="O140">
        <v>230.87849900000001</v>
      </c>
      <c r="P140">
        <v>2.6471079727896325</v>
      </c>
      <c r="Q140">
        <v>43.863658800000003</v>
      </c>
      <c r="R140">
        <v>801.4140440000001</v>
      </c>
      <c r="S140">
        <v>2.3733131899999999E-8</v>
      </c>
      <c r="T140">
        <v>21.748317675379123</v>
      </c>
      <c r="U140">
        <v>100.934</v>
      </c>
      <c r="V140">
        <v>-621.00013518411765</v>
      </c>
      <c r="W140">
        <v>69.2214709</v>
      </c>
      <c r="X140">
        <v>94.854512700000001</v>
      </c>
      <c r="Y140">
        <v>144.29</v>
      </c>
      <c r="Z140">
        <v>274.58634499999999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2.6471079727896325</v>
      </c>
    </row>
    <row r="141" spans="1:40" x14ac:dyDescent="0.3">
      <c r="A141">
        <v>38</v>
      </c>
      <c r="B141">
        <v>11</v>
      </c>
      <c r="C141">
        <v>14.835447948921516</v>
      </c>
      <c r="D141">
        <v>29</v>
      </c>
      <c r="E141">
        <v>13</v>
      </c>
      <c r="F141">
        <v>0.39541756004097306</v>
      </c>
      <c r="G141">
        <v>11</v>
      </c>
      <c r="H141">
        <v>9</v>
      </c>
      <c r="I141">
        <v>0.34206228442710918</v>
      </c>
      <c r="J141">
        <v>329875274.43032467</v>
      </c>
      <c r="K141">
        <v>165622000</v>
      </c>
      <c r="L141">
        <v>79973573.603695184</v>
      </c>
      <c r="M141">
        <v>77612200</v>
      </c>
      <c r="N141">
        <v>15771226.08</v>
      </c>
      <c r="O141">
        <v>231.229635</v>
      </c>
      <c r="P141">
        <v>2.648634349304487</v>
      </c>
      <c r="Q141">
        <v>43.885761700000003</v>
      </c>
      <c r="R141">
        <v>800.42479900000001</v>
      </c>
      <c r="S141">
        <v>2.58780668E-8</v>
      </c>
      <c r="T141">
        <v>21.828592453842159</v>
      </c>
      <c r="U141">
        <v>100.934</v>
      </c>
      <c r="V141">
        <v>-601.5858006011307</v>
      </c>
      <c r="W141">
        <v>69.219631699999994</v>
      </c>
      <c r="X141">
        <v>94.843769699999996</v>
      </c>
      <c r="Y141">
        <v>177.97</v>
      </c>
      <c r="Z141">
        <v>274.64118999999999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2.648634349304487</v>
      </c>
    </row>
    <row r="142" spans="1:40" x14ac:dyDescent="0.3">
      <c r="A142">
        <v>39</v>
      </c>
      <c r="B142">
        <v>10</v>
      </c>
      <c r="C142">
        <v>11.681365772028478</v>
      </c>
      <c r="D142">
        <v>15</v>
      </c>
      <c r="E142">
        <v>6</v>
      </c>
      <c r="F142">
        <v>0.31407204769807656</v>
      </c>
      <c r="G142">
        <v>16</v>
      </c>
      <c r="H142">
        <v>14</v>
      </c>
      <c r="I142">
        <v>0.93487193233424826</v>
      </c>
      <c r="J142">
        <v>329024850.02157325</v>
      </c>
      <c r="K142">
        <v>165532000</v>
      </c>
      <c r="L142">
        <v>79925821.610182017</v>
      </c>
      <c r="M142">
        <v>77283800</v>
      </c>
      <c r="N142">
        <v>15759863.040000001</v>
      </c>
      <c r="O142">
        <v>231.66433599999999</v>
      </c>
      <c r="P142">
        <v>2.6457150386362795</v>
      </c>
      <c r="Q142">
        <v>43.8196352</v>
      </c>
      <c r="R142">
        <v>800.38252299999999</v>
      </c>
      <c r="S142">
        <v>8.0104397400000008E-9</v>
      </c>
      <c r="T142">
        <v>21.681286422550858</v>
      </c>
      <c r="U142">
        <v>100.934</v>
      </c>
      <c r="V142">
        <v>-606.66404368859287</v>
      </c>
      <c r="W142">
        <v>69.220832099999996</v>
      </c>
      <c r="X142">
        <v>94.851176199999998</v>
      </c>
      <c r="Y142">
        <v>144.29</v>
      </c>
      <c r="Z142">
        <v>254.388453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2.6457150386362795</v>
      </c>
    </row>
    <row r="143" spans="1:40" x14ac:dyDescent="0.3">
      <c r="A143">
        <v>39</v>
      </c>
      <c r="B143">
        <v>15</v>
      </c>
      <c r="C143">
        <v>3.7221226698689307</v>
      </c>
      <c r="D143">
        <v>13</v>
      </c>
      <c r="E143">
        <v>11</v>
      </c>
      <c r="F143">
        <v>0.30801414940615945</v>
      </c>
      <c r="G143">
        <v>21</v>
      </c>
      <c r="H143">
        <v>14</v>
      </c>
      <c r="I143">
        <v>0.65551413414659687</v>
      </c>
      <c r="J143">
        <v>327433893.04000157</v>
      </c>
      <c r="K143">
        <v>165445000</v>
      </c>
      <c r="L143">
        <v>79924820.488883018</v>
      </c>
      <c r="M143">
        <v>77003500</v>
      </c>
      <c r="N143">
        <v>15759596.879999999</v>
      </c>
      <c r="O143">
        <v>232.34283500000001</v>
      </c>
      <c r="P143">
        <v>2.6370130174712281</v>
      </c>
      <c r="Q143">
        <v>43.708205100000001</v>
      </c>
      <c r="R143">
        <v>801.78227199999992</v>
      </c>
      <c r="S143">
        <v>2.00921484E-12</v>
      </c>
      <c r="T143">
        <v>21.243317245383704</v>
      </c>
      <c r="U143">
        <v>100.934</v>
      </c>
      <c r="V143">
        <v>-616.7905452159473</v>
      </c>
      <c r="W143">
        <v>69.221572600000002</v>
      </c>
      <c r="X143">
        <v>94.858399199999994</v>
      </c>
      <c r="Y143">
        <v>121.52199999999999</v>
      </c>
      <c r="Z143">
        <v>254.59613300000001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2.6370130174712281</v>
      </c>
    </row>
    <row r="144" spans="1:40" x14ac:dyDescent="0.3">
      <c r="A144">
        <v>39</v>
      </c>
      <c r="B144">
        <v>10</v>
      </c>
      <c r="C144">
        <v>1.3602322203230197</v>
      </c>
      <c r="D144">
        <v>22</v>
      </c>
      <c r="E144">
        <v>5</v>
      </c>
      <c r="F144">
        <v>0.34917994628706334</v>
      </c>
      <c r="G144">
        <v>21</v>
      </c>
      <c r="H144">
        <v>14</v>
      </c>
      <c r="I144">
        <v>0.78064807707122996</v>
      </c>
      <c r="J144">
        <v>327074927.09202105</v>
      </c>
      <c r="K144">
        <v>165444000</v>
      </c>
      <c r="L144">
        <v>79924620.344868615</v>
      </c>
      <c r="M144">
        <v>77708900</v>
      </c>
      <c r="N144">
        <v>15759566.800000001</v>
      </c>
      <c r="O144">
        <v>230.077855</v>
      </c>
      <c r="P144">
        <v>2.6483605053424308</v>
      </c>
      <c r="Q144">
        <v>43.804701600000001</v>
      </c>
      <c r="R144">
        <v>801.33476199999996</v>
      </c>
      <c r="S144">
        <v>3.5000394999999999E-8</v>
      </c>
      <c r="T144">
        <v>21.81945036453531</v>
      </c>
      <c r="U144">
        <v>100.934</v>
      </c>
      <c r="V144">
        <v>-527.76852842747508</v>
      </c>
      <c r="W144">
        <v>69.430445399999996</v>
      </c>
      <c r="X144">
        <v>95.965994800000004</v>
      </c>
      <c r="Y144">
        <v>177.97</v>
      </c>
      <c r="Z144">
        <v>254.44701499999999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2.6483605053424308</v>
      </c>
    </row>
    <row r="145" spans="1:40" x14ac:dyDescent="0.3">
      <c r="A145">
        <v>39</v>
      </c>
      <c r="B145">
        <v>10</v>
      </c>
      <c r="C145">
        <v>2.9921770292531491</v>
      </c>
      <c r="D145">
        <v>24</v>
      </c>
      <c r="E145">
        <v>5</v>
      </c>
      <c r="F145">
        <v>0.31768533433616958</v>
      </c>
      <c r="G145">
        <v>18</v>
      </c>
      <c r="H145">
        <v>8</v>
      </c>
      <c r="I145">
        <v>1.0189719996960191</v>
      </c>
      <c r="J145">
        <v>327458266.91944563</v>
      </c>
      <c r="K145">
        <v>165465000</v>
      </c>
      <c r="L145">
        <v>79925921.727078155</v>
      </c>
      <c r="M145">
        <v>77298900</v>
      </c>
      <c r="N145">
        <v>15759898.32</v>
      </c>
      <c r="O145">
        <v>231.67226199999999</v>
      </c>
      <c r="P145">
        <v>2.6394697063126182</v>
      </c>
      <c r="Q145">
        <v>43.817766900000002</v>
      </c>
      <c r="R145">
        <v>800.22463099999993</v>
      </c>
      <c r="S145">
        <v>4.9946341300000001E-8</v>
      </c>
      <c r="T145">
        <v>21.75994457308364</v>
      </c>
      <c r="U145">
        <v>100.934</v>
      </c>
      <c r="V145">
        <v>-589.07690010584417</v>
      </c>
      <c r="W145">
        <v>69.244281999999998</v>
      </c>
      <c r="X145">
        <v>94.940893200000005</v>
      </c>
      <c r="Y145">
        <v>177.97</v>
      </c>
      <c r="Z145">
        <v>254.302819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2.6394697063126182</v>
      </c>
    </row>
    <row r="146" spans="1:40" x14ac:dyDescent="0.3">
      <c r="A146">
        <v>37</v>
      </c>
      <c r="B146">
        <v>19</v>
      </c>
      <c r="C146">
        <v>3.7758641016518073</v>
      </c>
      <c r="D146">
        <v>10</v>
      </c>
      <c r="E146">
        <v>7</v>
      </c>
      <c r="F146">
        <v>0.39705778463371666</v>
      </c>
      <c r="G146">
        <v>11</v>
      </c>
      <c r="H146">
        <v>8</v>
      </c>
      <c r="I146">
        <v>1.1653251752989124</v>
      </c>
      <c r="J146">
        <v>327167929.16057479</v>
      </c>
      <c r="K146">
        <v>165434000</v>
      </c>
      <c r="L146">
        <v>79929025.032218948</v>
      </c>
      <c r="M146">
        <v>77347600</v>
      </c>
      <c r="N146">
        <v>15760563.52</v>
      </c>
      <c r="O146">
        <v>231.123694</v>
      </c>
      <c r="P146">
        <v>2.6433594347130867</v>
      </c>
      <c r="Q146">
        <v>43.825130000000001</v>
      </c>
      <c r="R146">
        <v>801.85166900000002</v>
      </c>
      <c r="S146">
        <v>5.5597096999999997E-10</v>
      </c>
      <c r="T146">
        <v>21.580519986267142</v>
      </c>
      <c r="U146">
        <v>100.934</v>
      </c>
      <c r="V146">
        <v>-625.17988974130196</v>
      </c>
      <c r="W146">
        <v>69.219824599999995</v>
      </c>
      <c r="X146">
        <v>94.848319500000002</v>
      </c>
      <c r="Y146">
        <v>121.52199999999999</v>
      </c>
      <c r="Z146">
        <v>255.457201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2.6433594347130867</v>
      </c>
    </row>
    <row r="147" spans="1:40" x14ac:dyDescent="0.3">
      <c r="A147">
        <v>34</v>
      </c>
      <c r="B147">
        <v>10</v>
      </c>
      <c r="C147">
        <v>6.9314713593357293</v>
      </c>
      <c r="D147">
        <v>11</v>
      </c>
      <c r="E147">
        <v>8</v>
      </c>
      <c r="F147">
        <v>0.3255957354514008</v>
      </c>
      <c r="G147">
        <v>26</v>
      </c>
      <c r="H147">
        <v>11</v>
      </c>
      <c r="I147">
        <v>1.0837084479890469</v>
      </c>
      <c r="J147">
        <v>328138452.25650853</v>
      </c>
      <c r="K147">
        <v>165471000</v>
      </c>
      <c r="L147">
        <v>79924720.396023512</v>
      </c>
      <c r="M147">
        <v>77182400</v>
      </c>
      <c r="N147">
        <v>15759589.92</v>
      </c>
      <c r="O147">
        <v>231.75295499999999</v>
      </c>
      <c r="P147">
        <v>2.6428764257478661</v>
      </c>
      <c r="Q147">
        <v>43.770771199999999</v>
      </c>
      <c r="R147">
        <v>801.40463099999999</v>
      </c>
      <c r="S147">
        <v>2.1340113E-10</v>
      </c>
      <c r="T147">
        <v>21.456072336365452</v>
      </c>
      <c r="U147">
        <v>100.934</v>
      </c>
      <c r="V147">
        <v>-616.73504451082397</v>
      </c>
      <c r="W147">
        <v>69.223895600000006</v>
      </c>
      <c r="X147">
        <v>94.867384200000004</v>
      </c>
      <c r="Y147">
        <v>121.52199999999999</v>
      </c>
      <c r="Z147">
        <v>254.356604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2.6428764257478661</v>
      </c>
    </row>
    <row r="148" spans="1:40" x14ac:dyDescent="0.3">
      <c r="A148">
        <v>39</v>
      </c>
      <c r="B148">
        <v>11</v>
      </c>
      <c r="C148">
        <v>6.6547841383874893</v>
      </c>
      <c r="D148">
        <v>14</v>
      </c>
      <c r="E148">
        <v>12</v>
      </c>
      <c r="F148">
        <v>0.3403691274050058</v>
      </c>
      <c r="G148">
        <v>17</v>
      </c>
      <c r="H148">
        <v>11</v>
      </c>
      <c r="I148">
        <v>0.72658023361582091</v>
      </c>
      <c r="J148">
        <v>328086001.98771882</v>
      </c>
      <c r="K148">
        <v>165467000</v>
      </c>
      <c r="L148">
        <v>79925521.276956111</v>
      </c>
      <c r="M148">
        <v>77079100</v>
      </c>
      <c r="N148">
        <v>15759770.16</v>
      </c>
      <c r="O148">
        <v>232.050735</v>
      </c>
      <c r="P148">
        <v>2.6412205040209309</v>
      </c>
      <c r="Q148">
        <v>43.734749100000002</v>
      </c>
      <c r="R148">
        <v>801.83236099999999</v>
      </c>
      <c r="S148">
        <v>1.5151313299999999E-13</v>
      </c>
      <c r="T148">
        <v>21.28354476531657</v>
      </c>
      <c r="U148">
        <v>100.934</v>
      </c>
      <c r="V148">
        <v>-619.57433115287381</v>
      </c>
      <c r="W148">
        <v>69.222168800000006</v>
      </c>
      <c r="X148">
        <v>94.859604399999995</v>
      </c>
      <c r="Y148">
        <v>121.52199999999999</v>
      </c>
      <c r="Z148">
        <v>254.645678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2.6412205040209309</v>
      </c>
    </row>
    <row r="149" spans="1:40" x14ac:dyDescent="0.3">
      <c r="A149">
        <v>28</v>
      </c>
      <c r="B149">
        <v>18</v>
      </c>
      <c r="C149">
        <v>3.3109199451058431</v>
      </c>
      <c r="D149">
        <v>14</v>
      </c>
      <c r="E149">
        <v>5</v>
      </c>
      <c r="F149">
        <v>0.33514775426646048</v>
      </c>
      <c r="G149">
        <v>14</v>
      </c>
      <c r="H149">
        <v>12</v>
      </c>
      <c r="I149">
        <v>0.95508047858090972</v>
      </c>
      <c r="J149">
        <v>326956071.33429164</v>
      </c>
      <c r="K149">
        <v>165415000</v>
      </c>
      <c r="L149">
        <v>79929024.997088462</v>
      </c>
      <c r="M149">
        <v>77433500</v>
      </c>
      <c r="N149">
        <v>15760397.199999999</v>
      </c>
      <c r="O149">
        <v>231.466508</v>
      </c>
      <c r="P149">
        <v>2.6368225679565289</v>
      </c>
      <c r="Q149">
        <v>43.8250691</v>
      </c>
      <c r="R149">
        <v>800.58810800000003</v>
      </c>
      <c r="S149">
        <v>4.3382965899999999E-8</v>
      </c>
      <c r="T149">
        <v>21.73342710439929</v>
      </c>
      <c r="U149">
        <v>100.934</v>
      </c>
      <c r="V149">
        <v>-603.79660148268454</v>
      </c>
      <c r="W149">
        <v>69.234028499999994</v>
      </c>
      <c r="X149">
        <v>94.912991700000006</v>
      </c>
      <c r="Y149">
        <v>144.29</v>
      </c>
      <c r="Z149">
        <v>259.30901599999999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2.6368225679565289</v>
      </c>
    </row>
    <row r="150" spans="1:40" x14ac:dyDescent="0.3">
      <c r="A150">
        <v>39</v>
      </c>
      <c r="B150">
        <v>19</v>
      </c>
      <c r="C150">
        <v>1.2551824294421374</v>
      </c>
      <c r="D150">
        <v>29</v>
      </c>
      <c r="E150">
        <v>12</v>
      </c>
      <c r="F150">
        <v>0.47749204826916136</v>
      </c>
      <c r="G150">
        <v>12</v>
      </c>
      <c r="H150">
        <v>9</v>
      </c>
      <c r="I150">
        <v>0.9683130652233658</v>
      </c>
      <c r="J150">
        <v>327283497.37465066</v>
      </c>
      <c r="K150">
        <v>165466000</v>
      </c>
      <c r="L150">
        <v>79928824.809315056</v>
      </c>
      <c r="M150">
        <v>78154300</v>
      </c>
      <c r="N150">
        <v>15760483.359999999</v>
      </c>
      <c r="O150">
        <v>228.08469400000001</v>
      </c>
      <c r="P150">
        <v>2.663930011583294</v>
      </c>
      <c r="Q150">
        <v>43.954174700000003</v>
      </c>
      <c r="R150">
        <v>803.01372400000002</v>
      </c>
      <c r="S150">
        <v>1.8279647600000002E-15</v>
      </c>
      <c r="T150">
        <v>22.146070534152013</v>
      </c>
      <c r="U150">
        <v>100.934</v>
      </c>
      <c r="V150">
        <v>-546.9481562531696</v>
      </c>
      <c r="W150">
        <v>69.442602600000001</v>
      </c>
      <c r="X150">
        <v>96.030437599999999</v>
      </c>
      <c r="Y150">
        <v>177.97</v>
      </c>
      <c r="Z150">
        <v>255.661879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2.663930011583294</v>
      </c>
    </row>
    <row r="151" spans="1:40" x14ac:dyDescent="0.3">
      <c r="A151">
        <v>27</v>
      </c>
      <c r="B151">
        <v>11</v>
      </c>
      <c r="C151">
        <v>5.1006023812336085</v>
      </c>
      <c r="D151">
        <v>18</v>
      </c>
      <c r="E151">
        <v>14</v>
      </c>
      <c r="F151">
        <v>0.32490520783111787</v>
      </c>
      <c r="G151">
        <v>11</v>
      </c>
      <c r="H151">
        <v>7</v>
      </c>
      <c r="I151">
        <v>0.53444519065965523</v>
      </c>
      <c r="J151">
        <v>327258209.04302102</v>
      </c>
      <c r="K151">
        <v>165443000</v>
      </c>
      <c r="L151">
        <v>79936333.03190051</v>
      </c>
      <c r="M151">
        <v>77316500</v>
      </c>
      <c r="N151">
        <v>15762367.280000001</v>
      </c>
      <c r="O151">
        <v>231.55434399999999</v>
      </c>
      <c r="P151">
        <v>2.6394723959037267</v>
      </c>
      <c r="Q151">
        <v>43.799759000000002</v>
      </c>
      <c r="R151">
        <v>800.87270599999999</v>
      </c>
      <c r="S151">
        <v>2.5565771999999999E-15</v>
      </c>
      <c r="T151">
        <v>21.516749229061006</v>
      </c>
      <c r="U151">
        <v>100.934</v>
      </c>
      <c r="V151">
        <v>-613.53240040666662</v>
      </c>
      <c r="W151">
        <v>69.229516399999994</v>
      </c>
      <c r="X151">
        <v>94.892577000000003</v>
      </c>
      <c r="Y151">
        <v>121.52199999999999</v>
      </c>
      <c r="Z151">
        <v>255.95938599999999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2.6394723959037267</v>
      </c>
    </row>
    <row r="152" spans="1:40" x14ac:dyDescent="0.3">
      <c r="A152">
        <v>27</v>
      </c>
      <c r="B152">
        <v>18</v>
      </c>
      <c r="C152">
        <v>11.994089545256266</v>
      </c>
      <c r="D152">
        <v>13</v>
      </c>
      <c r="E152">
        <v>11</v>
      </c>
      <c r="F152">
        <v>0.33618705258319342</v>
      </c>
      <c r="G152">
        <v>15</v>
      </c>
      <c r="H152">
        <v>13</v>
      </c>
      <c r="I152">
        <v>1.0601271958622207</v>
      </c>
      <c r="J152">
        <v>328581702.49516755</v>
      </c>
      <c r="K152">
        <v>165499000</v>
      </c>
      <c r="L152">
        <v>79926722.585206762</v>
      </c>
      <c r="M152">
        <v>77055800</v>
      </c>
      <c r="N152">
        <v>15760094.4</v>
      </c>
      <c r="O152">
        <v>232.095316</v>
      </c>
      <c r="P152">
        <v>2.6432148295476643</v>
      </c>
      <c r="Q152">
        <v>43.731152799999997</v>
      </c>
      <c r="R152">
        <v>801.84123299999999</v>
      </c>
      <c r="S152">
        <v>1.6611475799999999E-12</v>
      </c>
      <c r="T152">
        <v>21.281801267843932</v>
      </c>
      <c r="U152">
        <v>100.934</v>
      </c>
      <c r="V152">
        <v>-619.80013737495335</v>
      </c>
      <c r="W152">
        <v>69.221252399999997</v>
      </c>
      <c r="X152">
        <v>94.857182300000005</v>
      </c>
      <c r="Y152">
        <v>121.52199999999999</v>
      </c>
      <c r="Z152">
        <v>254.258296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2.6432148295476643</v>
      </c>
    </row>
    <row r="153" spans="1:40" x14ac:dyDescent="0.3">
      <c r="A153">
        <v>39</v>
      </c>
      <c r="B153">
        <v>19</v>
      </c>
      <c r="C153">
        <v>2.5563061146178736</v>
      </c>
      <c r="D153">
        <v>13</v>
      </c>
      <c r="E153">
        <v>5</v>
      </c>
      <c r="F153">
        <v>0.32614945671364914</v>
      </c>
      <c r="G153">
        <v>27</v>
      </c>
      <c r="H153">
        <v>8</v>
      </c>
      <c r="I153">
        <v>0.31013908441225468</v>
      </c>
      <c r="J153">
        <v>327381641.83377033</v>
      </c>
      <c r="K153">
        <v>165461000</v>
      </c>
      <c r="L153">
        <v>79941338.48328729</v>
      </c>
      <c r="M153">
        <v>77247300</v>
      </c>
      <c r="N153">
        <v>15763801.92</v>
      </c>
      <c r="O153">
        <v>231.60627099999999</v>
      </c>
      <c r="P153">
        <v>2.6409044106695956</v>
      </c>
      <c r="Q153">
        <v>43.817594100000001</v>
      </c>
      <c r="R153">
        <v>800.57124599999997</v>
      </c>
      <c r="S153">
        <v>4.7578466100000002E-8</v>
      </c>
      <c r="T153">
        <v>21.71178269022797</v>
      </c>
      <c r="U153">
        <v>100.934</v>
      </c>
      <c r="V153">
        <v>-607.51071413022021</v>
      </c>
      <c r="W153">
        <v>69.222520500000002</v>
      </c>
      <c r="X153">
        <v>94.866857199999998</v>
      </c>
      <c r="Y153">
        <v>144.29</v>
      </c>
      <c r="Z153">
        <v>253.22865400000001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2.6409044106695956</v>
      </c>
    </row>
    <row r="154" spans="1:40" x14ac:dyDescent="0.3">
      <c r="A154">
        <v>38</v>
      </c>
      <c r="B154">
        <v>19</v>
      </c>
      <c r="C154">
        <v>9.4019350680533922</v>
      </c>
      <c r="D154">
        <v>10</v>
      </c>
      <c r="E154">
        <v>6</v>
      </c>
      <c r="F154">
        <v>0.33152594036056748</v>
      </c>
      <c r="G154">
        <v>28</v>
      </c>
      <c r="H154">
        <v>9</v>
      </c>
      <c r="I154">
        <v>1.3266362761642458</v>
      </c>
      <c r="J154">
        <v>328835659.79648131</v>
      </c>
      <c r="K154">
        <v>165528000</v>
      </c>
      <c r="L154">
        <v>79925020.740343258</v>
      </c>
      <c r="M154">
        <v>77240000</v>
      </c>
      <c r="N154">
        <v>15759668.960000001</v>
      </c>
      <c r="O154">
        <v>231.59796299999999</v>
      </c>
      <c r="P154">
        <v>2.6466773184583969</v>
      </c>
      <c r="Q154">
        <v>43.797337599999999</v>
      </c>
      <c r="R154">
        <v>801.15112600000009</v>
      </c>
      <c r="S154">
        <v>7.3670902999999997E-9</v>
      </c>
      <c r="T154">
        <v>21.583985745507121</v>
      </c>
      <c r="U154">
        <v>100.934</v>
      </c>
      <c r="V154">
        <v>-616.83087525993335</v>
      </c>
      <c r="W154">
        <v>69.218720000000005</v>
      </c>
      <c r="X154">
        <v>94.830320200000003</v>
      </c>
      <c r="Y154">
        <v>121.52199999999999</v>
      </c>
      <c r="Z154">
        <v>254.27699200000001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2.6466773184583969</v>
      </c>
    </row>
    <row r="155" spans="1:40" x14ac:dyDescent="0.3">
      <c r="A155">
        <v>27</v>
      </c>
      <c r="B155">
        <v>12</v>
      </c>
      <c r="C155">
        <v>14.745069830219906</v>
      </c>
      <c r="D155">
        <v>13</v>
      </c>
      <c r="E155">
        <v>11</v>
      </c>
      <c r="F155">
        <v>0.35481620622744159</v>
      </c>
      <c r="G155">
        <v>11</v>
      </c>
      <c r="H155">
        <v>7</v>
      </c>
      <c r="I155">
        <v>0.65668762539824643</v>
      </c>
      <c r="J155">
        <v>329128266.11893493</v>
      </c>
      <c r="K155">
        <v>165526000</v>
      </c>
      <c r="L155">
        <v>79932528.891229659</v>
      </c>
      <c r="M155">
        <v>77128700</v>
      </c>
      <c r="N155">
        <v>15761448.959999999</v>
      </c>
      <c r="O155">
        <v>231.91827799999999</v>
      </c>
      <c r="P155">
        <v>2.6459587648474194</v>
      </c>
      <c r="Q155">
        <v>43.746046900000003</v>
      </c>
      <c r="R155">
        <v>801.92028600000003</v>
      </c>
      <c r="S155">
        <v>6.9228999200000002E-13</v>
      </c>
      <c r="T155">
        <v>21.311413393006998</v>
      </c>
      <c r="U155">
        <v>100.934</v>
      </c>
      <c r="V155">
        <v>-621.3564364580202</v>
      </c>
      <c r="W155">
        <v>69.221237500000001</v>
      </c>
      <c r="X155">
        <v>94.857518999999996</v>
      </c>
      <c r="Y155">
        <v>121.52199999999999</v>
      </c>
      <c r="Z155">
        <v>255.58571499999999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2.6459587648474194</v>
      </c>
    </row>
    <row r="156" spans="1:40" x14ac:dyDescent="0.3">
      <c r="A156">
        <v>39</v>
      </c>
      <c r="B156">
        <v>16</v>
      </c>
      <c r="C156">
        <v>1.4182291690039985</v>
      </c>
      <c r="D156">
        <v>10</v>
      </c>
      <c r="E156">
        <v>5</v>
      </c>
      <c r="F156">
        <v>0.30507055623845503</v>
      </c>
      <c r="G156">
        <v>28</v>
      </c>
      <c r="H156">
        <v>8</v>
      </c>
      <c r="I156">
        <v>0.5491522681369192</v>
      </c>
      <c r="J156">
        <v>327059106.40249789</v>
      </c>
      <c r="K156">
        <v>165448000</v>
      </c>
      <c r="L156">
        <v>79928324.376655534</v>
      </c>
      <c r="M156">
        <v>77469500</v>
      </c>
      <c r="N156">
        <v>15760518.08</v>
      </c>
      <c r="O156">
        <v>230.80492899999999</v>
      </c>
      <c r="P156">
        <v>2.6446264277252181</v>
      </c>
      <c r="Q156">
        <v>43.747916500000002</v>
      </c>
      <c r="R156">
        <v>801.50917499999991</v>
      </c>
      <c r="S156">
        <v>5.8086524099999998E-8</v>
      </c>
      <c r="T156">
        <v>21.724514801250582</v>
      </c>
      <c r="U156">
        <v>100.934</v>
      </c>
      <c r="V156">
        <v>-558.61163505882405</v>
      </c>
      <c r="W156">
        <v>69.368142800000001</v>
      </c>
      <c r="X156">
        <v>95.436435799999998</v>
      </c>
      <c r="Y156">
        <v>144.29</v>
      </c>
      <c r="Z156">
        <v>254.09472700000001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2.6446264277252181</v>
      </c>
    </row>
    <row r="157" spans="1:40" x14ac:dyDescent="0.3">
      <c r="A157">
        <v>39</v>
      </c>
      <c r="B157">
        <v>18</v>
      </c>
      <c r="C157">
        <v>7.1543266868692683</v>
      </c>
      <c r="D157">
        <v>28</v>
      </c>
      <c r="E157">
        <v>5</v>
      </c>
      <c r="F157">
        <v>0.31632160888653998</v>
      </c>
      <c r="G157">
        <v>27</v>
      </c>
      <c r="H157">
        <v>14</v>
      </c>
      <c r="I157">
        <v>0.91299249188551079</v>
      </c>
      <c r="J157">
        <v>328702301.59553707</v>
      </c>
      <c r="K157">
        <v>165506000</v>
      </c>
      <c r="L157">
        <v>79924520.142919749</v>
      </c>
      <c r="M157">
        <v>77248800</v>
      </c>
      <c r="N157">
        <v>15759532.08</v>
      </c>
      <c r="O157">
        <v>231.88915800000001</v>
      </c>
      <c r="P157">
        <v>2.6423770234427923</v>
      </c>
      <c r="Q157">
        <v>43.823533900000001</v>
      </c>
      <c r="R157">
        <v>800.03938399999993</v>
      </c>
      <c r="S157">
        <v>5.0945098800000002E-8</v>
      </c>
      <c r="T157">
        <v>21.755657818679548</v>
      </c>
      <c r="U157">
        <v>100.934</v>
      </c>
      <c r="V157">
        <v>-596.19028086797448</v>
      </c>
      <c r="W157">
        <v>69.2188491</v>
      </c>
      <c r="X157">
        <v>94.834379299999995</v>
      </c>
      <c r="Y157">
        <v>177.97</v>
      </c>
      <c r="Z157">
        <v>254.388623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2.6423770234427923</v>
      </c>
    </row>
    <row r="158" spans="1:40" x14ac:dyDescent="0.3">
      <c r="A158">
        <v>28</v>
      </c>
      <c r="B158">
        <v>15</v>
      </c>
      <c r="C158">
        <v>4.7768851263775307</v>
      </c>
      <c r="D158">
        <v>19</v>
      </c>
      <c r="E158">
        <v>5</v>
      </c>
      <c r="F158">
        <v>0.30590440453281653</v>
      </c>
      <c r="G158">
        <v>16</v>
      </c>
      <c r="H158">
        <v>10</v>
      </c>
      <c r="I158">
        <v>0.4090203071830214</v>
      </c>
      <c r="J158">
        <v>327297102.39898723</v>
      </c>
      <c r="K158">
        <v>165438000</v>
      </c>
      <c r="L158">
        <v>79934230.73712039</v>
      </c>
      <c r="M158">
        <v>77255400</v>
      </c>
      <c r="N158">
        <v>15761914.32</v>
      </c>
      <c r="O158">
        <v>231.87017800000001</v>
      </c>
      <c r="P158">
        <v>2.6370590296498642</v>
      </c>
      <c r="Q158">
        <v>43.808961500000002</v>
      </c>
      <c r="R158">
        <v>800.1863689999999</v>
      </c>
      <c r="S158">
        <v>5.68939753E-8</v>
      </c>
      <c r="T158">
        <v>21.725745791293424</v>
      </c>
      <c r="U158">
        <v>100.934</v>
      </c>
      <c r="V158">
        <v>-598.36346435642815</v>
      </c>
      <c r="W158">
        <v>69.224602399999995</v>
      </c>
      <c r="X158">
        <v>94.874450699999997</v>
      </c>
      <c r="Y158">
        <v>170.55</v>
      </c>
      <c r="Z158">
        <v>254.87023600000001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2.6370590296498642</v>
      </c>
    </row>
    <row r="159" spans="1:40" x14ac:dyDescent="0.3">
      <c r="A159">
        <v>39</v>
      </c>
      <c r="B159">
        <v>19</v>
      </c>
      <c r="C159">
        <v>2.101453202491891</v>
      </c>
      <c r="D159">
        <v>20</v>
      </c>
      <c r="E159">
        <v>13</v>
      </c>
      <c r="F159">
        <v>0.30945333055041718</v>
      </c>
      <c r="G159">
        <v>18</v>
      </c>
      <c r="H159">
        <v>14</v>
      </c>
      <c r="I159">
        <v>0.77450211033497807</v>
      </c>
      <c r="J159">
        <v>327124190.94892728</v>
      </c>
      <c r="K159">
        <v>165443000</v>
      </c>
      <c r="L159">
        <v>79925220.884973973</v>
      </c>
      <c r="M159">
        <v>77341300</v>
      </c>
      <c r="N159">
        <v>15759619.92</v>
      </c>
      <c r="O159">
        <v>231.61464799999999</v>
      </c>
      <c r="P159">
        <v>2.6379197080091381</v>
      </c>
      <c r="Q159">
        <v>43.8150969</v>
      </c>
      <c r="R159">
        <v>800.26147800000001</v>
      </c>
      <c r="S159">
        <v>2.0214208299999999E-14</v>
      </c>
      <c r="T159">
        <v>21.597268612734219</v>
      </c>
      <c r="U159">
        <v>100.934</v>
      </c>
      <c r="V159">
        <v>-606.54584824459039</v>
      </c>
      <c r="W159">
        <v>69.229791899999995</v>
      </c>
      <c r="X159">
        <v>94.897129500000005</v>
      </c>
      <c r="Y159">
        <v>144.29</v>
      </c>
      <c r="Z159">
        <v>255.556838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2.6379197080091381</v>
      </c>
    </row>
    <row r="160" spans="1:40" x14ac:dyDescent="0.3">
      <c r="A160">
        <v>31</v>
      </c>
      <c r="B160">
        <v>12</v>
      </c>
      <c r="C160">
        <v>5.3484822519848265</v>
      </c>
      <c r="D160">
        <v>28</v>
      </c>
      <c r="E160">
        <v>5</v>
      </c>
      <c r="F160">
        <v>0.33943432357664832</v>
      </c>
      <c r="G160">
        <v>10</v>
      </c>
      <c r="H160">
        <v>7</v>
      </c>
      <c r="I160">
        <v>1.2796968791695087</v>
      </c>
      <c r="J160">
        <v>327712219.90878671</v>
      </c>
      <c r="K160">
        <v>165455000</v>
      </c>
      <c r="L160">
        <v>79930526.683351249</v>
      </c>
      <c r="M160">
        <v>77331800</v>
      </c>
      <c r="N160">
        <v>15760950.720000001</v>
      </c>
      <c r="O160">
        <v>231.655968</v>
      </c>
      <c r="P160">
        <v>2.6395820694677692</v>
      </c>
      <c r="Q160">
        <v>43.841597100000001</v>
      </c>
      <c r="R160">
        <v>800.17016000000001</v>
      </c>
      <c r="S160">
        <v>4.0940640199999997E-8</v>
      </c>
      <c r="T160">
        <v>21.779346623178252</v>
      </c>
      <c r="U160">
        <v>100.934</v>
      </c>
      <c r="V160">
        <v>-596.33022197672676</v>
      </c>
      <c r="W160">
        <v>69.223606099999998</v>
      </c>
      <c r="X160">
        <v>94.868550499999998</v>
      </c>
      <c r="Y160">
        <v>177.97</v>
      </c>
      <c r="Z160">
        <v>255.599153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2.6395820694677692</v>
      </c>
    </row>
    <row r="161" spans="1:40" x14ac:dyDescent="0.3">
      <c r="A161">
        <v>31</v>
      </c>
      <c r="B161">
        <v>10</v>
      </c>
      <c r="C161">
        <v>10.153466175260386</v>
      </c>
      <c r="D161">
        <v>26</v>
      </c>
      <c r="E161">
        <v>7</v>
      </c>
      <c r="F161">
        <v>0.31533139971731078</v>
      </c>
      <c r="G161">
        <v>29</v>
      </c>
      <c r="H161">
        <v>14</v>
      </c>
      <c r="I161">
        <v>1.2906014478625916</v>
      </c>
      <c r="J161">
        <v>329029390.72964036</v>
      </c>
      <c r="K161">
        <v>165529000</v>
      </c>
      <c r="L161">
        <v>79926021.854657248</v>
      </c>
      <c r="M161">
        <v>77289000</v>
      </c>
      <c r="N161">
        <v>15759927.680000002</v>
      </c>
      <c r="O161">
        <v>231.73553200000001</v>
      </c>
      <c r="P161">
        <v>2.6447592963899722</v>
      </c>
      <c r="Q161">
        <v>43.833775099999997</v>
      </c>
      <c r="R161">
        <v>800.02000199999998</v>
      </c>
      <c r="S161">
        <v>1.1605575699999999E-9</v>
      </c>
      <c r="T161">
        <v>21.704204721003897</v>
      </c>
      <c r="U161">
        <v>100.934</v>
      </c>
      <c r="V161">
        <v>-598.62715916414606</v>
      </c>
      <c r="W161">
        <v>69.222040699999994</v>
      </c>
      <c r="X161">
        <v>94.859981000000005</v>
      </c>
      <c r="Y161">
        <v>177.97</v>
      </c>
      <c r="Z161">
        <v>254.27468999999999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2.6447592963899722</v>
      </c>
    </row>
    <row r="162" spans="1:40" x14ac:dyDescent="0.3">
      <c r="A162">
        <v>39</v>
      </c>
      <c r="B162">
        <v>16</v>
      </c>
      <c r="C162">
        <v>2.4380949337787143</v>
      </c>
      <c r="D162">
        <v>18</v>
      </c>
      <c r="E162">
        <v>13</v>
      </c>
      <c r="F162">
        <v>0.31436505198218273</v>
      </c>
      <c r="G162">
        <v>26</v>
      </c>
      <c r="H162">
        <v>7</v>
      </c>
      <c r="I162">
        <v>0.95338320930411524</v>
      </c>
      <c r="J162">
        <v>327485872.7162447</v>
      </c>
      <c r="K162">
        <v>165464000</v>
      </c>
      <c r="L162">
        <v>79926722.568976894</v>
      </c>
      <c r="M162">
        <v>77283000</v>
      </c>
      <c r="N162">
        <v>15760094.719999999</v>
      </c>
      <c r="O162">
        <v>231.60004599999999</v>
      </c>
      <c r="P162">
        <v>2.6406576419829797</v>
      </c>
      <c r="Q162">
        <v>43.805558699999999</v>
      </c>
      <c r="R162">
        <v>800.57622900000001</v>
      </c>
      <c r="S162">
        <v>1.96194377E-14</v>
      </c>
      <c r="T162">
        <v>21.555451654804234</v>
      </c>
      <c r="U162">
        <v>100.934</v>
      </c>
      <c r="V162">
        <v>-611.05949338164555</v>
      </c>
      <c r="W162">
        <v>69.227877199999995</v>
      </c>
      <c r="X162">
        <v>94.886740799999998</v>
      </c>
      <c r="Y162">
        <v>144.29</v>
      </c>
      <c r="Z162">
        <v>254.06661500000001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2.6406576419829797</v>
      </c>
    </row>
    <row r="163" spans="1:40" x14ac:dyDescent="0.3">
      <c r="A163">
        <v>30</v>
      </c>
      <c r="B163">
        <v>10</v>
      </c>
      <c r="C163">
        <v>7.6776856373334832</v>
      </c>
      <c r="D163">
        <v>17</v>
      </c>
      <c r="E163">
        <v>5</v>
      </c>
      <c r="F163">
        <v>0.30231653422670246</v>
      </c>
      <c r="G163">
        <v>10</v>
      </c>
      <c r="H163">
        <v>8</v>
      </c>
      <c r="I163">
        <v>0.76909340367703316</v>
      </c>
      <c r="J163">
        <v>327754117.80864114</v>
      </c>
      <c r="K163">
        <v>165467000</v>
      </c>
      <c r="L163">
        <v>79940437.417252019</v>
      </c>
      <c r="M163">
        <v>77365600</v>
      </c>
      <c r="N163">
        <v>15763189.119999999</v>
      </c>
      <c r="O163">
        <v>231.87725800000001</v>
      </c>
      <c r="P163">
        <v>2.6367706547436751</v>
      </c>
      <c r="Q163">
        <v>43.804585400000001</v>
      </c>
      <c r="R163">
        <v>800.23711600000001</v>
      </c>
      <c r="S163">
        <v>5.9162041900000002E-8</v>
      </c>
      <c r="T163">
        <v>21.714067147382046</v>
      </c>
      <c r="U163">
        <v>100.934</v>
      </c>
      <c r="V163">
        <v>-599.8770824344499</v>
      </c>
      <c r="W163">
        <v>69.223982699999993</v>
      </c>
      <c r="X163">
        <v>94.869175600000005</v>
      </c>
      <c r="Y163">
        <v>170.55</v>
      </c>
      <c r="Z163">
        <v>260.55696399999999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2.6367706547436751</v>
      </c>
    </row>
    <row r="164" spans="1:40" x14ac:dyDescent="0.3">
      <c r="A164">
        <v>30</v>
      </c>
      <c r="B164">
        <v>11</v>
      </c>
      <c r="C164">
        <v>13.112449986124027</v>
      </c>
      <c r="D164">
        <v>29</v>
      </c>
      <c r="E164">
        <v>14</v>
      </c>
      <c r="F164">
        <v>0.3398344517765568</v>
      </c>
      <c r="G164">
        <v>29</v>
      </c>
      <c r="H164">
        <v>7</v>
      </c>
      <c r="I164">
        <v>1.2474683919483729</v>
      </c>
      <c r="J164">
        <v>329784444.44057488</v>
      </c>
      <c r="K164">
        <v>165569000</v>
      </c>
      <c r="L164">
        <v>79926121.932724968</v>
      </c>
      <c r="M164">
        <v>77368100</v>
      </c>
      <c r="N164">
        <v>15759946</v>
      </c>
      <c r="O164">
        <v>231.407905</v>
      </c>
      <c r="P164">
        <v>2.649972886291597</v>
      </c>
      <c r="Q164">
        <v>43.863117600000002</v>
      </c>
      <c r="R164">
        <v>800.10149100000001</v>
      </c>
      <c r="S164">
        <v>1.0206929700000001E-15</v>
      </c>
      <c r="T164">
        <v>21.689322779537886</v>
      </c>
      <c r="U164">
        <v>100.934</v>
      </c>
      <c r="V164">
        <v>-605.31419408660963</v>
      </c>
      <c r="W164">
        <v>69.220595200000005</v>
      </c>
      <c r="X164">
        <v>94.852771000000004</v>
      </c>
      <c r="Y164">
        <v>170.55</v>
      </c>
      <c r="Z164">
        <v>254.06872000000001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2.649972886291597</v>
      </c>
    </row>
    <row r="165" spans="1:40" x14ac:dyDescent="0.3">
      <c r="A165">
        <v>34</v>
      </c>
      <c r="B165">
        <v>15</v>
      </c>
      <c r="C165">
        <v>7.8785714277109484</v>
      </c>
      <c r="D165">
        <v>15</v>
      </c>
      <c r="E165">
        <v>13</v>
      </c>
      <c r="F165">
        <v>0.3264912006558946</v>
      </c>
      <c r="G165">
        <v>15</v>
      </c>
      <c r="H165">
        <v>12</v>
      </c>
      <c r="I165">
        <v>0.32509669783539341</v>
      </c>
      <c r="J165">
        <v>328013040.02225745</v>
      </c>
      <c r="K165">
        <v>165485000</v>
      </c>
      <c r="L165">
        <v>79956454.956398219</v>
      </c>
      <c r="M165">
        <v>77155600</v>
      </c>
      <c r="N165">
        <v>15767174.16</v>
      </c>
      <c r="O165">
        <v>232.20239900000001</v>
      </c>
      <c r="P165">
        <v>2.6381699429631809</v>
      </c>
      <c r="Q165">
        <v>43.724241300000003</v>
      </c>
      <c r="R165">
        <v>801.75242900000001</v>
      </c>
      <c r="S165">
        <v>3.5763286700000002E-14</v>
      </c>
      <c r="T165">
        <v>21.258454260855853</v>
      </c>
      <c r="U165">
        <v>100.934</v>
      </c>
      <c r="V165">
        <v>-619.24755983423938</v>
      </c>
      <c r="W165">
        <v>69.219440599999999</v>
      </c>
      <c r="X165">
        <v>94.843576799999994</v>
      </c>
      <c r="Y165">
        <v>121.52199999999999</v>
      </c>
      <c r="Z165">
        <v>260.81382100000002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2.6381699429631809</v>
      </c>
    </row>
    <row r="166" spans="1:40" x14ac:dyDescent="0.3">
      <c r="A166">
        <v>38</v>
      </c>
      <c r="B166">
        <v>17</v>
      </c>
      <c r="C166">
        <v>4.6464293025152648</v>
      </c>
      <c r="D166">
        <v>18</v>
      </c>
      <c r="E166">
        <v>5</v>
      </c>
      <c r="F166">
        <v>0.30593636436343713</v>
      </c>
      <c r="G166">
        <v>12</v>
      </c>
      <c r="H166">
        <v>10</v>
      </c>
      <c r="I166">
        <v>0.83127782698004715</v>
      </c>
      <c r="J166">
        <v>327479605.54042232</v>
      </c>
      <c r="K166">
        <v>165455000</v>
      </c>
      <c r="L166">
        <v>79934431.008713886</v>
      </c>
      <c r="M166">
        <v>77359000</v>
      </c>
      <c r="N166">
        <v>15761740.560000001</v>
      </c>
      <c r="O166">
        <v>231.89038300000001</v>
      </c>
      <c r="P166">
        <v>2.6357149873602048</v>
      </c>
      <c r="Q166">
        <v>43.809440899999998</v>
      </c>
      <c r="R166">
        <v>800.198038</v>
      </c>
      <c r="S166">
        <v>5.7029455300000002E-8</v>
      </c>
      <c r="T166">
        <v>21.718768560590718</v>
      </c>
      <c r="U166">
        <v>100.934</v>
      </c>
      <c r="V166">
        <v>-600.81968641638696</v>
      </c>
      <c r="W166">
        <v>69.2195751</v>
      </c>
      <c r="X166">
        <v>94.845231400000003</v>
      </c>
      <c r="Y166">
        <v>170.55</v>
      </c>
      <c r="Z166">
        <v>260.15425800000003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2.6357149873602048</v>
      </c>
    </row>
    <row r="167" spans="1:40" x14ac:dyDescent="0.3">
      <c r="A167">
        <v>27</v>
      </c>
      <c r="B167">
        <v>19</v>
      </c>
      <c r="C167">
        <v>7.0307976425055232</v>
      </c>
      <c r="D167">
        <v>16</v>
      </c>
      <c r="E167">
        <v>5</v>
      </c>
      <c r="F167">
        <v>0.32439447245383241</v>
      </c>
      <c r="G167">
        <v>17</v>
      </c>
      <c r="H167">
        <v>11</v>
      </c>
      <c r="I167">
        <v>1.3832888326044295</v>
      </c>
      <c r="J167">
        <v>327938207.82766145</v>
      </c>
      <c r="K167">
        <v>165454000</v>
      </c>
      <c r="L167">
        <v>79924820.53962703</v>
      </c>
      <c r="M167">
        <v>77285500</v>
      </c>
      <c r="N167">
        <v>15759616.4</v>
      </c>
      <c r="O167">
        <v>231.664298</v>
      </c>
      <c r="P167">
        <v>2.6410125659670518</v>
      </c>
      <c r="Q167">
        <v>43.8221712</v>
      </c>
      <c r="R167">
        <v>800.38713500000006</v>
      </c>
      <c r="S167">
        <v>4.7694060400000003E-8</v>
      </c>
      <c r="T167">
        <v>21.72874928507575</v>
      </c>
      <c r="U167">
        <v>100.934</v>
      </c>
      <c r="V167">
        <v>-603.88142256533854</v>
      </c>
      <c r="W167">
        <v>69.224093600000003</v>
      </c>
      <c r="X167">
        <v>94.8709147</v>
      </c>
      <c r="Y167">
        <v>165.7</v>
      </c>
      <c r="Z167">
        <v>254.42957699999999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2.6410125659670518</v>
      </c>
    </row>
    <row r="168" spans="1:40" x14ac:dyDescent="0.3">
      <c r="A168">
        <v>27</v>
      </c>
      <c r="B168">
        <v>10</v>
      </c>
      <c r="C168">
        <v>5.59892790954604</v>
      </c>
      <c r="D168">
        <v>28</v>
      </c>
      <c r="E168">
        <v>14</v>
      </c>
      <c r="F168">
        <v>0.30857249364898159</v>
      </c>
      <c r="G168">
        <v>21</v>
      </c>
      <c r="H168">
        <v>7</v>
      </c>
      <c r="I168">
        <v>0.35977374487097957</v>
      </c>
      <c r="J168">
        <v>327796049.93475413</v>
      </c>
      <c r="K168">
        <v>165478000</v>
      </c>
      <c r="L168">
        <v>79937834.771578044</v>
      </c>
      <c r="M168">
        <v>77283000</v>
      </c>
      <c r="N168">
        <v>15762935.040000001</v>
      </c>
      <c r="O168">
        <v>231.70756399999999</v>
      </c>
      <c r="P168">
        <v>2.6406077857517296</v>
      </c>
      <c r="Q168">
        <v>43.827570399999999</v>
      </c>
      <c r="R168">
        <v>799.89878099999999</v>
      </c>
      <c r="S168">
        <v>2.9753971199999999E-15</v>
      </c>
      <c r="T168">
        <v>21.63720889795102</v>
      </c>
      <c r="U168">
        <v>100.934</v>
      </c>
      <c r="V168">
        <v>-598.81060524195993</v>
      </c>
      <c r="W168">
        <v>69.230189100000004</v>
      </c>
      <c r="X168">
        <v>94.894656299999994</v>
      </c>
      <c r="Y168">
        <v>170.55</v>
      </c>
      <c r="Z168">
        <v>253.40918400000001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2.6406077857517296</v>
      </c>
    </row>
    <row r="169" spans="1:40" x14ac:dyDescent="0.3">
      <c r="A169">
        <v>30</v>
      </c>
      <c r="B169">
        <v>11</v>
      </c>
      <c r="C169">
        <v>11.294741255196101</v>
      </c>
      <c r="D169">
        <v>10</v>
      </c>
      <c r="E169">
        <v>5</v>
      </c>
      <c r="F169">
        <v>0.366670302346078</v>
      </c>
      <c r="G169">
        <v>12</v>
      </c>
      <c r="H169">
        <v>8</v>
      </c>
      <c r="I169">
        <v>1.2002053178383998</v>
      </c>
      <c r="J169">
        <v>328560324.63870674</v>
      </c>
      <c r="K169">
        <v>165499000</v>
      </c>
      <c r="L169">
        <v>79927423.359926179</v>
      </c>
      <c r="M169">
        <v>77334900</v>
      </c>
      <c r="N169">
        <v>15760230.48</v>
      </c>
      <c r="O169">
        <v>231.30247800000001</v>
      </c>
      <c r="P169">
        <v>2.6468857207398195</v>
      </c>
      <c r="Q169">
        <v>43.828155299999999</v>
      </c>
      <c r="R169">
        <v>801.12983699999995</v>
      </c>
      <c r="S169">
        <v>3.5252303099999999E-8</v>
      </c>
      <c r="T169">
        <v>21.69286892832983</v>
      </c>
      <c r="U169">
        <v>100.934</v>
      </c>
      <c r="V169">
        <v>-616.41828821037655</v>
      </c>
      <c r="W169">
        <v>69.220979499999999</v>
      </c>
      <c r="X169">
        <v>94.855114299999997</v>
      </c>
      <c r="Y169">
        <v>144.29</v>
      </c>
      <c r="Z169">
        <v>254.784615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2.6468857207398195</v>
      </c>
    </row>
    <row r="170" spans="1:40" x14ac:dyDescent="0.3">
      <c r="A170">
        <v>39</v>
      </c>
      <c r="B170">
        <v>16</v>
      </c>
      <c r="C170">
        <v>7.0423083661828594</v>
      </c>
      <c r="D170">
        <v>21</v>
      </c>
      <c r="E170">
        <v>5</v>
      </c>
      <c r="F170">
        <v>0.31110831393541677</v>
      </c>
      <c r="G170">
        <v>17</v>
      </c>
      <c r="H170">
        <v>14</v>
      </c>
      <c r="I170">
        <v>0.5960373779571253</v>
      </c>
      <c r="J170">
        <v>328242626.11860055</v>
      </c>
      <c r="K170">
        <v>165472000</v>
      </c>
      <c r="L170">
        <v>79928124.163407385</v>
      </c>
      <c r="M170">
        <v>77239300</v>
      </c>
      <c r="N170">
        <v>15760458.959999999</v>
      </c>
      <c r="O170">
        <v>231.88041100000001</v>
      </c>
      <c r="P170">
        <v>2.6406645393051296</v>
      </c>
      <c r="Q170">
        <v>43.816135899999999</v>
      </c>
      <c r="R170">
        <v>800.13867900000002</v>
      </c>
      <c r="S170">
        <v>5.3945615299999997E-8</v>
      </c>
      <c r="T170">
        <v>21.733091846931984</v>
      </c>
      <c r="U170">
        <v>100.934</v>
      </c>
      <c r="V170">
        <v>-599.15152450353401</v>
      </c>
      <c r="W170">
        <v>69.219078999999994</v>
      </c>
      <c r="X170">
        <v>94.838749699999994</v>
      </c>
      <c r="Y170">
        <v>170.55</v>
      </c>
      <c r="Z170">
        <v>254.24902499999999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2.6406645393051296</v>
      </c>
    </row>
    <row r="171" spans="1:40" x14ac:dyDescent="0.3">
      <c r="A171">
        <v>32</v>
      </c>
      <c r="B171">
        <v>18</v>
      </c>
      <c r="C171">
        <v>13.310578763946388</v>
      </c>
      <c r="D171">
        <v>16</v>
      </c>
      <c r="E171">
        <v>14</v>
      </c>
      <c r="F171">
        <v>0.41836388550374876</v>
      </c>
      <c r="G171">
        <v>10</v>
      </c>
      <c r="H171">
        <v>7</v>
      </c>
      <c r="I171">
        <v>0.69809102925410027</v>
      </c>
      <c r="J171">
        <v>329110585.33696347</v>
      </c>
      <c r="K171">
        <v>165525000</v>
      </c>
      <c r="L171">
        <v>79935732.398935646</v>
      </c>
      <c r="M171">
        <v>77292500</v>
      </c>
      <c r="N171">
        <v>15762177.040000001</v>
      </c>
      <c r="O171">
        <v>231.31493</v>
      </c>
      <c r="P171">
        <v>2.6496634453363641</v>
      </c>
      <c r="Q171">
        <v>43.798180199999997</v>
      </c>
      <c r="R171">
        <v>802.26059299999997</v>
      </c>
      <c r="S171">
        <v>5.9397422399999998E-16</v>
      </c>
      <c r="T171">
        <v>21.418421728842759</v>
      </c>
      <c r="U171">
        <v>100.934</v>
      </c>
      <c r="V171">
        <v>-628.51303237611376</v>
      </c>
      <c r="W171">
        <v>69.219078999999994</v>
      </c>
      <c r="X171">
        <v>94.837670000000003</v>
      </c>
      <c r="Y171">
        <v>121.52199999999999</v>
      </c>
      <c r="Z171">
        <v>256.91456699999998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2.6496634453363641</v>
      </c>
    </row>
    <row r="172" spans="1:40" x14ac:dyDescent="0.3">
      <c r="A172">
        <v>38</v>
      </c>
      <c r="B172">
        <v>10</v>
      </c>
      <c r="C172">
        <v>5.659700583810416</v>
      </c>
      <c r="D172">
        <v>19</v>
      </c>
      <c r="E172">
        <v>5</v>
      </c>
      <c r="F172">
        <v>0.32639214178076675</v>
      </c>
      <c r="G172">
        <v>14</v>
      </c>
      <c r="H172">
        <v>12</v>
      </c>
      <c r="I172">
        <v>1.2251188101427668</v>
      </c>
      <c r="J172">
        <v>327852647.63206255</v>
      </c>
      <c r="K172">
        <v>165469000</v>
      </c>
      <c r="L172">
        <v>79926822.654029623</v>
      </c>
      <c r="M172">
        <v>77286500</v>
      </c>
      <c r="N172">
        <v>15760108.24</v>
      </c>
      <c r="O172">
        <v>231.67201399999999</v>
      </c>
      <c r="P172">
        <v>2.6409406528283803</v>
      </c>
      <c r="Q172">
        <v>43.826058600000003</v>
      </c>
      <c r="R172">
        <v>800.30412799999999</v>
      </c>
      <c r="S172">
        <v>4.6513844399999999E-8</v>
      </c>
      <c r="T172">
        <v>21.743800421182264</v>
      </c>
      <c r="U172">
        <v>100.934</v>
      </c>
      <c r="V172">
        <v>-599.7582234170153</v>
      </c>
      <c r="W172">
        <v>69.225604799999999</v>
      </c>
      <c r="X172">
        <v>94.872390300000006</v>
      </c>
      <c r="Y172">
        <v>170.55</v>
      </c>
      <c r="Z172">
        <v>254.29047399999999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2.6409406528283803</v>
      </c>
    </row>
    <row r="173" spans="1:40" x14ac:dyDescent="0.3">
      <c r="A173">
        <v>34</v>
      </c>
      <c r="B173">
        <v>10</v>
      </c>
      <c r="C173">
        <v>8.9839746677168524</v>
      </c>
      <c r="D173">
        <v>10</v>
      </c>
      <c r="E173">
        <v>5</v>
      </c>
      <c r="F173">
        <v>0.30580688258166788</v>
      </c>
      <c r="G173">
        <v>27</v>
      </c>
      <c r="H173">
        <v>14</v>
      </c>
      <c r="I173">
        <v>0.63787865968726498</v>
      </c>
      <c r="J173">
        <v>328402516.27451926</v>
      </c>
      <c r="K173">
        <v>165508000</v>
      </c>
      <c r="L173">
        <v>79924720.454163417</v>
      </c>
      <c r="M173">
        <v>77208700</v>
      </c>
      <c r="N173">
        <v>15759605.84</v>
      </c>
      <c r="O173">
        <v>231.81071399999999</v>
      </c>
      <c r="P173">
        <v>2.6431949820185974</v>
      </c>
      <c r="Q173">
        <v>43.782918500000001</v>
      </c>
      <c r="R173">
        <v>800.84619399999997</v>
      </c>
      <c r="S173">
        <v>6.0751882199999999E-8</v>
      </c>
      <c r="T173">
        <v>21.635776962571718</v>
      </c>
      <c r="U173">
        <v>100.934</v>
      </c>
      <c r="V173">
        <v>-610.09528072691887</v>
      </c>
      <c r="W173">
        <v>69.2221653</v>
      </c>
      <c r="X173">
        <v>94.859543900000006</v>
      </c>
      <c r="Y173">
        <v>144.29</v>
      </c>
      <c r="Z173">
        <v>254.33816100000001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2.6431949820185974</v>
      </c>
    </row>
    <row r="174" spans="1:40" x14ac:dyDescent="0.3">
      <c r="A174">
        <v>36</v>
      </c>
      <c r="B174">
        <v>19</v>
      </c>
      <c r="C174">
        <v>1.078826061890211</v>
      </c>
      <c r="D174">
        <v>16</v>
      </c>
      <c r="E174">
        <v>14</v>
      </c>
      <c r="F174">
        <v>0.33763774249905087</v>
      </c>
      <c r="G174">
        <v>26</v>
      </c>
      <c r="H174">
        <v>9</v>
      </c>
      <c r="I174">
        <v>1.0323224160448179</v>
      </c>
      <c r="J174">
        <v>327035868.90444088</v>
      </c>
      <c r="K174">
        <v>165443000</v>
      </c>
      <c r="L174">
        <v>79925321.04665634</v>
      </c>
      <c r="M174">
        <v>77881300</v>
      </c>
      <c r="N174">
        <v>15759741.040000001</v>
      </c>
      <c r="O174">
        <v>229.311216</v>
      </c>
      <c r="P174">
        <v>2.6537609168864447</v>
      </c>
      <c r="Q174">
        <v>43.764052100000001</v>
      </c>
      <c r="R174">
        <v>802.15601800000002</v>
      </c>
      <c r="S174">
        <v>3.7752820899999998E-8</v>
      </c>
      <c r="T174">
        <v>21.929284432321854</v>
      </c>
      <c r="U174">
        <v>91.850000000000009</v>
      </c>
      <c r="V174">
        <v>-496.87664048273098</v>
      </c>
      <c r="W174">
        <v>69.547483999999997</v>
      </c>
      <c r="X174">
        <v>96.471138800000006</v>
      </c>
      <c r="Y174">
        <v>165.7</v>
      </c>
      <c r="Z174">
        <v>254.21973800000001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2.6537609168864447</v>
      </c>
    </row>
    <row r="175" spans="1:40" x14ac:dyDescent="0.3">
      <c r="A175">
        <v>34</v>
      </c>
      <c r="B175">
        <v>15</v>
      </c>
      <c r="C175">
        <v>2.9347225478082253</v>
      </c>
      <c r="D175">
        <v>21</v>
      </c>
      <c r="E175">
        <v>11</v>
      </c>
      <c r="F175">
        <v>0.30532567540483374</v>
      </c>
      <c r="G175">
        <v>25</v>
      </c>
      <c r="H175">
        <v>7</v>
      </c>
      <c r="I175">
        <v>0.59844956630953139</v>
      </c>
      <c r="J175">
        <v>327343644.27309942</v>
      </c>
      <c r="K175">
        <v>165449000</v>
      </c>
      <c r="L175">
        <v>79929125.179314971</v>
      </c>
      <c r="M175">
        <v>77287400</v>
      </c>
      <c r="N175">
        <v>15760704</v>
      </c>
      <c r="O175">
        <v>231.70593700000001</v>
      </c>
      <c r="P175">
        <v>2.6386645441823604</v>
      </c>
      <c r="Q175">
        <v>43.819975399999997</v>
      </c>
      <c r="R175">
        <v>800.07371000000001</v>
      </c>
      <c r="S175">
        <v>8.6711391400000002E-13</v>
      </c>
      <c r="T175">
        <v>21.622661703959213</v>
      </c>
      <c r="U175">
        <v>100.934</v>
      </c>
      <c r="V175">
        <v>-603.52291646882293</v>
      </c>
      <c r="W175">
        <v>69.226429800000005</v>
      </c>
      <c r="X175">
        <v>94.881297000000004</v>
      </c>
      <c r="Y175">
        <v>165.7</v>
      </c>
      <c r="Z175">
        <v>253.91928999999999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2.6386645441823604</v>
      </c>
    </row>
    <row r="176" spans="1:40" x14ac:dyDescent="0.3">
      <c r="A176">
        <v>28</v>
      </c>
      <c r="B176">
        <v>14</v>
      </c>
      <c r="C176">
        <v>5.0341632257770526</v>
      </c>
      <c r="D176">
        <v>21</v>
      </c>
      <c r="E176">
        <v>10</v>
      </c>
      <c r="F176">
        <v>0.32061884535444352</v>
      </c>
      <c r="G176">
        <v>19</v>
      </c>
      <c r="H176">
        <v>7</v>
      </c>
      <c r="I176">
        <v>0.69791561567498128</v>
      </c>
      <c r="J176">
        <v>327395876.94829315</v>
      </c>
      <c r="K176">
        <v>165452000</v>
      </c>
      <c r="L176">
        <v>79928124.123757198</v>
      </c>
      <c r="M176">
        <v>77323900</v>
      </c>
      <c r="N176">
        <v>15760456.399999999</v>
      </c>
      <c r="O176">
        <v>231.542472</v>
      </c>
      <c r="P176">
        <v>2.6400418608617535</v>
      </c>
      <c r="Q176">
        <v>43.8374977</v>
      </c>
      <c r="R176">
        <v>800.18465000000003</v>
      </c>
      <c r="S176">
        <v>3.74440624E-12</v>
      </c>
      <c r="T176">
        <v>21.65804825720318</v>
      </c>
      <c r="U176">
        <v>100.934</v>
      </c>
      <c r="V176">
        <v>-605.24305944655964</v>
      </c>
      <c r="W176">
        <v>69.224542700000001</v>
      </c>
      <c r="X176">
        <v>94.873856500000002</v>
      </c>
      <c r="Y176">
        <v>165.7</v>
      </c>
      <c r="Z176">
        <v>253.95148499999999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2.6400418608617535</v>
      </c>
    </row>
    <row r="177" spans="1:40" x14ac:dyDescent="0.3">
      <c r="A177">
        <v>30</v>
      </c>
      <c r="B177">
        <v>15</v>
      </c>
      <c r="C177">
        <v>10.179116313300602</v>
      </c>
      <c r="D177">
        <v>20</v>
      </c>
      <c r="E177">
        <v>5</v>
      </c>
      <c r="F177">
        <v>0.324844319351137</v>
      </c>
      <c r="G177">
        <v>24</v>
      </c>
      <c r="H177">
        <v>7</v>
      </c>
      <c r="I177">
        <v>1.311461690405048</v>
      </c>
      <c r="J177">
        <v>328716382.61486602</v>
      </c>
      <c r="K177">
        <v>165512000</v>
      </c>
      <c r="L177">
        <v>79926021.833085909</v>
      </c>
      <c r="M177">
        <v>77270200</v>
      </c>
      <c r="N177">
        <v>15759923.039999999</v>
      </c>
      <c r="O177">
        <v>231.740669</v>
      </c>
      <c r="P177">
        <v>2.6438180396014959</v>
      </c>
      <c r="Q177">
        <v>43.8266949</v>
      </c>
      <c r="R177">
        <v>800.23810399999991</v>
      </c>
      <c r="S177">
        <v>4.7232197099999997E-8</v>
      </c>
      <c r="T177">
        <v>21.742567906468729</v>
      </c>
      <c r="U177">
        <v>100.934</v>
      </c>
      <c r="V177">
        <v>-600.90554209371521</v>
      </c>
      <c r="W177">
        <v>69.219834199999994</v>
      </c>
      <c r="X177">
        <v>94.847814600000007</v>
      </c>
      <c r="Y177">
        <v>170.55</v>
      </c>
      <c r="Z177">
        <v>254.25116700000001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2.6438180396014959</v>
      </c>
    </row>
    <row r="178" spans="1:40" x14ac:dyDescent="0.3">
      <c r="A178">
        <v>27</v>
      </c>
      <c r="B178">
        <v>19</v>
      </c>
      <c r="C178">
        <v>2.181016517270455</v>
      </c>
      <c r="D178">
        <v>29</v>
      </c>
      <c r="E178">
        <v>12</v>
      </c>
      <c r="F178">
        <v>0.36453634023116205</v>
      </c>
      <c r="G178">
        <v>28</v>
      </c>
      <c r="H178">
        <v>14</v>
      </c>
      <c r="I178">
        <v>0.53990454316663405</v>
      </c>
      <c r="J178">
        <v>327224909.53529269</v>
      </c>
      <c r="K178">
        <v>165445000</v>
      </c>
      <c r="L178">
        <v>79925321.001870126</v>
      </c>
      <c r="M178">
        <v>77593100</v>
      </c>
      <c r="N178">
        <v>15759735.199999999</v>
      </c>
      <c r="O178">
        <v>230.51600400000001</v>
      </c>
      <c r="P178">
        <v>2.6460050715977679</v>
      </c>
      <c r="Q178">
        <v>43.869580300000003</v>
      </c>
      <c r="R178">
        <v>800.66838699999994</v>
      </c>
      <c r="S178">
        <v>1.04174451E-10</v>
      </c>
      <c r="T178">
        <v>21.81003318133439</v>
      </c>
      <c r="U178">
        <v>80.72</v>
      </c>
      <c r="V178">
        <v>-578.52580382829967</v>
      </c>
      <c r="W178">
        <v>69.316761499999998</v>
      </c>
      <c r="X178">
        <v>95.203925499999997</v>
      </c>
      <c r="Y178">
        <v>177.97</v>
      </c>
      <c r="Z178">
        <v>253.99714800000001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2.6460050715977679</v>
      </c>
    </row>
    <row r="179" spans="1:40" x14ac:dyDescent="0.3">
      <c r="A179">
        <v>31</v>
      </c>
      <c r="B179">
        <v>17</v>
      </c>
      <c r="C179">
        <v>6.8642973097052149</v>
      </c>
      <c r="D179">
        <v>23</v>
      </c>
      <c r="E179">
        <v>14</v>
      </c>
      <c r="F179">
        <v>0.3159663570287593</v>
      </c>
      <c r="G179">
        <v>10</v>
      </c>
      <c r="H179">
        <v>7</v>
      </c>
      <c r="I179">
        <v>1.0143889539232591</v>
      </c>
      <c r="J179">
        <v>327918760.78440714</v>
      </c>
      <c r="K179">
        <v>165478000</v>
      </c>
      <c r="L179">
        <v>79931928.229297563</v>
      </c>
      <c r="M179">
        <v>77354800</v>
      </c>
      <c r="N179">
        <v>15761275.76</v>
      </c>
      <c r="O179">
        <v>231.62300999999999</v>
      </c>
      <c r="P179">
        <v>2.6405630025689031</v>
      </c>
      <c r="Q179">
        <v>43.831266399999997</v>
      </c>
      <c r="R179">
        <v>800.11173300000007</v>
      </c>
      <c r="S179">
        <v>2.4531528699999999E-15</v>
      </c>
      <c r="T179">
        <v>21.619367194106832</v>
      </c>
      <c r="U179">
        <v>100.934</v>
      </c>
      <c r="V179">
        <v>-608.40978912787875</v>
      </c>
      <c r="W179">
        <v>69.219953799999999</v>
      </c>
      <c r="X179">
        <v>94.848987500000007</v>
      </c>
      <c r="Y179">
        <v>144.29</v>
      </c>
      <c r="Z179">
        <v>255.983497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2.6405630025689031</v>
      </c>
    </row>
    <row r="180" spans="1:40" x14ac:dyDescent="0.3">
      <c r="A180">
        <v>36</v>
      </c>
      <c r="B180">
        <v>19</v>
      </c>
      <c r="C180">
        <v>4.0715043626199749</v>
      </c>
      <c r="D180">
        <v>16</v>
      </c>
      <c r="E180">
        <v>14</v>
      </c>
      <c r="F180">
        <v>0.40882287837744685</v>
      </c>
      <c r="G180">
        <v>17</v>
      </c>
      <c r="H180">
        <v>13</v>
      </c>
      <c r="I180">
        <v>1.0878333107882852</v>
      </c>
      <c r="J180">
        <v>327502648.13287741</v>
      </c>
      <c r="K180">
        <v>165449000</v>
      </c>
      <c r="L180">
        <v>79926422.296150759</v>
      </c>
      <c r="M180">
        <v>77209100</v>
      </c>
      <c r="N180">
        <v>15760030.479999999</v>
      </c>
      <c r="O180">
        <v>231.40946</v>
      </c>
      <c r="P180">
        <v>2.6440052368325171</v>
      </c>
      <c r="Q180">
        <v>43.790372499999997</v>
      </c>
      <c r="R180">
        <v>802.18053099999997</v>
      </c>
      <c r="S180">
        <v>7.2495406900000001E-16</v>
      </c>
      <c r="T180">
        <v>21.39782753604101</v>
      </c>
      <c r="U180">
        <v>100.934</v>
      </c>
      <c r="V180">
        <v>-627.32987791959079</v>
      </c>
      <c r="W180">
        <v>69.219738500000005</v>
      </c>
      <c r="X180">
        <v>94.847387999999995</v>
      </c>
      <c r="Y180">
        <v>121.52199999999999</v>
      </c>
      <c r="Z180">
        <v>254.078609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2.6440052368325171</v>
      </c>
    </row>
    <row r="181" spans="1:40" x14ac:dyDescent="0.3">
      <c r="A181">
        <v>37</v>
      </c>
      <c r="B181">
        <v>12</v>
      </c>
      <c r="C181">
        <v>14.807569479322533</v>
      </c>
      <c r="D181">
        <v>16</v>
      </c>
      <c r="E181">
        <v>14</v>
      </c>
      <c r="F181">
        <v>0.35463516110951343</v>
      </c>
      <c r="G181">
        <v>28</v>
      </c>
      <c r="H181">
        <v>13</v>
      </c>
      <c r="I181">
        <v>1.3943998763349803</v>
      </c>
      <c r="J181">
        <v>330016241.6823079</v>
      </c>
      <c r="K181">
        <v>165572000</v>
      </c>
      <c r="L181">
        <v>79924420.073686004</v>
      </c>
      <c r="M181">
        <v>77098500</v>
      </c>
      <c r="N181">
        <v>15759514.719999999</v>
      </c>
      <c r="O181">
        <v>231.94830400000001</v>
      </c>
      <c r="P181">
        <v>2.6496653319665189</v>
      </c>
      <c r="Q181">
        <v>43.7472973</v>
      </c>
      <c r="R181">
        <v>801.81831999999997</v>
      </c>
      <c r="S181">
        <v>2.6648304199999999E-15</v>
      </c>
      <c r="T181">
        <v>21.295797991710717</v>
      </c>
      <c r="U181">
        <v>100.934</v>
      </c>
      <c r="V181">
        <v>-621.92870787096365</v>
      </c>
      <c r="W181">
        <v>69.2192936</v>
      </c>
      <c r="X181">
        <v>94.840978199999995</v>
      </c>
      <c r="Y181">
        <v>121.52199999999999</v>
      </c>
      <c r="Z181">
        <v>254.33638999999999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2.6496653319665189</v>
      </c>
    </row>
    <row r="182" spans="1:40" x14ac:dyDescent="0.3">
      <c r="A182">
        <v>39</v>
      </c>
      <c r="B182">
        <v>12</v>
      </c>
      <c r="C182">
        <v>8.1960192722332188</v>
      </c>
      <c r="D182">
        <v>29</v>
      </c>
      <c r="E182">
        <v>5</v>
      </c>
      <c r="F182">
        <v>0.31824515336227976</v>
      </c>
      <c r="G182">
        <v>17</v>
      </c>
      <c r="H182">
        <v>14</v>
      </c>
      <c r="I182">
        <v>0.31126528231517714</v>
      </c>
      <c r="J182">
        <v>328654514.0832997</v>
      </c>
      <c r="K182">
        <v>165543000</v>
      </c>
      <c r="L182">
        <v>79960759.66799064</v>
      </c>
      <c r="M182">
        <v>77380900</v>
      </c>
      <c r="N182">
        <v>15768228.08</v>
      </c>
      <c r="O182">
        <v>231.867458</v>
      </c>
      <c r="P182">
        <v>2.6406738736738995</v>
      </c>
      <c r="Q182">
        <v>43.825146699999998</v>
      </c>
      <c r="R182">
        <v>800.04198500000007</v>
      </c>
      <c r="S182">
        <v>4.9946202500000003E-8</v>
      </c>
      <c r="T182">
        <v>21.760305853939752</v>
      </c>
      <c r="U182">
        <v>100.934</v>
      </c>
      <c r="V182">
        <v>-595.44759940781012</v>
      </c>
      <c r="W182">
        <v>69.220269900000005</v>
      </c>
      <c r="X182">
        <v>94.848707000000005</v>
      </c>
      <c r="Y182">
        <v>177.97</v>
      </c>
      <c r="Z182">
        <v>261.473007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2.6406738736738995</v>
      </c>
    </row>
    <row r="183" spans="1:40" x14ac:dyDescent="0.3">
      <c r="A183">
        <v>39</v>
      </c>
      <c r="B183">
        <v>18</v>
      </c>
      <c r="C183">
        <v>4.5235262315406448</v>
      </c>
      <c r="D183">
        <v>19</v>
      </c>
      <c r="E183">
        <v>7</v>
      </c>
      <c r="F183">
        <v>0.30794945093059117</v>
      </c>
      <c r="G183">
        <v>10</v>
      </c>
      <c r="H183">
        <v>7</v>
      </c>
      <c r="I183">
        <v>0.34886003577240715</v>
      </c>
      <c r="J183">
        <v>327485038.59752834</v>
      </c>
      <c r="K183">
        <v>165478000</v>
      </c>
      <c r="L183">
        <v>79957255.811650649</v>
      </c>
      <c r="M183">
        <v>77389300</v>
      </c>
      <c r="N183">
        <v>15767378.16</v>
      </c>
      <c r="O183">
        <v>231.75762399999999</v>
      </c>
      <c r="P183">
        <v>2.6371016880551301</v>
      </c>
      <c r="Q183">
        <v>43.822581499999998</v>
      </c>
      <c r="R183">
        <v>800.13896299999999</v>
      </c>
      <c r="S183">
        <v>1.32545715E-9</v>
      </c>
      <c r="T183">
        <v>21.669855049488493</v>
      </c>
      <c r="U183">
        <v>100.934</v>
      </c>
      <c r="V183">
        <v>-603.77208306284774</v>
      </c>
      <c r="W183">
        <v>69.219358499999998</v>
      </c>
      <c r="X183">
        <v>94.842869899999997</v>
      </c>
      <c r="Y183">
        <v>170.55</v>
      </c>
      <c r="Z183">
        <v>260.63836600000002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2.6371016880551301</v>
      </c>
    </row>
    <row r="184" spans="1:40" x14ac:dyDescent="0.3">
      <c r="A184">
        <v>28</v>
      </c>
      <c r="B184">
        <v>19</v>
      </c>
      <c r="C184">
        <v>3.2345200922914281</v>
      </c>
      <c r="D184">
        <v>22</v>
      </c>
      <c r="E184">
        <v>5</v>
      </c>
      <c r="F184">
        <v>0.3599387071993716</v>
      </c>
      <c r="G184">
        <v>26</v>
      </c>
      <c r="H184">
        <v>14</v>
      </c>
      <c r="I184">
        <v>0.48905222646801455</v>
      </c>
      <c r="J184">
        <v>327370335.27057868</v>
      </c>
      <c r="K184">
        <v>165453000</v>
      </c>
      <c r="L184">
        <v>79931427.678303808</v>
      </c>
      <c r="M184">
        <v>77354700</v>
      </c>
      <c r="N184">
        <v>15761286.640000001</v>
      </c>
      <c r="O184">
        <v>231.34518399999999</v>
      </c>
      <c r="P184">
        <v>2.6416496839573096</v>
      </c>
      <c r="Q184">
        <v>43.851531199999997</v>
      </c>
      <c r="R184">
        <v>800.42104599999993</v>
      </c>
      <c r="S184">
        <v>3.42557791E-8</v>
      </c>
      <c r="T184">
        <v>21.791747486947155</v>
      </c>
      <c r="U184">
        <v>91.850000000000009</v>
      </c>
      <c r="V184">
        <v>-596.98386413634614</v>
      </c>
      <c r="W184">
        <v>69.238980999999995</v>
      </c>
      <c r="X184">
        <v>94.931494900000004</v>
      </c>
      <c r="Y184">
        <v>177.97</v>
      </c>
      <c r="Z184">
        <v>253.82069200000001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2.6416496839573096</v>
      </c>
    </row>
    <row r="185" spans="1:40" x14ac:dyDescent="0.3">
      <c r="A185">
        <v>29</v>
      </c>
      <c r="B185">
        <v>15</v>
      </c>
      <c r="C185">
        <v>8.974751752570997</v>
      </c>
      <c r="D185">
        <v>15</v>
      </c>
      <c r="E185">
        <v>13</v>
      </c>
      <c r="F185">
        <v>0.30712194002024551</v>
      </c>
      <c r="G185">
        <v>12</v>
      </c>
      <c r="H185">
        <v>8</v>
      </c>
      <c r="I185">
        <v>0.59520654328706168</v>
      </c>
      <c r="J185">
        <v>328078219.04986459</v>
      </c>
      <c r="K185">
        <v>165479000</v>
      </c>
      <c r="L185">
        <v>79931728.015433103</v>
      </c>
      <c r="M185">
        <v>77031000</v>
      </c>
      <c r="N185">
        <v>15761234.959999999</v>
      </c>
      <c r="O185">
        <v>232.36806300000001</v>
      </c>
      <c r="P185">
        <v>2.6387325767661807</v>
      </c>
      <c r="Q185">
        <v>43.708077099999997</v>
      </c>
      <c r="R185">
        <v>801.72770500000001</v>
      </c>
      <c r="S185">
        <v>6.2796208299999999E-14</v>
      </c>
      <c r="T185">
        <v>21.233708315136635</v>
      </c>
      <c r="U185">
        <v>100.934</v>
      </c>
      <c r="V185">
        <v>-617.14626109922551</v>
      </c>
      <c r="W185">
        <v>69.220450999999997</v>
      </c>
      <c r="X185">
        <v>94.852814100000003</v>
      </c>
      <c r="Y185">
        <v>121.52199999999999</v>
      </c>
      <c r="Z185">
        <v>255.94695100000001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2.6387325767661807</v>
      </c>
    </row>
    <row r="186" spans="1:40" x14ac:dyDescent="0.3">
      <c r="A186">
        <v>39</v>
      </c>
      <c r="B186">
        <v>10</v>
      </c>
      <c r="C186">
        <v>1.671449414902576</v>
      </c>
      <c r="D186">
        <v>29</v>
      </c>
      <c r="E186">
        <v>7</v>
      </c>
      <c r="F186">
        <v>0.31571816707332484</v>
      </c>
      <c r="G186">
        <v>28</v>
      </c>
      <c r="H186">
        <v>8</v>
      </c>
      <c r="I186">
        <v>0.79669164505105794</v>
      </c>
      <c r="J186">
        <v>327608675.32936263</v>
      </c>
      <c r="K186">
        <v>165482000</v>
      </c>
      <c r="L186">
        <v>79926422.250542775</v>
      </c>
      <c r="M186">
        <v>77512300</v>
      </c>
      <c r="N186">
        <v>15760021.6</v>
      </c>
      <c r="O186">
        <v>230.89766900000001</v>
      </c>
      <c r="P186">
        <v>2.645011744865668</v>
      </c>
      <c r="Q186">
        <v>43.810087299999999</v>
      </c>
      <c r="R186">
        <v>800.55645600000003</v>
      </c>
      <c r="S186">
        <v>1.0735284600000001E-9</v>
      </c>
      <c r="T186">
        <v>21.759841769905748</v>
      </c>
      <c r="U186">
        <v>100.934</v>
      </c>
      <c r="V186">
        <v>-554.46698276995403</v>
      </c>
      <c r="W186">
        <v>69.344070299999998</v>
      </c>
      <c r="X186">
        <v>95.315538900000007</v>
      </c>
      <c r="Y186">
        <v>177.97</v>
      </c>
      <c r="Z186">
        <v>254.24126000000001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2.645011744865668</v>
      </c>
    </row>
    <row r="187" spans="1:40" x14ac:dyDescent="0.3">
      <c r="A187">
        <v>39</v>
      </c>
      <c r="B187">
        <v>14</v>
      </c>
      <c r="C187">
        <v>7.9386344499723833</v>
      </c>
      <c r="D187">
        <v>10</v>
      </c>
      <c r="E187">
        <v>5</v>
      </c>
      <c r="F187">
        <v>0.30292812649478634</v>
      </c>
      <c r="G187">
        <v>12</v>
      </c>
      <c r="H187">
        <v>10</v>
      </c>
      <c r="I187">
        <v>1.2074235274255507</v>
      </c>
      <c r="J187">
        <v>328256732.14381254</v>
      </c>
      <c r="K187">
        <v>165474000</v>
      </c>
      <c r="L187">
        <v>79928724.75959824</v>
      </c>
      <c r="M187">
        <v>77282300</v>
      </c>
      <c r="N187">
        <v>15760399.439999999</v>
      </c>
      <c r="O187">
        <v>231.85442800000001</v>
      </c>
      <c r="P187">
        <v>2.6402211592437053</v>
      </c>
      <c r="Q187">
        <v>43.781353199999998</v>
      </c>
      <c r="R187">
        <v>800.82220800000005</v>
      </c>
      <c r="S187">
        <v>6.2599653899999999E-8</v>
      </c>
      <c r="T187">
        <v>21.632181038623255</v>
      </c>
      <c r="U187">
        <v>100.934</v>
      </c>
      <c r="V187">
        <v>-610.76945719139133</v>
      </c>
      <c r="W187">
        <v>69.219389500000005</v>
      </c>
      <c r="X187">
        <v>94.842216300000004</v>
      </c>
      <c r="Y187">
        <v>144.29</v>
      </c>
      <c r="Z187">
        <v>258.071504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2.6402211592437053</v>
      </c>
    </row>
    <row r="188" spans="1:40" x14ac:dyDescent="0.3">
      <c r="A188">
        <v>38</v>
      </c>
      <c r="B188">
        <v>14</v>
      </c>
      <c r="C188">
        <v>6.9089285352822962</v>
      </c>
      <c r="D188">
        <v>18</v>
      </c>
      <c r="E188">
        <v>14</v>
      </c>
      <c r="F188">
        <v>0.30314554675256372</v>
      </c>
      <c r="G188">
        <v>20</v>
      </c>
      <c r="H188">
        <v>14</v>
      </c>
      <c r="I188">
        <v>0.30996128740236401</v>
      </c>
      <c r="J188">
        <v>328217555.3756271</v>
      </c>
      <c r="K188">
        <v>165486000</v>
      </c>
      <c r="L188">
        <v>79941238.384059116</v>
      </c>
      <c r="M188">
        <v>77204700</v>
      </c>
      <c r="N188">
        <v>15763750.959999999</v>
      </c>
      <c r="O188">
        <v>231.91493299999999</v>
      </c>
      <c r="P188">
        <v>2.6411231407776889</v>
      </c>
      <c r="Q188">
        <v>43.8071074</v>
      </c>
      <c r="R188">
        <v>800.18436499999996</v>
      </c>
      <c r="S188">
        <v>5.8681447400000002E-8</v>
      </c>
      <c r="T188">
        <v>21.716552451915252</v>
      </c>
      <c r="U188">
        <v>100.934</v>
      </c>
      <c r="V188">
        <v>-600.48090869153941</v>
      </c>
      <c r="W188">
        <v>69.219666900000007</v>
      </c>
      <c r="X188">
        <v>94.845104399999997</v>
      </c>
      <c r="Y188">
        <v>170.55</v>
      </c>
      <c r="Z188">
        <v>253.57550800000001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2.6411231407776889</v>
      </c>
    </row>
    <row r="189" spans="1:40" x14ac:dyDescent="0.3">
      <c r="A189">
        <v>31</v>
      </c>
      <c r="B189">
        <v>16</v>
      </c>
      <c r="C189">
        <v>4.9389808709852741</v>
      </c>
      <c r="D189">
        <v>15</v>
      </c>
      <c r="E189">
        <v>5</v>
      </c>
      <c r="F189">
        <v>0.31823619905601414</v>
      </c>
      <c r="G189">
        <v>27</v>
      </c>
      <c r="H189">
        <v>14</v>
      </c>
      <c r="I189">
        <v>1.3882943924951165</v>
      </c>
      <c r="J189">
        <v>327715226.57462001</v>
      </c>
      <c r="K189">
        <v>165449000</v>
      </c>
      <c r="L189">
        <v>79924420.034035817</v>
      </c>
      <c r="M189">
        <v>77267600</v>
      </c>
      <c r="N189">
        <v>15759506.16</v>
      </c>
      <c r="O189">
        <v>231.718129</v>
      </c>
      <c r="P189">
        <v>2.6399915180207003</v>
      </c>
      <c r="Q189">
        <v>43.816006100000003</v>
      </c>
      <c r="R189">
        <v>800.396477</v>
      </c>
      <c r="S189">
        <v>5.0787136299999999E-8</v>
      </c>
      <c r="T189">
        <v>21.71725213576201</v>
      </c>
      <c r="U189">
        <v>100.934</v>
      </c>
      <c r="V189">
        <v>-604.63415247603211</v>
      </c>
      <c r="W189">
        <v>69.221237099999996</v>
      </c>
      <c r="X189">
        <v>94.858188100000007</v>
      </c>
      <c r="Y189">
        <v>165.7</v>
      </c>
      <c r="Z189">
        <v>254.343479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2.6399915180207003</v>
      </c>
    </row>
    <row r="190" spans="1:40" x14ac:dyDescent="0.3">
      <c r="A190">
        <v>27</v>
      </c>
      <c r="B190">
        <v>19</v>
      </c>
      <c r="C190">
        <v>4.4527965246196715</v>
      </c>
      <c r="D190">
        <v>28</v>
      </c>
      <c r="E190">
        <v>11</v>
      </c>
      <c r="F190">
        <v>0.31235246391188209</v>
      </c>
      <c r="G190">
        <v>10</v>
      </c>
      <c r="H190">
        <v>7</v>
      </c>
      <c r="I190">
        <v>1.0521062759683497</v>
      </c>
      <c r="J190">
        <v>327409819.84626883</v>
      </c>
      <c r="K190">
        <v>165453000</v>
      </c>
      <c r="L190">
        <v>79931627.934078321</v>
      </c>
      <c r="M190">
        <v>77354100</v>
      </c>
      <c r="N190">
        <v>15761213.040000001</v>
      </c>
      <c r="O190">
        <v>231.69448</v>
      </c>
      <c r="P190">
        <v>2.6377943277264015</v>
      </c>
      <c r="Q190">
        <v>43.8327612</v>
      </c>
      <c r="R190">
        <v>799.89609600000006</v>
      </c>
      <c r="S190">
        <v>1.7432793999999999E-11</v>
      </c>
      <c r="T190">
        <v>21.664121929525553</v>
      </c>
      <c r="U190">
        <v>91.850000000000009</v>
      </c>
      <c r="V190">
        <v>-597.93918456457516</v>
      </c>
      <c r="W190">
        <v>69.231636600000002</v>
      </c>
      <c r="X190">
        <v>94.900339500000001</v>
      </c>
      <c r="Y190">
        <v>177.97</v>
      </c>
      <c r="Z190">
        <v>255.92613299999999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2.6377943277264015</v>
      </c>
    </row>
    <row r="191" spans="1:40" x14ac:dyDescent="0.3">
      <c r="A191">
        <v>28</v>
      </c>
      <c r="B191">
        <v>11</v>
      </c>
      <c r="C191">
        <v>4.9013922842516777</v>
      </c>
      <c r="D191">
        <v>16</v>
      </c>
      <c r="E191">
        <v>11</v>
      </c>
      <c r="F191">
        <v>0.30698825443235339</v>
      </c>
      <c r="G191">
        <v>24</v>
      </c>
      <c r="H191">
        <v>7</v>
      </c>
      <c r="I191">
        <v>0.33112267774022741</v>
      </c>
      <c r="J191">
        <v>327519566.70341444</v>
      </c>
      <c r="K191">
        <v>165462000</v>
      </c>
      <c r="L191">
        <v>79939736.850850165</v>
      </c>
      <c r="M191">
        <v>77234900</v>
      </c>
      <c r="N191">
        <v>15763421.76</v>
      </c>
      <c r="O191">
        <v>231.670794</v>
      </c>
      <c r="P191">
        <v>2.6408283721389312</v>
      </c>
      <c r="Q191">
        <v>43.7977177</v>
      </c>
      <c r="R191">
        <v>800.58227299999999</v>
      </c>
      <c r="S191">
        <v>9.6305316999999999E-13</v>
      </c>
      <c r="T191">
        <v>21.551090368641393</v>
      </c>
      <c r="U191">
        <v>100.934</v>
      </c>
      <c r="V191">
        <v>-609.87562915354283</v>
      </c>
      <c r="W191">
        <v>69.228752999999998</v>
      </c>
      <c r="X191">
        <v>94.889241600000005</v>
      </c>
      <c r="Y191">
        <v>144.29</v>
      </c>
      <c r="Z191">
        <v>253.38656499999999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2.6408283721389312</v>
      </c>
    </row>
    <row r="192" spans="1:40" x14ac:dyDescent="0.3">
      <c r="A192">
        <v>27</v>
      </c>
      <c r="B192">
        <v>13</v>
      </c>
      <c r="C192">
        <v>2.349382102632454</v>
      </c>
      <c r="D192">
        <v>17</v>
      </c>
      <c r="E192">
        <v>5</v>
      </c>
      <c r="F192">
        <v>0.32101767660450009</v>
      </c>
      <c r="G192">
        <v>11</v>
      </c>
      <c r="H192">
        <v>7</v>
      </c>
      <c r="I192">
        <v>0.75829635659232664</v>
      </c>
      <c r="J192">
        <v>326612179.32624841</v>
      </c>
      <c r="K192">
        <v>165416000</v>
      </c>
      <c r="L192">
        <v>79931527.822523654</v>
      </c>
      <c r="M192">
        <v>77375900</v>
      </c>
      <c r="N192">
        <v>15761215.68</v>
      </c>
      <c r="O192">
        <v>231.429598</v>
      </c>
      <c r="P192">
        <v>2.6373521140032747</v>
      </c>
      <c r="Q192">
        <v>43.8112669</v>
      </c>
      <c r="R192">
        <v>800.51091799999995</v>
      </c>
      <c r="S192">
        <v>4.8445737800000002E-8</v>
      </c>
      <c r="T192">
        <v>21.755304394853809</v>
      </c>
      <c r="U192">
        <v>100.934</v>
      </c>
      <c r="V192">
        <v>-588.11462700371123</v>
      </c>
      <c r="W192">
        <v>69.263681399999996</v>
      </c>
      <c r="X192">
        <v>95.013845900000007</v>
      </c>
      <c r="Y192">
        <v>170.55</v>
      </c>
      <c r="Z192">
        <v>255.436961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2.6373521140032747</v>
      </c>
    </row>
    <row r="193" spans="1:40" x14ac:dyDescent="0.3">
      <c r="A193">
        <v>39</v>
      </c>
      <c r="B193">
        <v>16</v>
      </c>
      <c r="C193">
        <v>1.7034156407593199</v>
      </c>
      <c r="D193">
        <v>10</v>
      </c>
      <c r="E193">
        <v>8</v>
      </c>
      <c r="F193">
        <v>0.37501905632704069</v>
      </c>
      <c r="G193">
        <v>12</v>
      </c>
      <c r="H193">
        <v>7</v>
      </c>
      <c r="I193">
        <v>0.32709718120473202</v>
      </c>
      <c r="J193">
        <v>326886261.50563133</v>
      </c>
      <c r="K193">
        <v>165447000</v>
      </c>
      <c r="L193">
        <v>79944842.291348562</v>
      </c>
      <c r="M193">
        <v>77259600</v>
      </c>
      <c r="N193">
        <v>15764506.799999999</v>
      </c>
      <c r="O193">
        <v>231.33841899999999</v>
      </c>
      <c r="P193">
        <v>2.6420066179793467</v>
      </c>
      <c r="Q193">
        <v>43.744245599999999</v>
      </c>
      <c r="R193">
        <v>802.391389</v>
      </c>
      <c r="S193">
        <v>1.35786487E-10</v>
      </c>
      <c r="T193">
        <v>21.405490226124755</v>
      </c>
      <c r="U193">
        <v>100.934</v>
      </c>
      <c r="V193">
        <v>-602.63659663702754</v>
      </c>
      <c r="W193">
        <v>69.278186399999996</v>
      </c>
      <c r="X193">
        <v>95.065285200000005</v>
      </c>
      <c r="Y193">
        <v>121.52199999999999</v>
      </c>
      <c r="Z193">
        <v>255.41330099999999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2.6420066179793467</v>
      </c>
    </row>
    <row r="194" spans="1:40" x14ac:dyDescent="0.3">
      <c r="A194">
        <v>36</v>
      </c>
      <c r="B194">
        <v>19</v>
      </c>
      <c r="C194">
        <v>6.2258270278119712</v>
      </c>
      <c r="D194">
        <v>22</v>
      </c>
      <c r="E194">
        <v>5</v>
      </c>
      <c r="F194">
        <v>0.30698168499572842</v>
      </c>
      <c r="G194">
        <v>16</v>
      </c>
      <c r="H194">
        <v>8</v>
      </c>
      <c r="I194">
        <v>0.33126128748791395</v>
      </c>
      <c r="J194">
        <v>326886261.50563133</v>
      </c>
      <c r="K194">
        <v>165447000</v>
      </c>
      <c r="L194">
        <v>79944842.291348562</v>
      </c>
      <c r="M194">
        <v>77259600</v>
      </c>
      <c r="N194">
        <v>15764506.799999999</v>
      </c>
      <c r="O194">
        <v>231.33841899999999</v>
      </c>
      <c r="P194">
        <v>2.6420066179793467</v>
      </c>
      <c r="Q194">
        <v>43.744245599999999</v>
      </c>
      <c r="R194">
        <v>802.391389</v>
      </c>
      <c r="S194">
        <v>1.35786487E-10</v>
      </c>
      <c r="T194">
        <v>21.405490226124755</v>
      </c>
      <c r="U194">
        <v>100.934</v>
      </c>
      <c r="V194">
        <v>-602.63659663702754</v>
      </c>
      <c r="W194">
        <v>69.278186399999996</v>
      </c>
      <c r="X194">
        <v>95.065285200000005</v>
      </c>
      <c r="Y194">
        <v>121.52199999999999</v>
      </c>
      <c r="Z194">
        <v>255.41330099999999</v>
      </c>
      <c r="AA194">
        <v>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101.64200661797935</v>
      </c>
    </row>
    <row r="195" spans="1:40" x14ac:dyDescent="0.3">
      <c r="A195">
        <v>39</v>
      </c>
      <c r="B195">
        <v>19</v>
      </c>
      <c r="C195">
        <v>1</v>
      </c>
      <c r="D195">
        <v>22</v>
      </c>
      <c r="E195">
        <v>5</v>
      </c>
      <c r="F195">
        <v>0.37005351658989433</v>
      </c>
      <c r="G195">
        <v>27</v>
      </c>
      <c r="H195">
        <v>11</v>
      </c>
      <c r="I195">
        <v>0.36918584042315145</v>
      </c>
      <c r="J195">
        <v>326886261.50563133</v>
      </c>
      <c r="K195">
        <v>165447000</v>
      </c>
      <c r="L195">
        <v>79944842.291348562</v>
      </c>
      <c r="M195">
        <v>77259600</v>
      </c>
      <c r="N195">
        <v>15764506.799999999</v>
      </c>
      <c r="O195">
        <v>231.33841899999999</v>
      </c>
      <c r="P195">
        <v>2.6420066179793467</v>
      </c>
      <c r="Q195">
        <v>43.744245599999999</v>
      </c>
      <c r="R195">
        <v>802.391389</v>
      </c>
      <c r="S195">
        <v>1.35786487E-10</v>
      </c>
      <c r="T195">
        <v>21.405490226124755</v>
      </c>
      <c r="U195">
        <v>100.934</v>
      </c>
      <c r="V195">
        <v>-602.63659663702754</v>
      </c>
      <c r="W195">
        <v>69.278186399999996</v>
      </c>
      <c r="X195">
        <v>95.065285200000005</v>
      </c>
      <c r="Y195">
        <v>121.52199999999999</v>
      </c>
      <c r="Z195">
        <v>255.41330099999999</v>
      </c>
      <c r="AA195">
        <v>99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101.64200661797935</v>
      </c>
    </row>
    <row r="196" spans="1:40" x14ac:dyDescent="0.3">
      <c r="A196">
        <v>27</v>
      </c>
      <c r="B196">
        <v>19</v>
      </c>
      <c r="C196">
        <v>15</v>
      </c>
      <c r="D196">
        <v>29</v>
      </c>
      <c r="E196">
        <v>14</v>
      </c>
      <c r="F196">
        <v>1.2</v>
      </c>
      <c r="G196">
        <v>23</v>
      </c>
      <c r="H196">
        <v>14</v>
      </c>
      <c r="I196">
        <v>0.3</v>
      </c>
      <c r="J196">
        <v>326886261.50563133</v>
      </c>
      <c r="K196">
        <v>165447000</v>
      </c>
      <c r="L196">
        <v>79944842.291348562</v>
      </c>
      <c r="M196">
        <v>77259600</v>
      </c>
      <c r="N196">
        <v>15764506.799999999</v>
      </c>
      <c r="O196">
        <v>231.33841899999999</v>
      </c>
      <c r="P196">
        <v>2.6420066179793467</v>
      </c>
      <c r="Q196">
        <v>43.744245599999999</v>
      </c>
      <c r="R196">
        <v>802.391389</v>
      </c>
      <c r="S196">
        <v>1.35786487E-10</v>
      </c>
      <c r="T196">
        <v>21.405490226124755</v>
      </c>
      <c r="U196">
        <v>100.934</v>
      </c>
      <c r="V196">
        <v>-602.63659663702754</v>
      </c>
      <c r="W196">
        <v>69.278186399999996</v>
      </c>
      <c r="X196">
        <v>95.065285200000005</v>
      </c>
      <c r="Y196">
        <v>121.52199999999999</v>
      </c>
      <c r="Z196">
        <v>255.41330099999999</v>
      </c>
      <c r="AA196">
        <v>99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101.64200661797935</v>
      </c>
    </row>
    <row r="197" spans="1:40" x14ac:dyDescent="0.3">
      <c r="A197">
        <v>27</v>
      </c>
      <c r="B197">
        <v>10</v>
      </c>
      <c r="C197">
        <v>15</v>
      </c>
      <c r="D197">
        <v>23</v>
      </c>
      <c r="E197">
        <v>14</v>
      </c>
      <c r="F197">
        <v>0.3</v>
      </c>
      <c r="G197">
        <v>10</v>
      </c>
      <c r="H197">
        <v>7</v>
      </c>
      <c r="I197">
        <v>1.4</v>
      </c>
      <c r="J197">
        <v>326886261.50563133</v>
      </c>
      <c r="K197">
        <v>165447000</v>
      </c>
      <c r="L197">
        <v>79944842.291348562</v>
      </c>
      <c r="M197">
        <v>77259600</v>
      </c>
      <c r="N197">
        <v>15764506.799999999</v>
      </c>
      <c r="O197">
        <v>231.33841899999999</v>
      </c>
      <c r="P197">
        <v>2.6420066179793467</v>
      </c>
      <c r="Q197">
        <v>43.744245599999999</v>
      </c>
      <c r="R197">
        <v>802.391389</v>
      </c>
      <c r="S197">
        <v>1.35786487E-10</v>
      </c>
      <c r="T197">
        <v>21.405490226124755</v>
      </c>
      <c r="U197">
        <v>100.934</v>
      </c>
      <c r="V197">
        <v>-602.63659663702754</v>
      </c>
      <c r="W197">
        <v>69.278186399999996</v>
      </c>
      <c r="X197">
        <v>95.065285200000005</v>
      </c>
      <c r="Y197">
        <v>121.52199999999999</v>
      </c>
      <c r="Z197">
        <v>255.41330099999999</v>
      </c>
      <c r="AA197">
        <v>99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101.64200661797935</v>
      </c>
    </row>
    <row r="198" spans="1:40" x14ac:dyDescent="0.3">
      <c r="A198">
        <v>39</v>
      </c>
      <c r="B198">
        <v>10</v>
      </c>
      <c r="C198">
        <v>1</v>
      </c>
      <c r="D198">
        <v>10</v>
      </c>
      <c r="E198">
        <v>8</v>
      </c>
      <c r="F198">
        <v>0.49931159274593612</v>
      </c>
      <c r="G198">
        <v>29</v>
      </c>
      <c r="H198">
        <v>14</v>
      </c>
      <c r="I198">
        <v>0.30248296738231539</v>
      </c>
      <c r="J198">
        <v>326886261.50563133</v>
      </c>
      <c r="K198">
        <v>165447000</v>
      </c>
      <c r="L198">
        <v>79944842.291348562</v>
      </c>
      <c r="M198">
        <v>77259600</v>
      </c>
      <c r="N198">
        <v>15764506.799999999</v>
      </c>
      <c r="O198">
        <v>231.33841899999999</v>
      </c>
      <c r="P198">
        <v>2.6420066179793467</v>
      </c>
      <c r="Q198">
        <v>43.744245599999999</v>
      </c>
      <c r="R198">
        <v>802.391389</v>
      </c>
      <c r="S198">
        <v>1.35786487E-10</v>
      </c>
      <c r="T198">
        <v>21.405490226124755</v>
      </c>
      <c r="U198">
        <v>100.934</v>
      </c>
      <c r="V198">
        <v>-602.63659663702754</v>
      </c>
      <c r="W198">
        <v>69.278186399999996</v>
      </c>
      <c r="X198">
        <v>95.065285200000005</v>
      </c>
      <c r="Y198">
        <v>121.52199999999999</v>
      </c>
      <c r="Z198">
        <v>255.41330099999999</v>
      </c>
      <c r="AA198">
        <v>99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101.64200661797935</v>
      </c>
    </row>
    <row r="199" spans="1:40" x14ac:dyDescent="0.3">
      <c r="A199">
        <v>39</v>
      </c>
      <c r="B199">
        <v>10</v>
      </c>
      <c r="C199">
        <v>15</v>
      </c>
      <c r="D199">
        <v>22</v>
      </c>
      <c r="E199">
        <v>5</v>
      </c>
      <c r="F199">
        <v>0.3</v>
      </c>
      <c r="G199">
        <v>29</v>
      </c>
      <c r="H199">
        <v>14</v>
      </c>
      <c r="I199">
        <v>1.4</v>
      </c>
      <c r="J199">
        <v>326886261.50563133</v>
      </c>
      <c r="K199">
        <v>165447000</v>
      </c>
      <c r="L199">
        <v>79944842.291348562</v>
      </c>
      <c r="M199">
        <v>77259600</v>
      </c>
      <c r="N199">
        <v>15764506.799999999</v>
      </c>
      <c r="O199">
        <v>231.33841899999999</v>
      </c>
      <c r="P199">
        <v>2.6420066179793467</v>
      </c>
      <c r="Q199">
        <v>43.744245599999999</v>
      </c>
      <c r="R199">
        <v>802.391389</v>
      </c>
      <c r="S199">
        <v>1.35786487E-10</v>
      </c>
      <c r="T199">
        <v>21.405490226124755</v>
      </c>
      <c r="U199">
        <v>100.934</v>
      </c>
      <c r="V199">
        <v>-602.63659663702754</v>
      </c>
      <c r="W199">
        <v>69.278186399999996</v>
      </c>
      <c r="X199">
        <v>95.065285200000005</v>
      </c>
      <c r="Y199">
        <v>121.52199999999999</v>
      </c>
      <c r="Z199">
        <v>255.41330099999999</v>
      </c>
      <c r="AA199">
        <v>99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101.64200661797935</v>
      </c>
    </row>
    <row r="200" spans="1:40" x14ac:dyDescent="0.3">
      <c r="A200">
        <v>34</v>
      </c>
      <c r="B200">
        <v>18</v>
      </c>
      <c r="C200">
        <v>3.0672309994115707</v>
      </c>
      <c r="D200">
        <v>20</v>
      </c>
      <c r="E200">
        <v>5</v>
      </c>
      <c r="F200">
        <v>0.32558064123080105</v>
      </c>
      <c r="G200">
        <v>24</v>
      </c>
      <c r="H200">
        <v>8</v>
      </c>
      <c r="I200">
        <v>1.4</v>
      </c>
      <c r="J200">
        <v>326886261.50563133</v>
      </c>
      <c r="K200">
        <v>165447000</v>
      </c>
      <c r="L200">
        <v>79944842.291348562</v>
      </c>
      <c r="M200">
        <v>77259600</v>
      </c>
      <c r="N200">
        <v>15764506.799999999</v>
      </c>
      <c r="O200">
        <v>231.33841899999999</v>
      </c>
      <c r="P200">
        <v>2.6420066179793467</v>
      </c>
      <c r="Q200">
        <v>43.744245599999999</v>
      </c>
      <c r="R200">
        <v>802.391389</v>
      </c>
      <c r="S200">
        <v>1.35786487E-10</v>
      </c>
      <c r="T200">
        <v>21.405490226124755</v>
      </c>
      <c r="U200">
        <v>100.934</v>
      </c>
      <c r="V200">
        <v>-602.63659663702754</v>
      </c>
      <c r="W200">
        <v>69.278186399999996</v>
      </c>
      <c r="X200">
        <v>95.065285200000005</v>
      </c>
      <c r="Y200">
        <v>121.52199999999999</v>
      </c>
      <c r="Z200">
        <v>255.41330099999999</v>
      </c>
      <c r="AA200">
        <v>99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101.64200661797935</v>
      </c>
    </row>
    <row r="201" spans="1:40" x14ac:dyDescent="0.3">
      <c r="A201">
        <v>33</v>
      </c>
      <c r="B201">
        <v>14</v>
      </c>
      <c r="C201">
        <v>6.0262379272408015</v>
      </c>
      <c r="D201">
        <v>17</v>
      </c>
      <c r="E201">
        <v>12</v>
      </c>
      <c r="F201">
        <v>0.9801861282618165</v>
      </c>
      <c r="G201">
        <v>12</v>
      </c>
      <c r="H201">
        <v>7</v>
      </c>
      <c r="I201">
        <v>0.61570231842799439</v>
      </c>
      <c r="J201">
        <v>326886261.50563133</v>
      </c>
      <c r="K201">
        <v>165447000</v>
      </c>
      <c r="L201">
        <v>79944842.291348562</v>
      </c>
      <c r="M201">
        <v>77259600</v>
      </c>
      <c r="N201">
        <v>15764506.799999999</v>
      </c>
      <c r="O201">
        <v>231.33841899999999</v>
      </c>
      <c r="P201">
        <v>2.6420066179793467</v>
      </c>
      <c r="Q201">
        <v>43.744245599999999</v>
      </c>
      <c r="R201">
        <v>802.391389</v>
      </c>
      <c r="S201">
        <v>1.35786487E-10</v>
      </c>
      <c r="T201">
        <v>21.405490226124755</v>
      </c>
      <c r="U201">
        <v>100.934</v>
      </c>
      <c r="V201">
        <v>-602.63659663702754</v>
      </c>
      <c r="W201">
        <v>69.278186399999996</v>
      </c>
      <c r="X201">
        <v>95.065285200000005</v>
      </c>
      <c r="Y201">
        <v>121.52199999999999</v>
      </c>
      <c r="Z201">
        <v>255.41330099999999</v>
      </c>
      <c r="AA201">
        <v>99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101.64200661797935</v>
      </c>
    </row>
    <row r="202" spans="1:40" x14ac:dyDescent="0.3">
      <c r="A202">
        <v>34</v>
      </c>
      <c r="B202">
        <v>18</v>
      </c>
      <c r="C202">
        <v>3.1941826518620848</v>
      </c>
      <c r="D202">
        <v>26</v>
      </c>
      <c r="E202">
        <v>6</v>
      </c>
      <c r="F202">
        <v>0.38747092041674741</v>
      </c>
      <c r="G202">
        <v>10</v>
      </c>
      <c r="H202">
        <v>7</v>
      </c>
      <c r="I202">
        <v>0.76014933402651308</v>
      </c>
      <c r="J202">
        <v>326886261.50563133</v>
      </c>
      <c r="K202">
        <v>165447000</v>
      </c>
      <c r="L202">
        <v>79944842.291348562</v>
      </c>
      <c r="M202">
        <v>77259600</v>
      </c>
      <c r="N202">
        <v>15764506.799999999</v>
      </c>
      <c r="O202">
        <v>231.33841899999999</v>
      </c>
      <c r="P202">
        <v>2.6420066179793467</v>
      </c>
      <c r="Q202">
        <v>43.744245599999999</v>
      </c>
      <c r="R202">
        <v>802.391389</v>
      </c>
      <c r="S202">
        <v>1.35786487E-10</v>
      </c>
      <c r="T202">
        <v>21.405490226124755</v>
      </c>
      <c r="U202">
        <v>100.934</v>
      </c>
      <c r="V202">
        <v>-602.63659663702754</v>
      </c>
      <c r="W202">
        <v>69.278186399999996</v>
      </c>
      <c r="X202">
        <v>95.065285200000005</v>
      </c>
      <c r="Y202">
        <v>121.52199999999999</v>
      </c>
      <c r="Z202">
        <v>255.41330099999999</v>
      </c>
      <c r="AA202">
        <v>99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101.64200661797935</v>
      </c>
    </row>
    <row r="203" spans="1:40" x14ac:dyDescent="0.3">
      <c r="A203">
        <v>32</v>
      </c>
      <c r="B203">
        <v>18</v>
      </c>
      <c r="C203">
        <v>4.2507931210647332</v>
      </c>
      <c r="D203">
        <v>13</v>
      </c>
      <c r="E203">
        <v>8</v>
      </c>
      <c r="F203">
        <v>1.1881043451966611</v>
      </c>
      <c r="G203">
        <v>14</v>
      </c>
      <c r="H203">
        <v>7</v>
      </c>
      <c r="I203">
        <v>0.69648035219651427</v>
      </c>
      <c r="J203">
        <v>326886261.50563133</v>
      </c>
      <c r="K203">
        <v>165447000</v>
      </c>
      <c r="L203">
        <v>79944842.291348562</v>
      </c>
      <c r="M203">
        <v>77259600</v>
      </c>
      <c r="N203">
        <v>15764506.799999999</v>
      </c>
      <c r="O203">
        <v>231.33841899999999</v>
      </c>
      <c r="P203">
        <v>2.6420066179793467</v>
      </c>
      <c r="Q203">
        <v>43.744245599999999</v>
      </c>
      <c r="R203">
        <v>802.391389</v>
      </c>
      <c r="S203">
        <v>1.35786487E-10</v>
      </c>
      <c r="T203">
        <v>21.405490226124755</v>
      </c>
      <c r="U203">
        <v>100.934</v>
      </c>
      <c r="V203">
        <v>-602.63659663702754</v>
      </c>
      <c r="W203">
        <v>69.278186399999996</v>
      </c>
      <c r="X203">
        <v>95.065285200000005</v>
      </c>
      <c r="Y203">
        <v>121.52199999999999</v>
      </c>
      <c r="Z203">
        <v>255.41330099999999</v>
      </c>
      <c r="AA203">
        <v>99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101.64200661797935</v>
      </c>
    </row>
    <row r="204" spans="1:40" x14ac:dyDescent="0.3">
      <c r="A204">
        <v>33</v>
      </c>
      <c r="B204">
        <v>17</v>
      </c>
      <c r="C204">
        <v>14.636122273334594</v>
      </c>
      <c r="D204">
        <v>24</v>
      </c>
      <c r="E204">
        <v>12</v>
      </c>
      <c r="F204">
        <v>0.41177656812416474</v>
      </c>
      <c r="G204">
        <v>19</v>
      </c>
      <c r="H204">
        <v>8</v>
      </c>
      <c r="I204">
        <v>0.4569971663120671</v>
      </c>
      <c r="J204">
        <v>326886261.50563133</v>
      </c>
      <c r="K204">
        <v>165447000</v>
      </c>
      <c r="L204">
        <v>79944842.291348562</v>
      </c>
      <c r="M204">
        <v>77259600</v>
      </c>
      <c r="N204">
        <v>15764506.799999999</v>
      </c>
      <c r="O204">
        <v>231.33841899999999</v>
      </c>
      <c r="P204">
        <v>2.6420066179793467</v>
      </c>
      <c r="Q204">
        <v>43.744245599999999</v>
      </c>
      <c r="R204">
        <v>802.391389</v>
      </c>
      <c r="S204">
        <v>1.35786487E-10</v>
      </c>
      <c r="T204">
        <v>21.405490226124755</v>
      </c>
      <c r="U204">
        <v>100.934</v>
      </c>
      <c r="V204">
        <v>-602.63659663702754</v>
      </c>
      <c r="W204">
        <v>69.278186399999996</v>
      </c>
      <c r="X204">
        <v>95.065285200000005</v>
      </c>
      <c r="Y204">
        <v>121.52199999999999</v>
      </c>
      <c r="Z204">
        <v>255.41330099999999</v>
      </c>
      <c r="AA204">
        <v>99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101.64200661797935</v>
      </c>
    </row>
    <row r="205" spans="1:40" x14ac:dyDescent="0.3">
      <c r="A205">
        <v>39</v>
      </c>
      <c r="B205">
        <v>10</v>
      </c>
      <c r="C205">
        <v>9.8134586578895977</v>
      </c>
      <c r="D205">
        <v>22</v>
      </c>
      <c r="E205">
        <v>11</v>
      </c>
      <c r="F205">
        <v>0.85808246874763738</v>
      </c>
      <c r="G205">
        <v>23</v>
      </c>
      <c r="H205">
        <v>10</v>
      </c>
      <c r="I205">
        <v>1.1663058596415232</v>
      </c>
      <c r="J205">
        <v>326886261.50563133</v>
      </c>
      <c r="K205">
        <v>165447000</v>
      </c>
      <c r="L205">
        <v>79944842.291348562</v>
      </c>
      <c r="M205">
        <v>77259600</v>
      </c>
      <c r="N205">
        <v>15764506.799999999</v>
      </c>
      <c r="O205">
        <v>231.33841899999999</v>
      </c>
      <c r="P205">
        <v>2.6420066179793467</v>
      </c>
      <c r="Q205">
        <v>43.744245599999999</v>
      </c>
      <c r="R205">
        <v>802.391389</v>
      </c>
      <c r="S205">
        <v>1.35786487E-10</v>
      </c>
      <c r="T205">
        <v>21.405490226124755</v>
      </c>
      <c r="U205">
        <v>100.934</v>
      </c>
      <c r="V205">
        <v>-602.63659663702754</v>
      </c>
      <c r="W205">
        <v>69.278186399999996</v>
      </c>
      <c r="X205">
        <v>95.065285200000005</v>
      </c>
      <c r="Y205">
        <v>121.52199999999999</v>
      </c>
      <c r="Z205">
        <v>255.41330099999999</v>
      </c>
      <c r="AA205">
        <v>99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101.64200661797935</v>
      </c>
    </row>
    <row r="206" spans="1:40" x14ac:dyDescent="0.3">
      <c r="A206">
        <v>27</v>
      </c>
      <c r="B206">
        <v>19</v>
      </c>
      <c r="C206">
        <v>12.168335787397474</v>
      </c>
      <c r="D206">
        <v>23</v>
      </c>
      <c r="E206">
        <v>11</v>
      </c>
      <c r="F206">
        <v>0.81689855303253367</v>
      </c>
      <c r="G206">
        <v>29</v>
      </c>
      <c r="H206">
        <v>7</v>
      </c>
      <c r="I206">
        <v>0.65058582767032069</v>
      </c>
      <c r="J206">
        <v>326886261.50563133</v>
      </c>
      <c r="K206">
        <v>165447000</v>
      </c>
      <c r="L206">
        <v>79944842.291348562</v>
      </c>
      <c r="M206">
        <v>77259600</v>
      </c>
      <c r="N206">
        <v>15764506.799999999</v>
      </c>
      <c r="O206">
        <v>231.33841899999999</v>
      </c>
      <c r="P206">
        <v>2.6420066179793467</v>
      </c>
      <c r="Q206">
        <v>43.744245599999999</v>
      </c>
      <c r="R206">
        <v>802.391389</v>
      </c>
      <c r="S206">
        <v>1.35786487E-10</v>
      </c>
      <c r="T206">
        <v>21.405490226124755</v>
      </c>
      <c r="U206">
        <v>100.934</v>
      </c>
      <c r="V206">
        <v>-602.63659663702754</v>
      </c>
      <c r="W206">
        <v>69.278186399999996</v>
      </c>
      <c r="X206">
        <v>95.065285200000005</v>
      </c>
      <c r="Y206">
        <v>121.52199999999999</v>
      </c>
      <c r="Z206">
        <v>255.41330099999999</v>
      </c>
      <c r="AA206">
        <v>99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101.64200661797935</v>
      </c>
    </row>
    <row r="207" spans="1:40" x14ac:dyDescent="0.3">
      <c r="A207">
        <v>39</v>
      </c>
      <c r="B207">
        <v>16</v>
      </c>
      <c r="C207">
        <v>10.601508807012252</v>
      </c>
      <c r="D207">
        <v>28</v>
      </c>
      <c r="E207">
        <v>13</v>
      </c>
      <c r="F207">
        <v>0.64493144374692202</v>
      </c>
      <c r="G207">
        <v>19</v>
      </c>
      <c r="H207">
        <v>14</v>
      </c>
      <c r="I207">
        <v>0.50470582222469318</v>
      </c>
      <c r="J207">
        <v>326886261.50563133</v>
      </c>
      <c r="K207">
        <v>165447000</v>
      </c>
      <c r="L207">
        <v>79944842.291348562</v>
      </c>
      <c r="M207">
        <v>77259600</v>
      </c>
      <c r="N207">
        <v>15764506.799999999</v>
      </c>
      <c r="O207">
        <v>231.33841899999999</v>
      </c>
      <c r="P207">
        <v>2.6420066179793467</v>
      </c>
      <c r="Q207">
        <v>43.744245599999999</v>
      </c>
      <c r="R207">
        <v>802.391389</v>
      </c>
      <c r="S207">
        <v>1.35786487E-10</v>
      </c>
      <c r="T207">
        <v>21.405490226124755</v>
      </c>
      <c r="U207">
        <v>100.934</v>
      </c>
      <c r="V207">
        <v>-602.63659663702754</v>
      </c>
      <c r="W207">
        <v>69.278186399999996</v>
      </c>
      <c r="X207">
        <v>95.065285200000005</v>
      </c>
      <c r="Y207">
        <v>121.52199999999999</v>
      </c>
      <c r="Z207">
        <v>255.41330099999999</v>
      </c>
      <c r="AA207">
        <v>99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101.64200661797935</v>
      </c>
    </row>
    <row r="208" spans="1:40" x14ac:dyDescent="0.3">
      <c r="A208">
        <v>28</v>
      </c>
      <c r="B208">
        <v>15</v>
      </c>
      <c r="C208">
        <v>1.2881107278407413</v>
      </c>
      <c r="D208">
        <v>21</v>
      </c>
      <c r="E208">
        <v>14</v>
      </c>
      <c r="F208">
        <v>1.0206470993317391</v>
      </c>
      <c r="G208">
        <v>16</v>
      </c>
      <c r="H208">
        <v>14</v>
      </c>
      <c r="I208">
        <v>0.88454090798354446</v>
      </c>
      <c r="J208">
        <v>326886261.50563133</v>
      </c>
      <c r="K208">
        <v>165447000</v>
      </c>
      <c r="L208">
        <v>79944842.291348562</v>
      </c>
      <c r="M208">
        <v>77259600</v>
      </c>
      <c r="N208">
        <v>15764506.799999999</v>
      </c>
      <c r="O208">
        <v>231.33841899999999</v>
      </c>
      <c r="P208">
        <v>2.6420066179793467</v>
      </c>
      <c r="Q208">
        <v>43.744245599999999</v>
      </c>
      <c r="R208">
        <v>802.391389</v>
      </c>
      <c r="S208">
        <v>1.35786487E-10</v>
      </c>
      <c r="T208">
        <v>21.405490226124755</v>
      </c>
      <c r="U208">
        <v>100.934</v>
      </c>
      <c r="V208">
        <v>-602.63659663702754</v>
      </c>
      <c r="W208">
        <v>69.278186399999996</v>
      </c>
      <c r="X208">
        <v>95.065285200000005</v>
      </c>
      <c r="Y208">
        <v>121.52199999999999</v>
      </c>
      <c r="Z208">
        <v>255.41330099999999</v>
      </c>
      <c r="AA208">
        <v>99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101.64200661797935</v>
      </c>
    </row>
    <row r="209" spans="1:40" x14ac:dyDescent="0.3">
      <c r="A209">
        <v>39</v>
      </c>
      <c r="B209">
        <v>18</v>
      </c>
      <c r="C209">
        <v>12.778043098363971</v>
      </c>
      <c r="D209">
        <v>24</v>
      </c>
      <c r="E209">
        <v>6</v>
      </c>
      <c r="F209">
        <v>0.94822478385595832</v>
      </c>
      <c r="G209">
        <v>25</v>
      </c>
      <c r="H209">
        <v>8</v>
      </c>
      <c r="I209">
        <v>0.31359101943955858</v>
      </c>
      <c r="J209">
        <v>326886261.50563133</v>
      </c>
      <c r="K209">
        <v>165447000</v>
      </c>
      <c r="L209">
        <v>79944842.291348562</v>
      </c>
      <c r="M209">
        <v>77259600</v>
      </c>
      <c r="N209">
        <v>15764506.799999999</v>
      </c>
      <c r="O209">
        <v>231.33841899999999</v>
      </c>
      <c r="P209">
        <v>2.6420066179793467</v>
      </c>
      <c r="Q209">
        <v>43.744245599999999</v>
      </c>
      <c r="R209">
        <v>802.391389</v>
      </c>
      <c r="S209">
        <v>1.35786487E-10</v>
      </c>
      <c r="T209">
        <v>21.405490226124755</v>
      </c>
      <c r="U209">
        <v>100.934</v>
      </c>
      <c r="V209">
        <v>-602.63659663702754</v>
      </c>
      <c r="W209">
        <v>69.278186399999996</v>
      </c>
      <c r="X209">
        <v>95.065285200000005</v>
      </c>
      <c r="Y209">
        <v>121.52199999999999</v>
      </c>
      <c r="Z209">
        <v>255.41330099999999</v>
      </c>
      <c r="AA209">
        <v>99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101.64200661797935</v>
      </c>
    </row>
    <row r="210" spans="1:40" x14ac:dyDescent="0.3">
      <c r="A210">
        <v>27</v>
      </c>
      <c r="B210">
        <v>15</v>
      </c>
      <c r="C210">
        <v>11.967687911457652</v>
      </c>
      <c r="D210">
        <v>17</v>
      </c>
      <c r="E210">
        <v>9</v>
      </c>
      <c r="F210">
        <v>0.88103135954689304</v>
      </c>
      <c r="G210">
        <v>22</v>
      </c>
      <c r="H210">
        <v>11</v>
      </c>
      <c r="I210">
        <v>0.5667675977014579</v>
      </c>
      <c r="J210">
        <v>326886261.50563133</v>
      </c>
      <c r="K210">
        <v>165447000</v>
      </c>
      <c r="L210">
        <v>79944842.291348562</v>
      </c>
      <c r="M210">
        <v>77259600</v>
      </c>
      <c r="N210">
        <v>15764506.799999999</v>
      </c>
      <c r="O210">
        <v>231.33841899999999</v>
      </c>
      <c r="P210">
        <v>2.6420066179793467</v>
      </c>
      <c r="Q210">
        <v>43.744245599999999</v>
      </c>
      <c r="R210">
        <v>802.391389</v>
      </c>
      <c r="S210">
        <v>1.35786487E-10</v>
      </c>
      <c r="T210">
        <v>21.405490226124755</v>
      </c>
      <c r="U210">
        <v>100.934</v>
      </c>
      <c r="V210">
        <v>-602.63659663702754</v>
      </c>
      <c r="W210">
        <v>69.278186399999996</v>
      </c>
      <c r="X210">
        <v>95.065285200000005</v>
      </c>
      <c r="Y210">
        <v>121.52199999999999</v>
      </c>
      <c r="Z210">
        <v>255.41330099999999</v>
      </c>
      <c r="AA210">
        <v>99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101.64200661797935</v>
      </c>
    </row>
    <row r="211" spans="1:40" x14ac:dyDescent="0.3">
      <c r="A211">
        <v>38</v>
      </c>
      <c r="B211">
        <v>12</v>
      </c>
      <c r="C211">
        <v>11.791758710498128</v>
      </c>
      <c r="D211">
        <v>25</v>
      </c>
      <c r="E211">
        <v>12</v>
      </c>
      <c r="F211">
        <v>0.62435977692903344</v>
      </c>
      <c r="G211">
        <v>22</v>
      </c>
      <c r="H211">
        <v>9</v>
      </c>
      <c r="I211">
        <v>0.35543833860880647</v>
      </c>
      <c r="J211">
        <v>326886261.50563133</v>
      </c>
      <c r="K211">
        <v>165447000</v>
      </c>
      <c r="L211">
        <v>79944842.291348562</v>
      </c>
      <c r="M211">
        <v>77259600</v>
      </c>
      <c r="N211">
        <v>15764506.799999999</v>
      </c>
      <c r="O211">
        <v>231.33841899999999</v>
      </c>
      <c r="P211">
        <v>2.6420066179793467</v>
      </c>
      <c r="Q211">
        <v>43.744245599999999</v>
      </c>
      <c r="R211">
        <v>802.391389</v>
      </c>
      <c r="S211">
        <v>1.35786487E-10</v>
      </c>
      <c r="T211">
        <v>21.405490226124755</v>
      </c>
      <c r="U211">
        <v>100.934</v>
      </c>
      <c r="V211">
        <v>-602.63659663702754</v>
      </c>
      <c r="W211">
        <v>69.278186399999996</v>
      </c>
      <c r="X211">
        <v>95.065285200000005</v>
      </c>
      <c r="Y211">
        <v>121.52199999999999</v>
      </c>
      <c r="Z211">
        <v>255.41330099999999</v>
      </c>
      <c r="AA211">
        <v>99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101.64200661797935</v>
      </c>
    </row>
    <row r="212" spans="1:40" x14ac:dyDescent="0.3">
      <c r="A212">
        <v>27</v>
      </c>
      <c r="B212">
        <v>18</v>
      </c>
      <c r="C212">
        <v>1.0305825382855369</v>
      </c>
      <c r="D212">
        <v>10</v>
      </c>
      <c r="E212">
        <v>8</v>
      </c>
      <c r="F212">
        <v>0.3</v>
      </c>
      <c r="G212">
        <v>17</v>
      </c>
      <c r="H212">
        <v>13</v>
      </c>
      <c r="I212">
        <v>0.48286261696533656</v>
      </c>
      <c r="J212">
        <v>326886261.50563133</v>
      </c>
      <c r="K212">
        <v>165447000</v>
      </c>
      <c r="L212">
        <v>79944842.291348562</v>
      </c>
      <c r="M212">
        <v>77259600</v>
      </c>
      <c r="N212">
        <v>15764506.799999999</v>
      </c>
      <c r="O212">
        <v>231.33841899999999</v>
      </c>
      <c r="P212">
        <v>2.6420066179793467</v>
      </c>
      <c r="Q212">
        <v>43.744245599999999</v>
      </c>
      <c r="R212">
        <v>802.391389</v>
      </c>
      <c r="S212">
        <v>1.35786487E-10</v>
      </c>
      <c r="T212">
        <v>21.405490226124755</v>
      </c>
      <c r="U212">
        <v>100.934</v>
      </c>
      <c r="V212">
        <v>-602.63659663702754</v>
      </c>
      <c r="W212">
        <v>69.278186399999996</v>
      </c>
      <c r="X212">
        <v>95.065285200000005</v>
      </c>
      <c r="Y212">
        <v>121.52199999999999</v>
      </c>
      <c r="Z212">
        <v>255.41330099999999</v>
      </c>
      <c r="AA212">
        <v>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101.64200661797935</v>
      </c>
    </row>
    <row r="213" spans="1:40" x14ac:dyDescent="0.3">
      <c r="A213">
        <v>27</v>
      </c>
      <c r="B213">
        <v>19</v>
      </c>
      <c r="C213">
        <v>1</v>
      </c>
      <c r="D213">
        <v>29</v>
      </c>
      <c r="E213">
        <v>5</v>
      </c>
      <c r="F213">
        <v>1.2</v>
      </c>
      <c r="G213">
        <v>16</v>
      </c>
      <c r="H213">
        <v>14</v>
      </c>
      <c r="I213">
        <v>1.4</v>
      </c>
      <c r="J213">
        <v>326886261.50563133</v>
      </c>
      <c r="K213">
        <v>165447000</v>
      </c>
      <c r="L213">
        <v>79944842.291348562</v>
      </c>
      <c r="M213">
        <v>77259600</v>
      </c>
      <c r="N213">
        <v>15764506.799999999</v>
      </c>
      <c r="O213">
        <v>231.33841899999999</v>
      </c>
      <c r="P213">
        <v>2.6420066179793467</v>
      </c>
      <c r="Q213">
        <v>43.744245599999999</v>
      </c>
      <c r="R213">
        <v>802.391389</v>
      </c>
      <c r="S213">
        <v>1.35786487E-10</v>
      </c>
      <c r="T213">
        <v>21.405490226124755</v>
      </c>
      <c r="U213">
        <v>100.934</v>
      </c>
      <c r="V213">
        <v>-602.63659663702754</v>
      </c>
      <c r="W213">
        <v>69.278186399999996</v>
      </c>
      <c r="X213">
        <v>95.065285200000005</v>
      </c>
      <c r="Y213">
        <v>121.52199999999999</v>
      </c>
      <c r="Z213">
        <v>255.41330099999999</v>
      </c>
      <c r="AA213">
        <v>99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101.64200661797935</v>
      </c>
    </row>
    <row r="214" spans="1:40" x14ac:dyDescent="0.3">
      <c r="A214">
        <v>29</v>
      </c>
      <c r="B214">
        <v>19</v>
      </c>
      <c r="C214">
        <v>6.781670788048781</v>
      </c>
      <c r="D214">
        <v>29</v>
      </c>
      <c r="E214">
        <v>5</v>
      </c>
      <c r="F214">
        <v>0.3</v>
      </c>
      <c r="G214">
        <v>11</v>
      </c>
      <c r="H214">
        <v>8</v>
      </c>
      <c r="I214">
        <v>0.3</v>
      </c>
      <c r="J214">
        <v>326886261.50563133</v>
      </c>
      <c r="K214">
        <v>165447000</v>
      </c>
      <c r="L214">
        <v>79944842.291348562</v>
      </c>
      <c r="M214">
        <v>77259600</v>
      </c>
      <c r="N214">
        <v>15764506.799999999</v>
      </c>
      <c r="O214">
        <v>231.33841899999999</v>
      </c>
      <c r="P214">
        <v>2.6420066179793467</v>
      </c>
      <c r="Q214">
        <v>43.744245599999999</v>
      </c>
      <c r="R214">
        <v>802.391389</v>
      </c>
      <c r="S214">
        <v>1.35786487E-10</v>
      </c>
      <c r="T214">
        <v>21.405490226124755</v>
      </c>
      <c r="U214">
        <v>100.934</v>
      </c>
      <c r="V214">
        <v>-602.63659663702754</v>
      </c>
      <c r="W214">
        <v>69.278186399999996</v>
      </c>
      <c r="X214">
        <v>95.065285200000005</v>
      </c>
      <c r="Y214">
        <v>121.52199999999999</v>
      </c>
      <c r="Z214">
        <v>255.41330099999999</v>
      </c>
      <c r="AA214">
        <v>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101.64200661797935</v>
      </c>
    </row>
    <row r="215" spans="1:40" x14ac:dyDescent="0.3">
      <c r="A215">
        <v>39</v>
      </c>
      <c r="B215">
        <v>19</v>
      </c>
      <c r="C215">
        <v>15</v>
      </c>
      <c r="D215">
        <v>10</v>
      </c>
      <c r="E215">
        <v>5</v>
      </c>
      <c r="F215">
        <v>1.2</v>
      </c>
      <c r="G215">
        <v>22</v>
      </c>
      <c r="H215">
        <v>14</v>
      </c>
      <c r="I215">
        <v>1.4</v>
      </c>
      <c r="J215">
        <v>326886261.50563133</v>
      </c>
      <c r="K215">
        <v>165447000</v>
      </c>
      <c r="L215">
        <v>79944842.291348562</v>
      </c>
      <c r="M215">
        <v>77259600</v>
      </c>
      <c r="N215">
        <v>15764506.799999999</v>
      </c>
      <c r="O215">
        <v>231.33841899999999</v>
      </c>
      <c r="P215">
        <v>2.6420066179793467</v>
      </c>
      <c r="Q215">
        <v>43.744245599999999</v>
      </c>
      <c r="R215">
        <v>802.391389</v>
      </c>
      <c r="S215">
        <v>1.35786487E-10</v>
      </c>
      <c r="T215">
        <v>21.405490226124755</v>
      </c>
      <c r="U215">
        <v>100.934</v>
      </c>
      <c r="V215">
        <v>-602.63659663702754</v>
      </c>
      <c r="W215">
        <v>69.278186399999996</v>
      </c>
      <c r="X215">
        <v>95.065285200000005</v>
      </c>
      <c r="Y215">
        <v>121.52199999999999</v>
      </c>
      <c r="Z215">
        <v>255.41330099999999</v>
      </c>
      <c r="AA215">
        <v>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101.64200661797935</v>
      </c>
    </row>
    <row r="216" spans="1:40" x14ac:dyDescent="0.3">
      <c r="A216">
        <v>27</v>
      </c>
      <c r="B216">
        <v>10</v>
      </c>
      <c r="C216">
        <v>1</v>
      </c>
      <c r="D216">
        <v>29</v>
      </c>
      <c r="E216">
        <v>14</v>
      </c>
      <c r="F216">
        <v>1.2</v>
      </c>
      <c r="G216">
        <v>29</v>
      </c>
      <c r="H216">
        <v>14</v>
      </c>
      <c r="I216">
        <v>1.4</v>
      </c>
      <c r="J216">
        <v>326886261.50563133</v>
      </c>
      <c r="K216">
        <v>165447000</v>
      </c>
      <c r="L216">
        <v>79944842.291348562</v>
      </c>
      <c r="M216">
        <v>77259600</v>
      </c>
      <c r="N216">
        <v>15764506.799999999</v>
      </c>
      <c r="O216">
        <v>231.33841899999999</v>
      </c>
      <c r="P216">
        <v>2.6420066179793467</v>
      </c>
      <c r="Q216">
        <v>43.744245599999999</v>
      </c>
      <c r="R216">
        <v>802.391389</v>
      </c>
      <c r="S216">
        <v>1.35786487E-10</v>
      </c>
      <c r="T216">
        <v>21.405490226124755</v>
      </c>
      <c r="U216">
        <v>100.934</v>
      </c>
      <c r="V216">
        <v>-602.63659663702754</v>
      </c>
      <c r="W216">
        <v>69.278186399999996</v>
      </c>
      <c r="X216">
        <v>95.065285200000005</v>
      </c>
      <c r="Y216">
        <v>121.52199999999999</v>
      </c>
      <c r="Z216">
        <v>255.41330099999999</v>
      </c>
      <c r="AA216">
        <v>99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101.64200661797935</v>
      </c>
    </row>
    <row r="217" spans="1:40" x14ac:dyDescent="0.3">
      <c r="A217">
        <v>27</v>
      </c>
      <c r="B217">
        <v>13</v>
      </c>
      <c r="C217">
        <v>1</v>
      </c>
      <c r="D217">
        <v>26</v>
      </c>
      <c r="E217">
        <v>5</v>
      </c>
      <c r="F217">
        <v>0.95145999943347381</v>
      </c>
      <c r="G217">
        <v>11</v>
      </c>
      <c r="H217">
        <v>7</v>
      </c>
      <c r="I217">
        <v>1.4</v>
      </c>
      <c r="J217">
        <v>326886261.50563133</v>
      </c>
      <c r="K217">
        <v>165447000</v>
      </c>
      <c r="L217">
        <v>79944842.291348562</v>
      </c>
      <c r="M217">
        <v>77259600</v>
      </c>
      <c r="N217">
        <v>15764506.799999999</v>
      </c>
      <c r="O217">
        <v>231.33841899999999</v>
      </c>
      <c r="P217">
        <v>2.6420066179793467</v>
      </c>
      <c r="Q217">
        <v>43.744245599999999</v>
      </c>
      <c r="R217">
        <v>802.391389</v>
      </c>
      <c r="S217">
        <v>1.35786487E-10</v>
      </c>
      <c r="T217">
        <v>21.405490226124755</v>
      </c>
      <c r="U217">
        <v>100.934</v>
      </c>
      <c r="V217">
        <v>-602.63659663702754</v>
      </c>
      <c r="W217">
        <v>69.278186399999996</v>
      </c>
      <c r="X217">
        <v>95.065285200000005</v>
      </c>
      <c r="Y217">
        <v>121.52199999999999</v>
      </c>
      <c r="Z217">
        <v>255.41330099999999</v>
      </c>
      <c r="AA217">
        <v>99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101.64200661797935</v>
      </c>
    </row>
    <row r="218" spans="1:40" x14ac:dyDescent="0.3">
      <c r="A218">
        <v>27</v>
      </c>
      <c r="B218">
        <v>10</v>
      </c>
      <c r="C218">
        <v>15</v>
      </c>
      <c r="D218">
        <v>29</v>
      </c>
      <c r="E218">
        <v>5</v>
      </c>
      <c r="F218">
        <v>1.2</v>
      </c>
      <c r="G218">
        <v>29</v>
      </c>
      <c r="H218">
        <v>14</v>
      </c>
      <c r="I218">
        <v>0.3</v>
      </c>
      <c r="J218">
        <v>326886261.50563133</v>
      </c>
      <c r="K218">
        <v>165447000</v>
      </c>
      <c r="L218">
        <v>79944842.291348562</v>
      </c>
      <c r="M218">
        <v>77259600</v>
      </c>
      <c r="N218">
        <v>15764506.799999999</v>
      </c>
      <c r="O218">
        <v>231.33841899999999</v>
      </c>
      <c r="P218">
        <v>2.6420066179793467</v>
      </c>
      <c r="Q218">
        <v>43.744245599999999</v>
      </c>
      <c r="R218">
        <v>802.391389</v>
      </c>
      <c r="S218">
        <v>1.35786487E-10</v>
      </c>
      <c r="T218">
        <v>21.405490226124755</v>
      </c>
      <c r="U218">
        <v>100.934</v>
      </c>
      <c r="V218">
        <v>-602.63659663702754</v>
      </c>
      <c r="W218">
        <v>69.278186399999996</v>
      </c>
      <c r="X218">
        <v>95.065285200000005</v>
      </c>
      <c r="Y218">
        <v>121.52199999999999</v>
      </c>
      <c r="Z218">
        <v>255.41330099999999</v>
      </c>
      <c r="AA218">
        <v>99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101.64200661797935</v>
      </c>
    </row>
    <row r="219" spans="1:40" x14ac:dyDescent="0.3">
      <c r="A219">
        <v>31</v>
      </c>
      <c r="B219">
        <v>10</v>
      </c>
      <c r="C219">
        <v>1</v>
      </c>
      <c r="D219">
        <v>29</v>
      </c>
      <c r="E219">
        <v>5</v>
      </c>
      <c r="F219">
        <v>1.2</v>
      </c>
      <c r="G219">
        <v>29</v>
      </c>
      <c r="H219">
        <v>7</v>
      </c>
      <c r="I219">
        <v>0.3</v>
      </c>
      <c r="J219">
        <v>326886261.50563133</v>
      </c>
      <c r="K219">
        <v>165447000</v>
      </c>
      <c r="L219">
        <v>79944842.291348562</v>
      </c>
      <c r="M219">
        <v>77259600</v>
      </c>
      <c r="N219">
        <v>15764506.799999999</v>
      </c>
      <c r="O219">
        <v>231.33841899999999</v>
      </c>
      <c r="P219">
        <v>2.6420066179793467</v>
      </c>
      <c r="Q219">
        <v>43.744245599999999</v>
      </c>
      <c r="R219">
        <v>802.391389</v>
      </c>
      <c r="S219">
        <v>1.35786487E-10</v>
      </c>
      <c r="T219">
        <v>21.405490226124755</v>
      </c>
      <c r="U219">
        <v>100.934</v>
      </c>
      <c r="V219">
        <v>-602.63659663702754</v>
      </c>
      <c r="W219">
        <v>69.278186399999996</v>
      </c>
      <c r="X219">
        <v>95.065285200000005</v>
      </c>
      <c r="Y219">
        <v>121.52199999999999</v>
      </c>
      <c r="Z219">
        <v>255.41330099999999</v>
      </c>
      <c r="AA219">
        <v>99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101.64200661797935</v>
      </c>
    </row>
    <row r="220" spans="1:40" x14ac:dyDescent="0.3">
      <c r="A220">
        <v>27</v>
      </c>
      <c r="B220">
        <v>10</v>
      </c>
      <c r="C220">
        <v>1</v>
      </c>
      <c r="D220">
        <v>16</v>
      </c>
      <c r="E220">
        <v>14</v>
      </c>
      <c r="F220">
        <v>0.3</v>
      </c>
      <c r="G220">
        <v>29</v>
      </c>
      <c r="H220">
        <v>7</v>
      </c>
      <c r="I220">
        <v>1.4</v>
      </c>
      <c r="J220">
        <v>326886261.50563133</v>
      </c>
      <c r="K220">
        <v>165447000</v>
      </c>
      <c r="L220">
        <v>79944842.291348562</v>
      </c>
      <c r="M220">
        <v>77259600</v>
      </c>
      <c r="N220">
        <v>15764506.799999999</v>
      </c>
      <c r="O220">
        <v>231.33841899999999</v>
      </c>
      <c r="P220">
        <v>2.6420066179793467</v>
      </c>
      <c r="Q220">
        <v>43.744245599999999</v>
      </c>
      <c r="R220">
        <v>802.391389</v>
      </c>
      <c r="S220">
        <v>1.35786487E-10</v>
      </c>
      <c r="T220">
        <v>21.405490226124755</v>
      </c>
      <c r="U220">
        <v>100.934</v>
      </c>
      <c r="V220">
        <v>-602.63659663702754</v>
      </c>
      <c r="W220">
        <v>69.278186399999996</v>
      </c>
      <c r="X220">
        <v>95.065285200000005</v>
      </c>
      <c r="Y220">
        <v>121.52199999999999</v>
      </c>
      <c r="Z220">
        <v>255.41330099999999</v>
      </c>
      <c r="AA220">
        <v>99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101.64200661797935</v>
      </c>
    </row>
    <row r="221" spans="1:40" x14ac:dyDescent="0.3">
      <c r="A221">
        <v>31</v>
      </c>
      <c r="B221">
        <v>10</v>
      </c>
      <c r="C221">
        <v>1</v>
      </c>
      <c r="D221">
        <v>29</v>
      </c>
      <c r="E221">
        <v>14</v>
      </c>
      <c r="F221">
        <v>0.3</v>
      </c>
      <c r="G221">
        <v>10</v>
      </c>
      <c r="H221">
        <v>7</v>
      </c>
      <c r="I221">
        <v>0.3</v>
      </c>
      <c r="J221">
        <v>326886261.50563133</v>
      </c>
      <c r="K221">
        <v>165447000</v>
      </c>
      <c r="L221">
        <v>79944842.291348562</v>
      </c>
      <c r="M221">
        <v>77259600</v>
      </c>
      <c r="N221">
        <v>15764506.799999999</v>
      </c>
      <c r="O221">
        <v>231.33841899999999</v>
      </c>
      <c r="P221">
        <v>2.6420066179793467</v>
      </c>
      <c r="Q221">
        <v>43.744245599999999</v>
      </c>
      <c r="R221">
        <v>802.391389</v>
      </c>
      <c r="S221">
        <v>1.35786487E-10</v>
      </c>
      <c r="T221">
        <v>21.405490226124755</v>
      </c>
      <c r="U221">
        <v>100.934</v>
      </c>
      <c r="V221">
        <v>-602.63659663702754</v>
      </c>
      <c r="W221">
        <v>69.278186399999996</v>
      </c>
      <c r="X221">
        <v>95.065285200000005</v>
      </c>
      <c r="Y221">
        <v>121.52199999999999</v>
      </c>
      <c r="Z221">
        <v>255.41330099999999</v>
      </c>
      <c r="AA221">
        <v>99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101.64200661797935</v>
      </c>
    </row>
    <row r="222" spans="1:40" x14ac:dyDescent="0.3">
      <c r="A222">
        <v>27</v>
      </c>
      <c r="B222">
        <v>10</v>
      </c>
      <c r="C222">
        <v>15</v>
      </c>
      <c r="D222">
        <v>10</v>
      </c>
      <c r="E222">
        <v>5</v>
      </c>
      <c r="F222">
        <v>1.2</v>
      </c>
      <c r="G222">
        <v>29</v>
      </c>
      <c r="H222">
        <v>14</v>
      </c>
      <c r="I222">
        <v>0.3</v>
      </c>
      <c r="J222">
        <v>326886261.50563133</v>
      </c>
      <c r="K222">
        <v>165447000</v>
      </c>
      <c r="L222">
        <v>79944842.291348562</v>
      </c>
      <c r="M222">
        <v>77259600</v>
      </c>
      <c r="N222">
        <v>15764506.799999999</v>
      </c>
      <c r="O222">
        <v>231.33841899999999</v>
      </c>
      <c r="P222">
        <v>2.6420066179793467</v>
      </c>
      <c r="Q222">
        <v>43.744245599999999</v>
      </c>
      <c r="R222">
        <v>802.391389</v>
      </c>
      <c r="S222">
        <v>1.35786487E-10</v>
      </c>
      <c r="T222">
        <v>21.405490226124755</v>
      </c>
      <c r="U222">
        <v>100.934</v>
      </c>
      <c r="V222">
        <v>-602.63659663702754</v>
      </c>
      <c r="W222">
        <v>69.278186399999996</v>
      </c>
      <c r="X222">
        <v>95.065285200000005</v>
      </c>
      <c r="Y222">
        <v>121.52199999999999</v>
      </c>
      <c r="Z222">
        <v>255.41330099999999</v>
      </c>
      <c r="AA222">
        <v>99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101.64200661797935</v>
      </c>
    </row>
    <row r="223" spans="1:40" x14ac:dyDescent="0.3">
      <c r="A223">
        <v>39</v>
      </c>
      <c r="B223">
        <v>10</v>
      </c>
      <c r="C223">
        <v>15</v>
      </c>
      <c r="D223">
        <v>21</v>
      </c>
      <c r="E223">
        <v>5</v>
      </c>
      <c r="F223">
        <v>1.2</v>
      </c>
      <c r="G223">
        <v>10</v>
      </c>
      <c r="H223">
        <v>7</v>
      </c>
      <c r="I223">
        <v>1.4</v>
      </c>
      <c r="J223">
        <v>326886261.50563133</v>
      </c>
      <c r="K223">
        <v>165447000</v>
      </c>
      <c r="L223">
        <v>79944842.291348562</v>
      </c>
      <c r="M223">
        <v>77259600</v>
      </c>
      <c r="N223">
        <v>15764506.799999999</v>
      </c>
      <c r="O223">
        <v>231.33841899999999</v>
      </c>
      <c r="P223">
        <v>2.6420066179793467</v>
      </c>
      <c r="Q223">
        <v>43.744245599999999</v>
      </c>
      <c r="R223">
        <v>802.391389</v>
      </c>
      <c r="S223">
        <v>1.35786487E-10</v>
      </c>
      <c r="T223">
        <v>21.405490226124755</v>
      </c>
      <c r="U223">
        <v>100.934</v>
      </c>
      <c r="V223">
        <v>-602.63659663702754</v>
      </c>
      <c r="W223">
        <v>69.278186399999996</v>
      </c>
      <c r="X223">
        <v>95.065285200000005</v>
      </c>
      <c r="Y223">
        <v>121.52199999999999</v>
      </c>
      <c r="Z223">
        <v>255.41330099999999</v>
      </c>
      <c r="AA223">
        <v>99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101.64200661797935</v>
      </c>
    </row>
    <row r="224" spans="1:40" x14ac:dyDescent="0.3">
      <c r="A224">
        <v>39</v>
      </c>
      <c r="B224">
        <v>18</v>
      </c>
      <c r="C224">
        <v>13.792418379229874</v>
      </c>
      <c r="D224">
        <v>11</v>
      </c>
      <c r="E224">
        <v>9</v>
      </c>
      <c r="F224">
        <v>0.77572561754292346</v>
      </c>
      <c r="G224">
        <v>11</v>
      </c>
      <c r="H224">
        <v>8</v>
      </c>
      <c r="I224">
        <v>0.3</v>
      </c>
      <c r="J224">
        <v>326886261.50563133</v>
      </c>
      <c r="K224">
        <v>165447000</v>
      </c>
      <c r="L224">
        <v>79944842.291348562</v>
      </c>
      <c r="M224">
        <v>77259600</v>
      </c>
      <c r="N224">
        <v>15764506.799999999</v>
      </c>
      <c r="O224">
        <v>231.33841899999999</v>
      </c>
      <c r="P224">
        <v>2.6420066179793467</v>
      </c>
      <c r="Q224">
        <v>43.744245599999999</v>
      </c>
      <c r="R224">
        <v>802.391389</v>
      </c>
      <c r="S224">
        <v>1.35786487E-10</v>
      </c>
      <c r="T224">
        <v>21.405490226124755</v>
      </c>
      <c r="U224">
        <v>100.934</v>
      </c>
      <c r="V224">
        <v>-602.63659663702754</v>
      </c>
      <c r="W224">
        <v>69.278186399999996</v>
      </c>
      <c r="X224">
        <v>95.065285200000005</v>
      </c>
      <c r="Y224">
        <v>121.52199999999999</v>
      </c>
      <c r="Z224">
        <v>255.41330099999999</v>
      </c>
      <c r="AA224">
        <v>99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101.64200661797935</v>
      </c>
    </row>
    <row r="225" spans="1:40" x14ac:dyDescent="0.3">
      <c r="A225">
        <v>32</v>
      </c>
      <c r="B225">
        <v>10</v>
      </c>
      <c r="C225">
        <v>15</v>
      </c>
      <c r="D225">
        <v>10</v>
      </c>
      <c r="E225">
        <v>5</v>
      </c>
      <c r="F225">
        <v>1.2</v>
      </c>
      <c r="G225">
        <v>19</v>
      </c>
      <c r="H225">
        <v>7</v>
      </c>
      <c r="I225">
        <v>0.3</v>
      </c>
      <c r="J225">
        <v>326886261.50563133</v>
      </c>
      <c r="K225">
        <v>165447000</v>
      </c>
      <c r="L225">
        <v>79944842.291348562</v>
      </c>
      <c r="M225">
        <v>77259600</v>
      </c>
      <c r="N225">
        <v>15764506.799999999</v>
      </c>
      <c r="O225">
        <v>231.33841899999999</v>
      </c>
      <c r="P225">
        <v>2.6420066179793467</v>
      </c>
      <c r="Q225">
        <v>43.744245599999999</v>
      </c>
      <c r="R225">
        <v>802.391389</v>
      </c>
      <c r="S225">
        <v>1.35786487E-10</v>
      </c>
      <c r="T225">
        <v>21.405490226124755</v>
      </c>
      <c r="U225">
        <v>100.934</v>
      </c>
      <c r="V225">
        <v>-602.63659663702754</v>
      </c>
      <c r="W225">
        <v>69.278186399999996</v>
      </c>
      <c r="X225">
        <v>95.065285200000005</v>
      </c>
      <c r="Y225">
        <v>121.52199999999999</v>
      </c>
      <c r="Z225">
        <v>255.41330099999999</v>
      </c>
      <c r="AA225">
        <v>99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101.64200661797935</v>
      </c>
    </row>
    <row r="226" spans="1:40" x14ac:dyDescent="0.3">
      <c r="A226">
        <v>27</v>
      </c>
      <c r="B226">
        <v>19</v>
      </c>
      <c r="C226">
        <v>15</v>
      </c>
      <c r="D226">
        <v>18</v>
      </c>
      <c r="E226">
        <v>5</v>
      </c>
      <c r="F226">
        <v>0.3</v>
      </c>
      <c r="G226">
        <v>10</v>
      </c>
      <c r="H226">
        <v>7</v>
      </c>
      <c r="I226">
        <v>1.4</v>
      </c>
      <c r="J226">
        <v>326886261.50563133</v>
      </c>
      <c r="K226">
        <v>165447000</v>
      </c>
      <c r="L226">
        <v>79944842.291348562</v>
      </c>
      <c r="M226">
        <v>77259600</v>
      </c>
      <c r="N226">
        <v>15764506.799999999</v>
      </c>
      <c r="O226">
        <v>231.33841899999999</v>
      </c>
      <c r="P226">
        <v>2.6420066179793467</v>
      </c>
      <c r="Q226">
        <v>43.744245599999999</v>
      </c>
      <c r="R226">
        <v>802.391389</v>
      </c>
      <c r="S226">
        <v>1.35786487E-10</v>
      </c>
      <c r="T226">
        <v>21.405490226124755</v>
      </c>
      <c r="U226">
        <v>100.934</v>
      </c>
      <c r="V226">
        <v>-602.63659663702754</v>
      </c>
      <c r="W226">
        <v>69.278186399999996</v>
      </c>
      <c r="X226">
        <v>95.065285200000005</v>
      </c>
      <c r="Y226">
        <v>121.52199999999999</v>
      </c>
      <c r="Z226">
        <v>255.41330099999999</v>
      </c>
      <c r="AA226">
        <v>99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101.64200661797935</v>
      </c>
    </row>
    <row r="227" spans="1:40" x14ac:dyDescent="0.3">
      <c r="A227">
        <v>39</v>
      </c>
      <c r="B227">
        <v>19</v>
      </c>
      <c r="C227">
        <v>1</v>
      </c>
      <c r="D227">
        <v>16</v>
      </c>
      <c r="E227">
        <v>14</v>
      </c>
      <c r="F227">
        <v>0.54929697862063454</v>
      </c>
      <c r="G227">
        <v>19</v>
      </c>
      <c r="H227">
        <v>7</v>
      </c>
      <c r="I227">
        <v>1.2321442219003444</v>
      </c>
      <c r="J227">
        <v>326886261.50563133</v>
      </c>
      <c r="K227">
        <v>165447000</v>
      </c>
      <c r="L227">
        <v>79944842.291348562</v>
      </c>
      <c r="M227">
        <v>77259600</v>
      </c>
      <c r="N227">
        <v>15764506.799999999</v>
      </c>
      <c r="O227">
        <v>231.33841899999999</v>
      </c>
      <c r="P227">
        <v>2.6420066179793467</v>
      </c>
      <c r="Q227">
        <v>43.744245599999999</v>
      </c>
      <c r="R227">
        <v>802.391389</v>
      </c>
      <c r="S227">
        <v>1.35786487E-10</v>
      </c>
      <c r="T227">
        <v>21.405490226124755</v>
      </c>
      <c r="U227">
        <v>100.934</v>
      </c>
      <c r="V227">
        <v>-602.63659663702754</v>
      </c>
      <c r="W227">
        <v>69.278186399999996</v>
      </c>
      <c r="X227">
        <v>95.065285200000005</v>
      </c>
      <c r="Y227">
        <v>121.52199999999999</v>
      </c>
      <c r="Z227">
        <v>255.41330099999999</v>
      </c>
      <c r="AA227">
        <v>99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101.64200661797935</v>
      </c>
    </row>
    <row r="228" spans="1:40" x14ac:dyDescent="0.3">
      <c r="A228">
        <v>27</v>
      </c>
      <c r="B228">
        <v>19</v>
      </c>
      <c r="C228">
        <v>1</v>
      </c>
      <c r="D228">
        <v>10</v>
      </c>
      <c r="E228">
        <v>5</v>
      </c>
      <c r="F228">
        <v>1.2</v>
      </c>
      <c r="G228">
        <v>29</v>
      </c>
      <c r="H228">
        <v>7</v>
      </c>
      <c r="I228">
        <v>0.3</v>
      </c>
      <c r="J228">
        <v>326886261.50563133</v>
      </c>
      <c r="K228">
        <v>165447000</v>
      </c>
      <c r="L228">
        <v>79944842.291348562</v>
      </c>
      <c r="M228">
        <v>77259600</v>
      </c>
      <c r="N228">
        <v>15764506.799999999</v>
      </c>
      <c r="O228">
        <v>231.33841899999999</v>
      </c>
      <c r="P228">
        <v>2.6420066179793467</v>
      </c>
      <c r="Q228">
        <v>43.744245599999999</v>
      </c>
      <c r="R228">
        <v>802.391389</v>
      </c>
      <c r="S228">
        <v>1.35786487E-10</v>
      </c>
      <c r="T228">
        <v>21.405490226124755</v>
      </c>
      <c r="U228">
        <v>100.934</v>
      </c>
      <c r="V228">
        <v>-602.63659663702754</v>
      </c>
      <c r="W228">
        <v>69.278186399999996</v>
      </c>
      <c r="X228">
        <v>95.065285200000005</v>
      </c>
      <c r="Y228">
        <v>121.52199999999999</v>
      </c>
      <c r="Z228">
        <v>255.41330099999999</v>
      </c>
      <c r="AA228">
        <v>99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101.64200661797935</v>
      </c>
    </row>
    <row r="229" spans="1:40" x14ac:dyDescent="0.3">
      <c r="A229">
        <v>35</v>
      </c>
      <c r="B229">
        <v>10</v>
      </c>
      <c r="C229">
        <v>1</v>
      </c>
      <c r="D229">
        <v>29</v>
      </c>
      <c r="E229">
        <v>5</v>
      </c>
      <c r="F229">
        <v>1.2</v>
      </c>
      <c r="G229">
        <v>16</v>
      </c>
      <c r="H229">
        <v>14</v>
      </c>
      <c r="I229">
        <v>1.4</v>
      </c>
      <c r="J229">
        <v>326886261.50563133</v>
      </c>
      <c r="K229">
        <v>165447000</v>
      </c>
      <c r="L229">
        <v>79944842.291348562</v>
      </c>
      <c r="M229">
        <v>77259600</v>
      </c>
      <c r="N229">
        <v>15764506.799999999</v>
      </c>
      <c r="O229">
        <v>231.33841899999999</v>
      </c>
      <c r="P229">
        <v>2.6420066179793467</v>
      </c>
      <c r="Q229">
        <v>43.744245599999999</v>
      </c>
      <c r="R229">
        <v>802.391389</v>
      </c>
      <c r="S229">
        <v>1.35786487E-10</v>
      </c>
      <c r="T229">
        <v>21.405490226124755</v>
      </c>
      <c r="U229">
        <v>100.934</v>
      </c>
      <c r="V229">
        <v>-602.63659663702754</v>
      </c>
      <c r="W229">
        <v>69.278186399999996</v>
      </c>
      <c r="X229">
        <v>95.065285200000005</v>
      </c>
      <c r="Y229">
        <v>121.52199999999999</v>
      </c>
      <c r="Z229">
        <v>255.41330099999999</v>
      </c>
      <c r="AA229">
        <v>99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101.64200661797935</v>
      </c>
    </row>
    <row r="230" spans="1:40" x14ac:dyDescent="0.3">
      <c r="A230">
        <v>31</v>
      </c>
      <c r="B230">
        <v>19</v>
      </c>
      <c r="C230">
        <v>1.5263157869704516</v>
      </c>
      <c r="D230">
        <v>16</v>
      </c>
      <c r="E230">
        <v>14</v>
      </c>
      <c r="F230">
        <v>0.3</v>
      </c>
      <c r="G230">
        <v>29</v>
      </c>
      <c r="H230">
        <v>14</v>
      </c>
      <c r="I230">
        <v>0.3</v>
      </c>
      <c r="J230">
        <v>326886261.50563133</v>
      </c>
      <c r="K230">
        <v>165447000</v>
      </c>
      <c r="L230">
        <v>79944842.291348562</v>
      </c>
      <c r="M230">
        <v>77259600</v>
      </c>
      <c r="N230">
        <v>15764506.799999999</v>
      </c>
      <c r="O230">
        <v>231.33841899999999</v>
      </c>
      <c r="P230">
        <v>2.6420066179793467</v>
      </c>
      <c r="Q230">
        <v>43.744245599999999</v>
      </c>
      <c r="R230">
        <v>802.391389</v>
      </c>
      <c r="S230">
        <v>1.35786487E-10</v>
      </c>
      <c r="T230">
        <v>21.405490226124755</v>
      </c>
      <c r="U230">
        <v>100.934</v>
      </c>
      <c r="V230">
        <v>-602.63659663702754</v>
      </c>
      <c r="W230">
        <v>69.278186399999996</v>
      </c>
      <c r="X230">
        <v>95.065285200000005</v>
      </c>
      <c r="Y230">
        <v>121.52199999999999</v>
      </c>
      <c r="Z230">
        <v>255.41330099999999</v>
      </c>
      <c r="AA230">
        <v>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101.64200661797935</v>
      </c>
    </row>
    <row r="231" spans="1:40" x14ac:dyDescent="0.3">
      <c r="A231">
        <v>39</v>
      </c>
      <c r="B231">
        <v>10</v>
      </c>
      <c r="C231">
        <v>1</v>
      </c>
      <c r="D231">
        <v>10</v>
      </c>
      <c r="E231">
        <v>5</v>
      </c>
      <c r="F231">
        <v>0.3</v>
      </c>
      <c r="G231">
        <v>17</v>
      </c>
      <c r="H231">
        <v>7</v>
      </c>
      <c r="I231">
        <v>1.4</v>
      </c>
      <c r="J231">
        <v>326886261.50563133</v>
      </c>
      <c r="K231">
        <v>165447000</v>
      </c>
      <c r="L231">
        <v>79944842.291348562</v>
      </c>
      <c r="M231">
        <v>77259600</v>
      </c>
      <c r="N231">
        <v>15764506.799999999</v>
      </c>
      <c r="O231">
        <v>231.33841899999999</v>
      </c>
      <c r="P231">
        <v>2.6420066179793467</v>
      </c>
      <c r="Q231">
        <v>43.744245599999999</v>
      </c>
      <c r="R231">
        <v>802.391389</v>
      </c>
      <c r="S231">
        <v>1.35786487E-10</v>
      </c>
      <c r="T231">
        <v>21.405490226124755</v>
      </c>
      <c r="U231">
        <v>100.934</v>
      </c>
      <c r="V231">
        <v>-602.63659663702754</v>
      </c>
      <c r="W231">
        <v>69.278186399999996</v>
      </c>
      <c r="X231">
        <v>95.065285200000005</v>
      </c>
      <c r="Y231">
        <v>121.52199999999999</v>
      </c>
      <c r="Z231">
        <v>255.41330099999999</v>
      </c>
      <c r="AA231">
        <v>99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101.64200661797935</v>
      </c>
    </row>
    <row r="232" spans="1:40" x14ac:dyDescent="0.3">
      <c r="A232">
        <v>39</v>
      </c>
      <c r="B232">
        <v>19</v>
      </c>
      <c r="C232">
        <v>1</v>
      </c>
      <c r="D232">
        <v>29</v>
      </c>
      <c r="E232">
        <v>14</v>
      </c>
      <c r="F232">
        <v>1.2</v>
      </c>
      <c r="G232">
        <v>29</v>
      </c>
      <c r="H232">
        <v>14</v>
      </c>
      <c r="I232">
        <v>1.4</v>
      </c>
      <c r="J232">
        <v>326886261.50563133</v>
      </c>
      <c r="K232">
        <v>165447000</v>
      </c>
      <c r="L232">
        <v>79944842.291348562</v>
      </c>
      <c r="M232">
        <v>77259600</v>
      </c>
      <c r="N232">
        <v>15764506.799999999</v>
      </c>
      <c r="O232">
        <v>231.33841899999999</v>
      </c>
      <c r="P232">
        <v>2.6420066179793467</v>
      </c>
      <c r="Q232">
        <v>43.744245599999999</v>
      </c>
      <c r="R232">
        <v>802.391389</v>
      </c>
      <c r="S232">
        <v>1.35786487E-10</v>
      </c>
      <c r="T232">
        <v>21.405490226124755</v>
      </c>
      <c r="U232">
        <v>100.934</v>
      </c>
      <c r="V232">
        <v>-602.63659663702754</v>
      </c>
      <c r="W232">
        <v>69.278186399999996</v>
      </c>
      <c r="X232">
        <v>95.065285200000005</v>
      </c>
      <c r="Y232">
        <v>121.52199999999999</v>
      </c>
      <c r="Z232">
        <v>255.41330099999999</v>
      </c>
      <c r="AA232">
        <v>99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101.64200661797935</v>
      </c>
    </row>
    <row r="233" spans="1:40" x14ac:dyDescent="0.3">
      <c r="A233">
        <v>27</v>
      </c>
      <c r="B233">
        <v>19</v>
      </c>
      <c r="C233">
        <v>1</v>
      </c>
      <c r="D233">
        <v>29</v>
      </c>
      <c r="E233">
        <v>14</v>
      </c>
      <c r="F233">
        <v>0.3</v>
      </c>
      <c r="G233">
        <v>23</v>
      </c>
      <c r="H233">
        <v>7</v>
      </c>
      <c r="I233">
        <v>1.4</v>
      </c>
      <c r="J233">
        <v>326886261.50563133</v>
      </c>
      <c r="K233">
        <v>165447000</v>
      </c>
      <c r="L233">
        <v>79944842.291348562</v>
      </c>
      <c r="M233">
        <v>77259600</v>
      </c>
      <c r="N233">
        <v>15764506.799999999</v>
      </c>
      <c r="O233">
        <v>231.33841899999999</v>
      </c>
      <c r="P233">
        <v>2.6420066179793467</v>
      </c>
      <c r="Q233">
        <v>43.744245599999999</v>
      </c>
      <c r="R233">
        <v>802.391389</v>
      </c>
      <c r="S233">
        <v>1.35786487E-10</v>
      </c>
      <c r="T233">
        <v>21.405490226124755</v>
      </c>
      <c r="U233">
        <v>100.934</v>
      </c>
      <c r="V233">
        <v>-602.63659663702754</v>
      </c>
      <c r="W233">
        <v>69.278186399999996</v>
      </c>
      <c r="X233">
        <v>95.065285200000005</v>
      </c>
      <c r="Y233">
        <v>121.52199999999999</v>
      </c>
      <c r="Z233">
        <v>255.41330099999999</v>
      </c>
      <c r="AA233">
        <v>99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101.64200661797935</v>
      </c>
    </row>
    <row r="234" spans="1:40" x14ac:dyDescent="0.3">
      <c r="A234">
        <v>39</v>
      </c>
      <c r="B234">
        <v>10</v>
      </c>
      <c r="C234">
        <v>1</v>
      </c>
      <c r="D234">
        <v>29</v>
      </c>
      <c r="E234">
        <v>14</v>
      </c>
      <c r="F234">
        <v>0.3</v>
      </c>
      <c r="G234">
        <v>29</v>
      </c>
      <c r="H234">
        <v>7</v>
      </c>
      <c r="I234">
        <v>0.3</v>
      </c>
      <c r="J234">
        <v>326886261.50563133</v>
      </c>
      <c r="K234">
        <v>165447000</v>
      </c>
      <c r="L234">
        <v>79944842.291348562</v>
      </c>
      <c r="M234">
        <v>77259600</v>
      </c>
      <c r="N234">
        <v>15764506.799999999</v>
      </c>
      <c r="O234">
        <v>231.33841899999999</v>
      </c>
      <c r="P234">
        <v>2.6420066179793467</v>
      </c>
      <c r="Q234">
        <v>43.744245599999999</v>
      </c>
      <c r="R234">
        <v>802.391389</v>
      </c>
      <c r="S234">
        <v>1.35786487E-10</v>
      </c>
      <c r="T234">
        <v>21.405490226124755</v>
      </c>
      <c r="U234">
        <v>100.934</v>
      </c>
      <c r="V234">
        <v>-602.63659663702754</v>
      </c>
      <c r="W234">
        <v>69.278186399999996</v>
      </c>
      <c r="X234">
        <v>95.065285200000005</v>
      </c>
      <c r="Y234">
        <v>121.52199999999999</v>
      </c>
      <c r="Z234">
        <v>255.41330099999999</v>
      </c>
      <c r="AA234">
        <v>99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101.64200661797935</v>
      </c>
    </row>
    <row r="235" spans="1:40" x14ac:dyDescent="0.3">
      <c r="A235">
        <v>30</v>
      </c>
      <c r="B235">
        <v>19</v>
      </c>
      <c r="C235">
        <v>15</v>
      </c>
      <c r="D235">
        <v>10</v>
      </c>
      <c r="E235">
        <v>5</v>
      </c>
      <c r="F235">
        <v>0.3</v>
      </c>
      <c r="G235">
        <v>29</v>
      </c>
      <c r="H235">
        <v>7</v>
      </c>
      <c r="I235">
        <v>1.4</v>
      </c>
      <c r="J235">
        <v>326886261.50563133</v>
      </c>
      <c r="K235">
        <v>165447000</v>
      </c>
      <c r="L235">
        <v>79944842.291348562</v>
      </c>
      <c r="M235">
        <v>77259600</v>
      </c>
      <c r="N235">
        <v>15764506.799999999</v>
      </c>
      <c r="O235">
        <v>231.33841899999999</v>
      </c>
      <c r="P235">
        <v>2.6420066179793467</v>
      </c>
      <c r="Q235">
        <v>43.744245599999999</v>
      </c>
      <c r="R235">
        <v>802.391389</v>
      </c>
      <c r="S235">
        <v>1.35786487E-10</v>
      </c>
      <c r="T235">
        <v>21.405490226124755</v>
      </c>
      <c r="U235">
        <v>100.934</v>
      </c>
      <c r="V235">
        <v>-602.63659663702754</v>
      </c>
      <c r="W235">
        <v>69.278186399999996</v>
      </c>
      <c r="X235">
        <v>95.065285200000005</v>
      </c>
      <c r="Y235">
        <v>121.52199999999999</v>
      </c>
      <c r="Z235">
        <v>255.41330099999999</v>
      </c>
      <c r="AA235">
        <v>99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101.64200661797935</v>
      </c>
    </row>
    <row r="236" spans="1:40" x14ac:dyDescent="0.3">
      <c r="A236">
        <v>39</v>
      </c>
      <c r="B236">
        <v>19</v>
      </c>
      <c r="C236">
        <v>9.6459942798009823</v>
      </c>
      <c r="D236">
        <v>16</v>
      </c>
      <c r="E236">
        <v>13</v>
      </c>
      <c r="F236">
        <v>1.0084976526749179</v>
      </c>
      <c r="G236">
        <v>16</v>
      </c>
      <c r="H236">
        <v>14</v>
      </c>
      <c r="I236">
        <v>1.3873654979678514</v>
      </c>
      <c r="J236">
        <v>326886261.50563133</v>
      </c>
      <c r="K236">
        <v>165447000</v>
      </c>
      <c r="L236">
        <v>79944842.291348562</v>
      </c>
      <c r="M236">
        <v>77259600</v>
      </c>
      <c r="N236">
        <v>15764506.799999999</v>
      </c>
      <c r="O236">
        <v>231.33841899999999</v>
      </c>
      <c r="P236">
        <v>2.6420066179793467</v>
      </c>
      <c r="Q236">
        <v>43.744245599999999</v>
      </c>
      <c r="R236">
        <v>802.391389</v>
      </c>
      <c r="S236">
        <v>1.35786487E-10</v>
      </c>
      <c r="T236">
        <v>21.405490226124755</v>
      </c>
      <c r="U236">
        <v>100.934</v>
      </c>
      <c r="V236">
        <v>-602.63659663702754</v>
      </c>
      <c r="W236">
        <v>69.278186399999996</v>
      </c>
      <c r="X236">
        <v>95.065285200000005</v>
      </c>
      <c r="Y236">
        <v>121.52199999999999</v>
      </c>
      <c r="Z236">
        <v>255.41330099999999</v>
      </c>
      <c r="AA236">
        <v>99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101.64200661797935</v>
      </c>
    </row>
    <row r="237" spans="1:40" x14ac:dyDescent="0.3">
      <c r="A237">
        <v>39</v>
      </c>
      <c r="B237">
        <v>19</v>
      </c>
      <c r="C237">
        <v>1</v>
      </c>
      <c r="D237">
        <v>29</v>
      </c>
      <c r="E237">
        <v>5</v>
      </c>
      <c r="F237">
        <v>1.2</v>
      </c>
      <c r="G237">
        <v>22</v>
      </c>
      <c r="H237">
        <v>7</v>
      </c>
      <c r="I237">
        <v>0.3</v>
      </c>
      <c r="J237">
        <v>326886261.50563133</v>
      </c>
      <c r="K237">
        <v>165447000</v>
      </c>
      <c r="L237">
        <v>79944842.291348562</v>
      </c>
      <c r="M237">
        <v>77259600</v>
      </c>
      <c r="N237">
        <v>15764506.799999999</v>
      </c>
      <c r="O237">
        <v>231.33841899999999</v>
      </c>
      <c r="P237">
        <v>2.6420066179793467</v>
      </c>
      <c r="Q237">
        <v>43.744245599999999</v>
      </c>
      <c r="R237">
        <v>802.391389</v>
      </c>
      <c r="S237">
        <v>1.35786487E-10</v>
      </c>
      <c r="T237">
        <v>21.405490226124755</v>
      </c>
      <c r="U237">
        <v>100.934</v>
      </c>
      <c r="V237">
        <v>-602.63659663702754</v>
      </c>
      <c r="W237">
        <v>69.278186399999996</v>
      </c>
      <c r="X237">
        <v>95.065285200000005</v>
      </c>
      <c r="Y237">
        <v>121.52199999999999</v>
      </c>
      <c r="Z237">
        <v>255.41330099999999</v>
      </c>
      <c r="AA237">
        <v>99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101.64200661797935</v>
      </c>
    </row>
    <row r="238" spans="1:40" x14ac:dyDescent="0.3">
      <c r="A238">
        <v>27</v>
      </c>
      <c r="B238">
        <v>19</v>
      </c>
      <c r="C238">
        <v>5.3201355192669579</v>
      </c>
      <c r="D238">
        <v>29</v>
      </c>
      <c r="E238">
        <v>5</v>
      </c>
      <c r="F238">
        <v>0.3</v>
      </c>
      <c r="G238">
        <v>29</v>
      </c>
      <c r="H238">
        <v>14</v>
      </c>
      <c r="I238">
        <v>1.4</v>
      </c>
      <c r="J238">
        <v>326886261.50563133</v>
      </c>
      <c r="K238">
        <v>165447000</v>
      </c>
      <c r="L238">
        <v>79944842.291348562</v>
      </c>
      <c r="M238">
        <v>77259600</v>
      </c>
      <c r="N238">
        <v>15764506.799999999</v>
      </c>
      <c r="O238">
        <v>231.33841899999999</v>
      </c>
      <c r="P238">
        <v>2.6420066179793467</v>
      </c>
      <c r="Q238">
        <v>43.744245599999999</v>
      </c>
      <c r="R238">
        <v>802.391389</v>
      </c>
      <c r="S238">
        <v>1.35786487E-10</v>
      </c>
      <c r="T238">
        <v>21.405490226124755</v>
      </c>
      <c r="U238">
        <v>100.934</v>
      </c>
      <c r="V238">
        <v>-602.63659663702754</v>
      </c>
      <c r="W238">
        <v>69.278186399999996</v>
      </c>
      <c r="X238">
        <v>95.065285200000005</v>
      </c>
      <c r="Y238">
        <v>121.52199999999999</v>
      </c>
      <c r="Z238">
        <v>255.41330099999999</v>
      </c>
      <c r="AA238">
        <v>99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101.64200661797935</v>
      </c>
    </row>
    <row r="239" spans="1:40" x14ac:dyDescent="0.3">
      <c r="A239">
        <v>39</v>
      </c>
      <c r="B239">
        <v>10</v>
      </c>
      <c r="C239">
        <v>4.4923764219204338</v>
      </c>
      <c r="D239">
        <v>29</v>
      </c>
      <c r="E239">
        <v>5</v>
      </c>
      <c r="F239">
        <v>0.3</v>
      </c>
      <c r="G239">
        <v>29</v>
      </c>
      <c r="H239">
        <v>14</v>
      </c>
      <c r="I239">
        <v>1.4</v>
      </c>
      <c r="J239">
        <v>326886261.50563133</v>
      </c>
      <c r="K239">
        <v>165447000</v>
      </c>
      <c r="L239">
        <v>79944842.291348562</v>
      </c>
      <c r="M239">
        <v>77259600</v>
      </c>
      <c r="N239">
        <v>15764506.799999999</v>
      </c>
      <c r="O239">
        <v>231.33841899999999</v>
      </c>
      <c r="P239">
        <v>2.6420066179793467</v>
      </c>
      <c r="Q239">
        <v>43.744245599999999</v>
      </c>
      <c r="R239">
        <v>802.391389</v>
      </c>
      <c r="S239">
        <v>1.35786487E-10</v>
      </c>
      <c r="T239">
        <v>21.405490226124755</v>
      </c>
      <c r="U239">
        <v>100.934</v>
      </c>
      <c r="V239">
        <v>-602.63659663702754</v>
      </c>
      <c r="W239">
        <v>69.278186399999996</v>
      </c>
      <c r="X239">
        <v>95.065285200000005</v>
      </c>
      <c r="Y239">
        <v>121.52199999999999</v>
      </c>
      <c r="Z239">
        <v>255.41330099999999</v>
      </c>
      <c r="AA239">
        <v>99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101.64200661797935</v>
      </c>
    </row>
    <row r="240" spans="1:40" x14ac:dyDescent="0.3">
      <c r="A240">
        <v>39</v>
      </c>
      <c r="B240">
        <v>19</v>
      </c>
      <c r="C240">
        <v>11.394113428200892</v>
      </c>
      <c r="D240">
        <v>29</v>
      </c>
      <c r="E240">
        <v>14</v>
      </c>
      <c r="F240">
        <v>1.2</v>
      </c>
      <c r="G240">
        <v>10</v>
      </c>
      <c r="H240">
        <v>7</v>
      </c>
      <c r="I240">
        <v>1.4</v>
      </c>
      <c r="J240">
        <v>326886261.50563133</v>
      </c>
      <c r="K240">
        <v>165447000</v>
      </c>
      <c r="L240">
        <v>79944842.291348562</v>
      </c>
      <c r="M240">
        <v>77259600</v>
      </c>
      <c r="N240">
        <v>15764506.799999999</v>
      </c>
      <c r="O240">
        <v>231.33841899999999</v>
      </c>
      <c r="P240">
        <v>2.6420066179793467</v>
      </c>
      <c r="Q240">
        <v>43.744245599999999</v>
      </c>
      <c r="R240">
        <v>802.391389</v>
      </c>
      <c r="S240">
        <v>1.35786487E-10</v>
      </c>
      <c r="T240">
        <v>21.405490226124755</v>
      </c>
      <c r="U240">
        <v>100.934</v>
      </c>
      <c r="V240">
        <v>-602.63659663702754</v>
      </c>
      <c r="W240">
        <v>69.278186399999996</v>
      </c>
      <c r="X240">
        <v>95.065285200000005</v>
      </c>
      <c r="Y240">
        <v>121.52199999999999</v>
      </c>
      <c r="Z240">
        <v>255.41330099999999</v>
      </c>
      <c r="AA240">
        <v>99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101.64200661797935</v>
      </c>
    </row>
    <row r="241" spans="1:40" x14ac:dyDescent="0.3">
      <c r="A241">
        <v>27</v>
      </c>
      <c r="B241">
        <v>10</v>
      </c>
      <c r="C241">
        <v>1</v>
      </c>
      <c r="D241">
        <v>18</v>
      </c>
      <c r="E241">
        <v>5</v>
      </c>
      <c r="F241">
        <v>1.2</v>
      </c>
      <c r="G241">
        <v>21</v>
      </c>
      <c r="H241">
        <v>14</v>
      </c>
      <c r="I241">
        <v>1.4</v>
      </c>
      <c r="J241">
        <v>326886261.50563133</v>
      </c>
      <c r="K241">
        <v>165447000</v>
      </c>
      <c r="L241">
        <v>79944842.291348562</v>
      </c>
      <c r="M241">
        <v>77259600</v>
      </c>
      <c r="N241">
        <v>15764506.799999999</v>
      </c>
      <c r="O241">
        <v>231.33841899999999</v>
      </c>
      <c r="P241">
        <v>2.6420066179793467</v>
      </c>
      <c r="Q241">
        <v>43.744245599999999</v>
      </c>
      <c r="R241">
        <v>802.391389</v>
      </c>
      <c r="S241">
        <v>1.35786487E-10</v>
      </c>
      <c r="T241">
        <v>21.405490226124755</v>
      </c>
      <c r="U241">
        <v>100.934</v>
      </c>
      <c r="V241">
        <v>-602.63659663702754</v>
      </c>
      <c r="W241">
        <v>69.278186399999996</v>
      </c>
      <c r="X241">
        <v>95.065285200000005</v>
      </c>
      <c r="Y241">
        <v>121.52199999999999</v>
      </c>
      <c r="Z241">
        <v>255.41330099999999</v>
      </c>
      <c r="AA241">
        <v>99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101.64200661797935</v>
      </c>
    </row>
    <row r="242" spans="1:40" x14ac:dyDescent="0.3">
      <c r="A242">
        <v>36</v>
      </c>
      <c r="B242">
        <v>10</v>
      </c>
      <c r="C242">
        <v>3.1248416490644502</v>
      </c>
      <c r="D242">
        <v>16</v>
      </c>
      <c r="E242">
        <v>14</v>
      </c>
      <c r="F242">
        <v>0.40541912126770341</v>
      </c>
      <c r="G242">
        <v>19</v>
      </c>
      <c r="H242">
        <v>14</v>
      </c>
      <c r="I242">
        <v>0.69044833346714074</v>
      </c>
      <c r="J242">
        <v>326886261.50563133</v>
      </c>
      <c r="K242">
        <v>165447000</v>
      </c>
      <c r="L242">
        <v>79944842.291348562</v>
      </c>
      <c r="M242">
        <v>77259600</v>
      </c>
      <c r="N242">
        <v>15764506.799999999</v>
      </c>
      <c r="O242">
        <v>231.33841899999999</v>
      </c>
      <c r="P242">
        <v>2.6420066179793467</v>
      </c>
      <c r="Q242">
        <v>43.744245599999999</v>
      </c>
      <c r="R242">
        <v>802.391389</v>
      </c>
      <c r="S242">
        <v>1.35786487E-10</v>
      </c>
      <c r="T242">
        <v>21.405490226124755</v>
      </c>
      <c r="U242">
        <v>100.934</v>
      </c>
      <c r="V242">
        <v>-602.63659663702754</v>
      </c>
      <c r="W242">
        <v>69.278186399999996</v>
      </c>
      <c r="X242">
        <v>95.065285200000005</v>
      </c>
      <c r="Y242">
        <v>121.52199999999999</v>
      </c>
      <c r="Z242">
        <v>255.41330099999999</v>
      </c>
      <c r="AA242">
        <v>99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101.64200661797935</v>
      </c>
    </row>
    <row r="243" spans="1:40" x14ac:dyDescent="0.3">
      <c r="A243">
        <v>39</v>
      </c>
      <c r="B243">
        <v>10</v>
      </c>
      <c r="C243">
        <v>11.813218410669275</v>
      </c>
      <c r="D243">
        <v>10</v>
      </c>
      <c r="E243">
        <v>5</v>
      </c>
      <c r="F243">
        <v>1.2</v>
      </c>
      <c r="G243">
        <v>29</v>
      </c>
      <c r="H243">
        <v>7</v>
      </c>
      <c r="I243">
        <v>1.4</v>
      </c>
      <c r="J243">
        <v>326886261.50563133</v>
      </c>
      <c r="K243">
        <v>165447000</v>
      </c>
      <c r="L243">
        <v>79944842.291348562</v>
      </c>
      <c r="M243">
        <v>77259600</v>
      </c>
      <c r="N243">
        <v>15764506.799999999</v>
      </c>
      <c r="O243">
        <v>231.33841899999999</v>
      </c>
      <c r="P243">
        <v>2.6420066179793467</v>
      </c>
      <c r="Q243">
        <v>43.744245599999999</v>
      </c>
      <c r="R243">
        <v>802.391389</v>
      </c>
      <c r="S243">
        <v>1.35786487E-10</v>
      </c>
      <c r="T243">
        <v>21.405490226124755</v>
      </c>
      <c r="U243">
        <v>100.934</v>
      </c>
      <c r="V243">
        <v>-602.63659663702754</v>
      </c>
      <c r="W243">
        <v>69.278186399999996</v>
      </c>
      <c r="X243">
        <v>95.065285200000005</v>
      </c>
      <c r="Y243">
        <v>121.52199999999999</v>
      </c>
      <c r="Z243">
        <v>255.41330099999999</v>
      </c>
      <c r="AA243">
        <v>99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101.64200661797935</v>
      </c>
    </row>
    <row r="244" spans="1:40" x14ac:dyDescent="0.3">
      <c r="A244">
        <v>27</v>
      </c>
      <c r="B244">
        <v>10</v>
      </c>
      <c r="C244">
        <v>15</v>
      </c>
      <c r="D244">
        <v>29</v>
      </c>
      <c r="E244">
        <v>5</v>
      </c>
      <c r="F244">
        <v>1.2</v>
      </c>
      <c r="G244">
        <v>14</v>
      </c>
      <c r="H244">
        <v>7</v>
      </c>
      <c r="I244">
        <v>0.3</v>
      </c>
      <c r="J244">
        <v>326886261.50563133</v>
      </c>
      <c r="K244">
        <v>165447000</v>
      </c>
      <c r="L244">
        <v>79944842.291348562</v>
      </c>
      <c r="M244">
        <v>77259600</v>
      </c>
      <c r="N244">
        <v>15764506.799999999</v>
      </c>
      <c r="O244">
        <v>231.33841899999999</v>
      </c>
      <c r="P244">
        <v>2.6420066179793467</v>
      </c>
      <c r="Q244">
        <v>43.744245599999999</v>
      </c>
      <c r="R244">
        <v>802.391389</v>
      </c>
      <c r="S244">
        <v>1.35786487E-10</v>
      </c>
      <c r="T244">
        <v>21.405490226124755</v>
      </c>
      <c r="U244">
        <v>100.934</v>
      </c>
      <c r="V244">
        <v>-602.63659663702754</v>
      </c>
      <c r="W244">
        <v>69.278186399999996</v>
      </c>
      <c r="X244">
        <v>95.065285200000005</v>
      </c>
      <c r="Y244">
        <v>121.52199999999999</v>
      </c>
      <c r="Z244">
        <v>255.41330099999999</v>
      </c>
      <c r="AA244">
        <v>99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101.64200661797935</v>
      </c>
    </row>
    <row r="245" spans="1:40" x14ac:dyDescent="0.3">
      <c r="A245">
        <v>33</v>
      </c>
      <c r="B245">
        <v>10</v>
      </c>
      <c r="C245">
        <v>7.3286507831204037</v>
      </c>
      <c r="D245">
        <v>10</v>
      </c>
      <c r="E245">
        <v>5</v>
      </c>
      <c r="F245">
        <v>0.3</v>
      </c>
      <c r="G245">
        <v>21</v>
      </c>
      <c r="H245">
        <v>14</v>
      </c>
      <c r="I245">
        <v>1.4</v>
      </c>
      <c r="J245">
        <v>326886261.50563133</v>
      </c>
      <c r="K245">
        <v>165447000</v>
      </c>
      <c r="L245">
        <v>79944842.291348562</v>
      </c>
      <c r="M245">
        <v>77259600</v>
      </c>
      <c r="N245">
        <v>15764506.799999999</v>
      </c>
      <c r="O245">
        <v>231.33841899999999</v>
      </c>
      <c r="P245">
        <v>2.6420066179793467</v>
      </c>
      <c r="Q245">
        <v>43.744245599999999</v>
      </c>
      <c r="R245">
        <v>802.391389</v>
      </c>
      <c r="S245">
        <v>1.35786487E-10</v>
      </c>
      <c r="T245">
        <v>21.405490226124755</v>
      </c>
      <c r="U245">
        <v>100.934</v>
      </c>
      <c r="V245">
        <v>-602.63659663702754</v>
      </c>
      <c r="W245">
        <v>69.278186399999996</v>
      </c>
      <c r="X245">
        <v>95.065285200000005</v>
      </c>
      <c r="Y245">
        <v>121.52199999999999</v>
      </c>
      <c r="Z245">
        <v>255.41330099999999</v>
      </c>
      <c r="AA245">
        <v>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101.64200661797935</v>
      </c>
    </row>
    <row r="246" spans="1:40" x14ac:dyDescent="0.3">
      <c r="A246">
        <v>27</v>
      </c>
      <c r="B246">
        <v>13</v>
      </c>
      <c r="C246">
        <v>6.3593276239417094</v>
      </c>
      <c r="D246">
        <v>29</v>
      </c>
      <c r="E246">
        <v>7</v>
      </c>
      <c r="F246">
        <v>0.3</v>
      </c>
      <c r="G246">
        <v>16</v>
      </c>
      <c r="H246">
        <v>10</v>
      </c>
      <c r="I246">
        <v>0.3</v>
      </c>
      <c r="J246">
        <v>326886261.50563133</v>
      </c>
      <c r="K246">
        <v>165447000</v>
      </c>
      <c r="L246">
        <v>79944842.291348562</v>
      </c>
      <c r="M246">
        <v>77259600</v>
      </c>
      <c r="N246">
        <v>15764506.799999999</v>
      </c>
      <c r="O246">
        <v>231.33841899999999</v>
      </c>
      <c r="P246">
        <v>2.6420066179793467</v>
      </c>
      <c r="Q246">
        <v>43.744245599999999</v>
      </c>
      <c r="R246">
        <v>802.391389</v>
      </c>
      <c r="S246">
        <v>1.35786487E-10</v>
      </c>
      <c r="T246">
        <v>21.405490226124755</v>
      </c>
      <c r="U246">
        <v>100.934</v>
      </c>
      <c r="V246">
        <v>-602.63659663702754</v>
      </c>
      <c r="W246">
        <v>69.278186399999996</v>
      </c>
      <c r="X246">
        <v>95.065285200000005</v>
      </c>
      <c r="Y246">
        <v>121.52199999999999</v>
      </c>
      <c r="Z246">
        <v>255.41330099999999</v>
      </c>
      <c r="AA246">
        <v>99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101.64200661797935</v>
      </c>
    </row>
    <row r="247" spans="1:40" x14ac:dyDescent="0.3">
      <c r="A247">
        <v>39</v>
      </c>
      <c r="B247">
        <v>19</v>
      </c>
      <c r="C247">
        <v>14.27295703442093</v>
      </c>
      <c r="D247">
        <v>16</v>
      </c>
      <c r="E247">
        <v>14</v>
      </c>
      <c r="F247">
        <v>0.3</v>
      </c>
      <c r="G247">
        <v>29</v>
      </c>
      <c r="H247">
        <v>14</v>
      </c>
      <c r="I247">
        <v>0.3</v>
      </c>
      <c r="J247">
        <v>326886261.50563133</v>
      </c>
      <c r="K247">
        <v>165447000</v>
      </c>
      <c r="L247">
        <v>79944842.291348562</v>
      </c>
      <c r="M247">
        <v>77259600</v>
      </c>
      <c r="N247">
        <v>15764506.799999999</v>
      </c>
      <c r="O247">
        <v>231.33841899999999</v>
      </c>
      <c r="P247">
        <v>2.6420066179793467</v>
      </c>
      <c r="Q247">
        <v>43.744245599999999</v>
      </c>
      <c r="R247">
        <v>802.391389</v>
      </c>
      <c r="S247">
        <v>1.35786487E-10</v>
      </c>
      <c r="T247">
        <v>21.405490226124755</v>
      </c>
      <c r="U247">
        <v>100.934</v>
      </c>
      <c r="V247">
        <v>-602.63659663702754</v>
      </c>
      <c r="W247">
        <v>69.278186399999996</v>
      </c>
      <c r="X247">
        <v>95.065285200000005</v>
      </c>
      <c r="Y247">
        <v>121.52199999999999</v>
      </c>
      <c r="Z247">
        <v>255.41330099999999</v>
      </c>
      <c r="AA247">
        <v>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101.64200661797935</v>
      </c>
    </row>
    <row r="248" spans="1:40" x14ac:dyDescent="0.3">
      <c r="A248">
        <v>30</v>
      </c>
      <c r="B248">
        <v>10</v>
      </c>
      <c r="C248">
        <v>12.344658789750001</v>
      </c>
      <c r="D248">
        <v>21</v>
      </c>
      <c r="E248">
        <v>5</v>
      </c>
      <c r="F248">
        <v>0.32859060598169315</v>
      </c>
      <c r="G248">
        <v>16</v>
      </c>
      <c r="H248">
        <v>14</v>
      </c>
      <c r="I248">
        <v>0.46419121117352841</v>
      </c>
      <c r="J248">
        <v>326886261.50563133</v>
      </c>
      <c r="K248">
        <v>165447000</v>
      </c>
      <c r="L248">
        <v>79944842.291348562</v>
      </c>
      <c r="M248">
        <v>77259600</v>
      </c>
      <c r="N248">
        <v>15764506.799999999</v>
      </c>
      <c r="O248">
        <v>231.33841899999999</v>
      </c>
      <c r="P248">
        <v>2.6420066179793467</v>
      </c>
      <c r="Q248">
        <v>43.744245599999999</v>
      </c>
      <c r="R248">
        <v>802.391389</v>
      </c>
      <c r="S248">
        <v>1.35786487E-10</v>
      </c>
      <c r="T248">
        <v>21.405490226124755</v>
      </c>
      <c r="U248">
        <v>100.934</v>
      </c>
      <c r="V248">
        <v>-602.63659663702754</v>
      </c>
      <c r="W248">
        <v>69.278186399999996</v>
      </c>
      <c r="X248">
        <v>95.065285200000005</v>
      </c>
      <c r="Y248">
        <v>121.52199999999999</v>
      </c>
      <c r="Z248">
        <v>255.41330099999999</v>
      </c>
      <c r="AA248">
        <v>99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101.64200661797935</v>
      </c>
    </row>
    <row r="249" spans="1:40" x14ac:dyDescent="0.3">
      <c r="A249">
        <v>27</v>
      </c>
      <c r="B249">
        <v>10</v>
      </c>
      <c r="C249">
        <v>15</v>
      </c>
      <c r="D249">
        <v>20</v>
      </c>
      <c r="E249">
        <v>14</v>
      </c>
      <c r="F249">
        <v>0.3</v>
      </c>
      <c r="G249">
        <v>29</v>
      </c>
      <c r="H249">
        <v>14</v>
      </c>
      <c r="I249">
        <v>0.3</v>
      </c>
      <c r="J249">
        <v>326886261.50563133</v>
      </c>
      <c r="K249">
        <v>165447000</v>
      </c>
      <c r="L249">
        <v>79944842.291348562</v>
      </c>
      <c r="M249">
        <v>77259600</v>
      </c>
      <c r="N249">
        <v>15764506.799999999</v>
      </c>
      <c r="O249">
        <v>231.33841899999999</v>
      </c>
      <c r="P249">
        <v>2.6420066179793467</v>
      </c>
      <c r="Q249">
        <v>43.744245599999999</v>
      </c>
      <c r="R249">
        <v>802.391389</v>
      </c>
      <c r="S249">
        <v>1.35786487E-10</v>
      </c>
      <c r="T249">
        <v>21.405490226124755</v>
      </c>
      <c r="U249">
        <v>100.934</v>
      </c>
      <c r="V249">
        <v>-602.63659663702754</v>
      </c>
      <c r="W249">
        <v>69.278186399999996</v>
      </c>
      <c r="X249">
        <v>95.065285200000005</v>
      </c>
      <c r="Y249">
        <v>121.52199999999999</v>
      </c>
      <c r="Z249">
        <v>255.41330099999999</v>
      </c>
      <c r="AA249">
        <v>99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101.64200661797935</v>
      </c>
    </row>
    <row r="250" spans="1:40" x14ac:dyDescent="0.3">
      <c r="A250">
        <v>27</v>
      </c>
      <c r="B250">
        <v>10</v>
      </c>
      <c r="C250">
        <v>9.0500508262715265</v>
      </c>
      <c r="D250">
        <v>26</v>
      </c>
      <c r="E250">
        <v>5</v>
      </c>
      <c r="F250">
        <v>0.3</v>
      </c>
      <c r="G250">
        <v>22</v>
      </c>
      <c r="H250">
        <v>7</v>
      </c>
      <c r="I250">
        <v>1.4</v>
      </c>
      <c r="J250">
        <v>326886261.50563133</v>
      </c>
      <c r="K250">
        <v>165447000</v>
      </c>
      <c r="L250">
        <v>79944842.291348562</v>
      </c>
      <c r="M250">
        <v>77259600</v>
      </c>
      <c r="N250">
        <v>15764506.799999999</v>
      </c>
      <c r="O250">
        <v>231.33841899999999</v>
      </c>
      <c r="P250">
        <v>2.6420066179793467</v>
      </c>
      <c r="Q250">
        <v>43.744245599999999</v>
      </c>
      <c r="R250">
        <v>802.391389</v>
      </c>
      <c r="S250">
        <v>1.35786487E-10</v>
      </c>
      <c r="T250">
        <v>21.405490226124755</v>
      </c>
      <c r="U250">
        <v>100.934</v>
      </c>
      <c r="V250">
        <v>-602.63659663702754</v>
      </c>
      <c r="W250">
        <v>69.278186399999996</v>
      </c>
      <c r="X250">
        <v>95.065285200000005</v>
      </c>
      <c r="Y250">
        <v>121.52199999999999</v>
      </c>
      <c r="Z250">
        <v>255.41330099999999</v>
      </c>
      <c r="AA250">
        <v>99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101.64200661797935</v>
      </c>
    </row>
    <row r="251" spans="1:40" x14ac:dyDescent="0.3">
      <c r="A251">
        <v>39</v>
      </c>
      <c r="B251">
        <v>19</v>
      </c>
      <c r="C251">
        <v>1</v>
      </c>
      <c r="D251">
        <v>16</v>
      </c>
      <c r="E251">
        <v>5</v>
      </c>
      <c r="F251">
        <v>0.3</v>
      </c>
      <c r="G251">
        <v>16</v>
      </c>
      <c r="H251">
        <v>14</v>
      </c>
      <c r="I251">
        <v>0.3</v>
      </c>
      <c r="J251">
        <v>326886261.50563133</v>
      </c>
      <c r="K251">
        <v>165447000</v>
      </c>
      <c r="L251">
        <v>79944842.291348562</v>
      </c>
      <c r="M251">
        <v>77259600</v>
      </c>
      <c r="N251">
        <v>15764506.799999999</v>
      </c>
      <c r="O251">
        <v>231.33841899999999</v>
      </c>
      <c r="P251">
        <v>2.6420066179793467</v>
      </c>
      <c r="Q251">
        <v>43.744245599999999</v>
      </c>
      <c r="R251">
        <v>802.391389</v>
      </c>
      <c r="S251">
        <v>1.35786487E-10</v>
      </c>
      <c r="T251">
        <v>21.405490226124755</v>
      </c>
      <c r="U251">
        <v>100.934</v>
      </c>
      <c r="V251">
        <v>-602.63659663702754</v>
      </c>
      <c r="W251">
        <v>69.278186399999996</v>
      </c>
      <c r="X251">
        <v>95.065285200000005</v>
      </c>
      <c r="Y251">
        <v>121.52199999999999</v>
      </c>
      <c r="Z251">
        <v>255.41330099999999</v>
      </c>
      <c r="AA251">
        <v>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101.64200661797935</v>
      </c>
    </row>
    <row r="252" spans="1:40" x14ac:dyDescent="0.3">
      <c r="A252">
        <v>32</v>
      </c>
      <c r="B252">
        <v>10</v>
      </c>
      <c r="C252">
        <v>6.6702635590161679</v>
      </c>
      <c r="D252">
        <v>16</v>
      </c>
      <c r="E252">
        <v>5</v>
      </c>
      <c r="F252">
        <v>1.2</v>
      </c>
      <c r="G252">
        <v>29</v>
      </c>
      <c r="H252">
        <v>7</v>
      </c>
      <c r="I252">
        <v>0.3</v>
      </c>
      <c r="J252">
        <v>326886261.50563133</v>
      </c>
      <c r="K252">
        <v>165447000</v>
      </c>
      <c r="L252">
        <v>79944842.291348562</v>
      </c>
      <c r="M252">
        <v>77259600</v>
      </c>
      <c r="N252">
        <v>15764506.799999999</v>
      </c>
      <c r="O252">
        <v>231.33841899999999</v>
      </c>
      <c r="P252">
        <v>2.6420066179793467</v>
      </c>
      <c r="Q252">
        <v>43.744245599999999</v>
      </c>
      <c r="R252">
        <v>802.391389</v>
      </c>
      <c r="S252">
        <v>1.35786487E-10</v>
      </c>
      <c r="T252">
        <v>21.405490226124755</v>
      </c>
      <c r="U252">
        <v>100.934</v>
      </c>
      <c r="V252">
        <v>-602.63659663702754</v>
      </c>
      <c r="W252">
        <v>69.278186399999996</v>
      </c>
      <c r="X252">
        <v>95.065285200000005</v>
      </c>
      <c r="Y252">
        <v>121.52199999999999</v>
      </c>
      <c r="Z252">
        <v>255.41330099999999</v>
      </c>
      <c r="AA252">
        <v>99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101.64200661797935</v>
      </c>
    </row>
    <row r="253" spans="1:40" x14ac:dyDescent="0.3">
      <c r="A253">
        <v>27</v>
      </c>
      <c r="B253">
        <v>10</v>
      </c>
      <c r="C253">
        <v>6.1398398688578473</v>
      </c>
      <c r="D253">
        <v>10</v>
      </c>
      <c r="E253">
        <v>5</v>
      </c>
      <c r="F253">
        <v>0.3</v>
      </c>
      <c r="G253">
        <v>10</v>
      </c>
      <c r="H253">
        <v>7</v>
      </c>
      <c r="I253">
        <v>0.3</v>
      </c>
      <c r="J253">
        <v>326886261.50563133</v>
      </c>
      <c r="K253">
        <v>165447000</v>
      </c>
      <c r="L253">
        <v>79944842.291348562</v>
      </c>
      <c r="M253">
        <v>77259600</v>
      </c>
      <c r="N253">
        <v>15764506.799999999</v>
      </c>
      <c r="O253">
        <v>231.33841899999999</v>
      </c>
      <c r="P253">
        <v>2.6420066179793467</v>
      </c>
      <c r="Q253">
        <v>43.744245599999999</v>
      </c>
      <c r="R253">
        <v>802.391389</v>
      </c>
      <c r="S253">
        <v>1.35786487E-10</v>
      </c>
      <c r="T253">
        <v>21.405490226124755</v>
      </c>
      <c r="U253">
        <v>100.934</v>
      </c>
      <c r="V253">
        <v>-602.63659663702754</v>
      </c>
      <c r="W253">
        <v>69.278186399999996</v>
      </c>
      <c r="X253">
        <v>95.065285200000005</v>
      </c>
      <c r="Y253">
        <v>121.52199999999999</v>
      </c>
      <c r="Z253">
        <v>255.41330099999999</v>
      </c>
      <c r="AA253">
        <v>99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101.64200661797935</v>
      </c>
    </row>
    <row r="254" spans="1:40" x14ac:dyDescent="0.3">
      <c r="A254">
        <v>27</v>
      </c>
      <c r="B254">
        <v>19</v>
      </c>
      <c r="C254">
        <v>8.422510270090612</v>
      </c>
      <c r="D254">
        <v>10</v>
      </c>
      <c r="E254">
        <v>8</v>
      </c>
      <c r="F254">
        <v>0.3</v>
      </c>
      <c r="G254">
        <v>29</v>
      </c>
      <c r="H254">
        <v>14</v>
      </c>
      <c r="I254">
        <v>1.4</v>
      </c>
      <c r="J254">
        <v>326886261.50563133</v>
      </c>
      <c r="K254">
        <v>165447000</v>
      </c>
      <c r="L254">
        <v>79944842.291348562</v>
      </c>
      <c r="M254">
        <v>77259600</v>
      </c>
      <c r="N254">
        <v>15764506.799999999</v>
      </c>
      <c r="O254">
        <v>231.33841899999999</v>
      </c>
      <c r="P254">
        <v>2.6420066179793467</v>
      </c>
      <c r="Q254">
        <v>43.744245599999999</v>
      </c>
      <c r="R254">
        <v>802.391389</v>
      </c>
      <c r="S254">
        <v>1.35786487E-10</v>
      </c>
      <c r="T254">
        <v>21.405490226124755</v>
      </c>
      <c r="U254">
        <v>100.934</v>
      </c>
      <c r="V254">
        <v>-602.63659663702754</v>
      </c>
      <c r="W254">
        <v>69.278186399999996</v>
      </c>
      <c r="X254">
        <v>95.065285200000005</v>
      </c>
      <c r="Y254">
        <v>121.52199999999999</v>
      </c>
      <c r="Z254">
        <v>255.41330099999999</v>
      </c>
      <c r="AA254">
        <v>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101.64200661797935</v>
      </c>
    </row>
    <row r="255" spans="1:40" x14ac:dyDescent="0.3">
      <c r="A255">
        <v>39</v>
      </c>
      <c r="B255">
        <v>19</v>
      </c>
      <c r="C255">
        <v>10.25709346957971</v>
      </c>
      <c r="D255">
        <v>29</v>
      </c>
      <c r="E255">
        <v>14</v>
      </c>
      <c r="F255">
        <v>0.3</v>
      </c>
      <c r="G255">
        <v>29</v>
      </c>
      <c r="H255">
        <v>7</v>
      </c>
      <c r="I255">
        <v>1.4</v>
      </c>
      <c r="J255">
        <v>326886261.50563133</v>
      </c>
      <c r="K255">
        <v>165447000</v>
      </c>
      <c r="L255">
        <v>79944842.291348562</v>
      </c>
      <c r="M255">
        <v>77259600</v>
      </c>
      <c r="N255">
        <v>15764506.799999999</v>
      </c>
      <c r="O255">
        <v>231.33841899999999</v>
      </c>
      <c r="P255">
        <v>2.6420066179793467</v>
      </c>
      <c r="Q255">
        <v>43.744245599999999</v>
      </c>
      <c r="R255">
        <v>802.391389</v>
      </c>
      <c r="S255">
        <v>1.35786487E-10</v>
      </c>
      <c r="T255">
        <v>21.405490226124755</v>
      </c>
      <c r="U255">
        <v>100.934</v>
      </c>
      <c r="V255">
        <v>-602.63659663702754</v>
      </c>
      <c r="W255">
        <v>69.278186399999996</v>
      </c>
      <c r="X255">
        <v>95.065285200000005</v>
      </c>
      <c r="Y255">
        <v>121.52199999999999</v>
      </c>
      <c r="Z255">
        <v>255.41330099999999</v>
      </c>
      <c r="AA255">
        <v>99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101.64200661797935</v>
      </c>
    </row>
    <row r="256" spans="1:40" x14ac:dyDescent="0.3">
      <c r="A256">
        <v>38</v>
      </c>
      <c r="B256">
        <v>12</v>
      </c>
      <c r="C256">
        <v>7.2405704469314829</v>
      </c>
      <c r="D256">
        <v>16</v>
      </c>
      <c r="E256">
        <v>14</v>
      </c>
      <c r="F256">
        <v>0.52813423795275571</v>
      </c>
      <c r="G256">
        <v>29</v>
      </c>
      <c r="H256">
        <v>7</v>
      </c>
      <c r="I256">
        <v>0.42921243356387268</v>
      </c>
      <c r="J256">
        <v>326886261.50563133</v>
      </c>
      <c r="K256">
        <v>165447000</v>
      </c>
      <c r="L256">
        <v>79944842.291348562</v>
      </c>
      <c r="M256">
        <v>77259600</v>
      </c>
      <c r="N256">
        <v>15764506.799999999</v>
      </c>
      <c r="O256">
        <v>231.33841899999999</v>
      </c>
      <c r="P256">
        <v>2.6420066179793467</v>
      </c>
      <c r="Q256">
        <v>43.744245599999999</v>
      </c>
      <c r="R256">
        <v>802.391389</v>
      </c>
      <c r="S256">
        <v>1.35786487E-10</v>
      </c>
      <c r="T256">
        <v>21.405490226124755</v>
      </c>
      <c r="U256">
        <v>100.934</v>
      </c>
      <c r="V256">
        <v>-602.63659663702754</v>
      </c>
      <c r="W256">
        <v>69.278186399999996</v>
      </c>
      <c r="X256">
        <v>95.065285200000005</v>
      </c>
      <c r="Y256">
        <v>121.52199999999999</v>
      </c>
      <c r="Z256">
        <v>255.41330099999999</v>
      </c>
      <c r="AA256">
        <v>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101.64200661797935</v>
      </c>
    </row>
    <row r="257" spans="1:40" x14ac:dyDescent="0.3">
      <c r="A257">
        <v>39</v>
      </c>
      <c r="B257">
        <v>19</v>
      </c>
      <c r="C257">
        <v>1</v>
      </c>
      <c r="D257">
        <v>29</v>
      </c>
      <c r="E257">
        <v>14</v>
      </c>
      <c r="F257">
        <v>1.2</v>
      </c>
      <c r="G257">
        <v>16</v>
      </c>
      <c r="H257">
        <v>14</v>
      </c>
      <c r="I257">
        <v>1.4</v>
      </c>
      <c r="J257">
        <v>326886261.50563133</v>
      </c>
      <c r="K257">
        <v>165447000</v>
      </c>
      <c r="L257">
        <v>79944842.291348562</v>
      </c>
      <c r="M257">
        <v>77259600</v>
      </c>
      <c r="N257">
        <v>15764506.799999999</v>
      </c>
      <c r="O257">
        <v>231.33841899999999</v>
      </c>
      <c r="P257">
        <v>2.6420066179793467</v>
      </c>
      <c r="Q257">
        <v>43.744245599999999</v>
      </c>
      <c r="R257">
        <v>802.391389</v>
      </c>
      <c r="S257">
        <v>1.35786487E-10</v>
      </c>
      <c r="T257">
        <v>21.405490226124755</v>
      </c>
      <c r="U257">
        <v>100.934</v>
      </c>
      <c r="V257">
        <v>-602.63659663702754</v>
      </c>
      <c r="W257">
        <v>69.278186399999996</v>
      </c>
      <c r="X257">
        <v>95.065285200000005</v>
      </c>
      <c r="Y257">
        <v>121.52199999999999</v>
      </c>
      <c r="Z257">
        <v>255.41330099999999</v>
      </c>
      <c r="AA257">
        <v>99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101.64200661797935</v>
      </c>
    </row>
    <row r="258" spans="1:40" x14ac:dyDescent="0.3">
      <c r="A258">
        <v>39</v>
      </c>
      <c r="B258">
        <v>10</v>
      </c>
      <c r="C258">
        <v>15</v>
      </c>
      <c r="D258">
        <v>29</v>
      </c>
      <c r="E258">
        <v>5</v>
      </c>
      <c r="F258">
        <v>0.3</v>
      </c>
      <c r="G258">
        <v>19</v>
      </c>
      <c r="H258">
        <v>7</v>
      </c>
      <c r="I258">
        <v>1.4</v>
      </c>
      <c r="J258">
        <v>326886261.50563133</v>
      </c>
      <c r="K258">
        <v>165447000</v>
      </c>
      <c r="L258">
        <v>79944842.291348562</v>
      </c>
      <c r="M258">
        <v>77259600</v>
      </c>
      <c r="N258">
        <v>15764506.799999999</v>
      </c>
      <c r="O258">
        <v>231.33841899999999</v>
      </c>
      <c r="P258">
        <v>2.6420066179793467</v>
      </c>
      <c r="Q258">
        <v>43.744245599999999</v>
      </c>
      <c r="R258">
        <v>802.391389</v>
      </c>
      <c r="S258">
        <v>1.35786487E-10</v>
      </c>
      <c r="T258">
        <v>21.405490226124755</v>
      </c>
      <c r="U258">
        <v>100.934</v>
      </c>
      <c r="V258">
        <v>-602.63659663702754</v>
      </c>
      <c r="W258">
        <v>69.278186399999996</v>
      </c>
      <c r="X258">
        <v>95.065285200000005</v>
      </c>
      <c r="Y258">
        <v>121.52199999999999</v>
      </c>
      <c r="Z258">
        <v>255.41330099999999</v>
      </c>
      <c r="AA258">
        <v>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101.64200661797935</v>
      </c>
    </row>
    <row r="259" spans="1:40" x14ac:dyDescent="0.3">
      <c r="A259">
        <v>39</v>
      </c>
      <c r="B259">
        <v>19</v>
      </c>
      <c r="C259">
        <v>5.0616984560943745</v>
      </c>
      <c r="D259">
        <v>10</v>
      </c>
      <c r="E259">
        <v>5</v>
      </c>
      <c r="F259">
        <v>1.2</v>
      </c>
      <c r="G259">
        <v>29</v>
      </c>
      <c r="H259">
        <v>14</v>
      </c>
      <c r="I259">
        <v>1.4</v>
      </c>
      <c r="J259">
        <v>326886261.50563133</v>
      </c>
      <c r="K259">
        <v>165447000</v>
      </c>
      <c r="L259">
        <v>79944842.291348562</v>
      </c>
      <c r="M259">
        <v>77259600</v>
      </c>
      <c r="N259">
        <v>15764506.799999999</v>
      </c>
      <c r="O259">
        <v>231.33841899999999</v>
      </c>
      <c r="P259">
        <v>2.6420066179793467</v>
      </c>
      <c r="Q259">
        <v>43.744245599999999</v>
      </c>
      <c r="R259">
        <v>802.391389</v>
      </c>
      <c r="S259">
        <v>1.35786487E-10</v>
      </c>
      <c r="T259">
        <v>21.405490226124755</v>
      </c>
      <c r="U259">
        <v>100.934</v>
      </c>
      <c r="V259">
        <v>-602.63659663702754</v>
      </c>
      <c r="W259">
        <v>69.278186399999996</v>
      </c>
      <c r="X259">
        <v>95.065285200000005</v>
      </c>
      <c r="Y259">
        <v>121.52199999999999</v>
      </c>
      <c r="Z259">
        <v>255.41330099999999</v>
      </c>
      <c r="AA259">
        <v>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101.64200661797935</v>
      </c>
    </row>
    <row r="260" spans="1:40" x14ac:dyDescent="0.3">
      <c r="A260">
        <v>27</v>
      </c>
      <c r="B260">
        <v>19</v>
      </c>
      <c r="C260">
        <v>15</v>
      </c>
      <c r="D260">
        <v>10</v>
      </c>
      <c r="E260">
        <v>5</v>
      </c>
      <c r="F260">
        <v>0.3</v>
      </c>
      <c r="G260">
        <v>20</v>
      </c>
      <c r="H260">
        <v>14</v>
      </c>
      <c r="I260">
        <v>1.4</v>
      </c>
      <c r="J260">
        <v>326886261.50563133</v>
      </c>
      <c r="K260">
        <v>165447000</v>
      </c>
      <c r="L260">
        <v>79944842.291348562</v>
      </c>
      <c r="M260">
        <v>77259600</v>
      </c>
      <c r="N260">
        <v>15764506.799999999</v>
      </c>
      <c r="O260">
        <v>231.33841899999999</v>
      </c>
      <c r="P260">
        <v>2.6420066179793467</v>
      </c>
      <c r="Q260">
        <v>43.744245599999999</v>
      </c>
      <c r="R260">
        <v>802.391389</v>
      </c>
      <c r="S260">
        <v>1.35786487E-10</v>
      </c>
      <c r="T260">
        <v>21.405490226124755</v>
      </c>
      <c r="U260">
        <v>100.934</v>
      </c>
      <c r="V260">
        <v>-602.63659663702754</v>
      </c>
      <c r="W260">
        <v>69.278186399999996</v>
      </c>
      <c r="X260">
        <v>95.065285200000005</v>
      </c>
      <c r="Y260">
        <v>121.52199999999999</v>
      </c>
      <c r="Z260">
        <v>255.41330099999999</v>
      </c>
      <c r="AA260">
        <v>99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101.64200661797935</v>
      </c>
    </row>
    <row r="261" spans="1:40" x14ac:dyDescent="0.3">
      <c r="A261">
        <v>39</v>
      </c>
      <c r="B261">
        <v>10</v>
      </c>
      <c r="C261">
        <v>1</v>
      </c>
      <c r="D261">
        <v>20</v>
      </c>
      <c r="E261">
        <v>14</v>
      </c>
      <c r="F261">
        <v>1.2</v>
      </c>
      <c r="G261">
        <v>29</v>
      </c>
      <c r="H261">
        <v>14</v>
      </c>
      <c r="I261">
        <v>1.4</v>
      </c>
      <c r="J261">
        <v>326886261.50563133</v>
      </c>
      <c r="K261">
        <v>165447000</v>
      </c>
      <c r="L261">
        <v>79944842.291348562</v>
      </c>
      <c r="M261">
        <v>77259600</v>
      </c>
      <c r="N261">
        <v>15764506.799999999</v>
      </c>
      <c r="O261">
        <v>231.33841899999999</v>
      </c>
      <c r="P261">
        <v>2.6420066179793467</v>
      </c>
      <c r="Q261">
        <v>43.744245599999999</v>
      </c>
      <c r="R261">
        <v>802.391389</v>
      </c>
      <c r="S261">
        <v>1.35786487E-10</v>
      </c>
      <c r="T261">
        <v>21.405490226124755</v>
      </c>
      <c r="U261">
        <v>100.934</v>
      </c>
      <c r="V261">
        <v>-602.63659663702754</v>
      </c>
      <c r="W261">
        <v>69.278186399999996</v>
      </c>
      <c r="X261">
        <v>95.065285200000005</v>
      </c>
      <c r="Y261">
        <v>121.52199999999999</v>
      </c>
      <c r="Z261">
        <v>255.41330099999999</v>
      </c>
      <c r="AA261">
        <v>99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101.64200661797935</v>
      </c>
    </row>
    <row r="262" spans="1:40" x14ac:dyDescent="0.3">
      <c r="A262">
        <v>27</v>
      </c>
      <c r="B262">
        <v>10</v>
      </c>
      <c r="C262">
        <v>5.3391926385138913</v>
      </c>
      <c r="D262">
        <v>15</v>
      </c>
      <c r="E262">
        <v>13</v>
      </c>
      <c r="F262">
        <v>0.3</v>
      </c>
      <c r="G262">
        <v>19</v>
      </c>
      <c r="H262">
        <v>7</v>
      </c>
      <c r="I262">
        <v>0.3</v>
      </c>
      <c r="J262">
        <v>326886261.50563133</v>
      </c>
      <c r="K262">
        <v>165447000</v>
      </c>
      <c r="L262">
        <v>79944842.291348562</v>
      </c>
      <c r="M262">
        <v>77259600</v>
      </c>
      <c r="N262">
        <v>15764506.799999999</v>
      </c>
      <c r="O262">
        <v>231.33841899999999</v>
      </c>
      <c r="P262">
        <v>2.6420066179793467</v>
      </c>
      <c r="Q262">
        <v>43.744245599999999</v>
      </c>
      <c r="R262">
        <v>802.391389</v>
      </c>
      <c r="S262">
        <v>1.35786487E-10</v>
      </c>
      <c r="T262">
        <v>21.405490226124755</v>
      </c>
      <c r="U262">
        <v>100.934</v>
      </c>
      <c r="V262">
        <v>-602.63659663702754</v>
      </c>
      <c r="W262">
        <v>69.278186399999996</v>
      </c>
      <c r="X262">
        <v>95.065285200000005</v>
      </c>
      <c r="Y262">
        <v>121.52199999999999</v>
      </c>
      <c r="Z262">
        <v>255.41330099999999</v>
      </c>
      <c r="AA262">
        <v>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101.64200661797935</v>
      </c>
    </row>
    <row r="263" spans="1:40" x14ac:dyDescent="0.3">
      <c r="A263">
        <v>34</v>
      </c>
      <c r="B263">
        <v>10</v>
      </c>
      <c r="C263">
        <v>1</v>
      </c>
      <c r="D263">
        <v>25</v>
      </c>
      <c r="E263">
        <v>14</v>
      </c>
      <c r="F263">
        <v>0.3</v>
      </c>
      <c r="G263">
        <v>21</v>
      </c>
      <c r="H263">
        <v>7</v>
      </c>
      <c r="I263">
        <v>1.4</v>
      </c>
      <c r="J263">
        <v>326886261.50563133</v>
      </c>
      <c r="K263">
        <v>165447000</v>
      </c>
      <c r="L263">
        <v>79944842.291348562</v>
      </c>
      <c r="M263">
        <v>77259600</v>
      </c>
      <c r="N263">
        <v>15764506.799999999</v>
      </c>
      <c r="O263">
        <v>231.33841899999999</v>
      </c>
      <c r="P263">
        <v>2.6420066179793467</v>
      </c>
      <c r="Q263">
        <v>43.744245599999999</v>
      </c>
      <c r="R263">
        <v>802.391389</v>
      </c>
      <c r="S263">
        <v>1.35786487E-10</v>
      </c>
      <c r="T263">
        <v>21.405490226124755</v>
      </c>
      <c r="U263">
        <v>100.934</v>
      </c>
      <c r="V263">
        <v>-602.63659663702754</v>
      </c>
      <c r="W263">
        <v>69.278186399999996</v>
      </c>
      <c r="X263">
        <v>95.065285200000005</v>
      </c>
      <c r="Y263">
        <v>121.52199999999999</v>
      </c>
      <c r="Z263">
        <v>255.41330099999999</v>
      </c>
      <c r="AA263">
        <v>99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101.64200661797935</v>
      </c>
    </row>
    <row r="264" spans="1:40" x14ac:dyDescent="0.3">
      <c r="A264">
        <v>39</v>
      </c>
      <c r="B264">
        <v>10</v>
      </c>
      <c r="C264">
        <v>7.4243418975517352</v>
      </c>
      <c r="D264">
        <v>29</v>
      </c>
      <c r="E264">
        <v>5</v>
      </c>
      <c r="F264">
        <v>0.3</v>
      </c>
      <c r="G264">
        <v>10</v>
      </c>
      <c r="H264">
        <v>7</v>
      </c>
      <c r="I264">
        <v>0.3</v>
      </c>
      <c r="J264">
        <v>326886261.50563133</v>
      </c>
      <c r="K264">
        <v>165447000</v>
      </c>
      <c r="L264">
        <v>79944842.291348562</v>
      </c>
      <c r="M264">
        <v>77259600</v>
      </c>
      <c r="N264">
        <v>15764506.799999999</v>
      </c>
      <c r="O264">
        <v>231.33841899999999</v>
      </c>
      <c r="P264">
        <v>2.6420066179793467</v>
      </c>
      <c r="Q264">
        <v>43.744245599999999</v>
      </c>
      <c r="R264">
        <v>802.391389</v>
      </c>
      <c r="S264">
        <v>1.35786487E-10</v>
      </c>
      <c r="T264">
        <v>21.405490226124755</v>
      </c>
      <c r="U264">
        <v>100.934</v>
      </c>
      <c r="V264">
        <v>-602.63659663702754</v>
      </c>
      <c r="W264">
        <v>69.278186399999996</v>
      </c>
      <c r="X264">
        <v>95.065285200000005</v>
      </c>
      <c r="Y264">
        <v>121.52199999999999</v>
      </c>
      <c r="Z264">
        <v>255.41330099999999</v>
      </c>
      <c r="AA264">
        <v>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101.64200661797935</v>
      </c>
    </row>
    <row r="265" spans="1:40" x14ac:dyDescent="0.3">
      <c r="A265">
        <v>39</v>
      </c>
      <c r="B265">
        <v>13</v>
      </c>
      <c r="C265">
        <v>6.1351208736265734</v>
      </c>
      <c r="D265">
        <v>16</v>
      </c>
      <c r="E265">
        <v>5</v>
      </c>
      <c r="F265">
        <v>0.3</v>
      </c>
      <c r="G265">
        <v>10</v>
      </c>
      <c r="H265">
        <v>8</v>
      </c>
      <c r="I265">
        <v>1.4</v>
      </c>
      <c r="J265">
        <v>326886261.50563133</v>
      </c>
      <c r="K265">
        <v>165447000</v>
      </c>
      <c r="L265">
        <v>79944842.291348562</v>
      </c>
      <c r="M265">
        <v>77259600</v>
      </c>
      <c r="N265">
        <v>15764506.799999999</v>
      </c>
      <c r="O265">
        <v>231.33841899999999</v>
      </c>
      <c r="P265">
        <v>2.6420066179793467</v>
      </c>
      <c r="Q265">
        <v>43.744245599999999</v>
      </c>
      <c r="R265">
        <v>802.391389</v>
      </c>
      <c r="S265">
        <v>1.35786487E-10</v>
      </c>
      <c r="T265">
        <v>21.405490226124755</v>
      </c>
      <c r="U265">
        <v>100.934</v>
      </c>
      <c r="V265">
        <v>-602.63659663702754</v>
      </c>
      <c r="W265">
        <v>69.278186399999996</v>
      </c>
      <c r="X265">
        <v>95.065285200000005</v>
      </c>
      <c r="Y265">
        <v>121.52199999999999</v>
      </c>
      <c r="Z265">
        <v>255.41330099999999</v>
      </c>
      <c r="AA265">
        <v>99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101.64200661797935</v>
      </c>
    </row>
    <row r="266" spans="1:40" x14ac:dyDescent="0.3">
      <c r="A266">
        <v>36</v>
      </c>
      <c r="B266">
        <v>19</v>
      </c>
      <c r="C266">
        <v>10.377573268389261</v>
      </c>
      <c r="D266">
        <v>13</v>
      </c>
      <c r="E266">
        <v>11</v>
      </c>
      <c r="F266">
        <v>0.70201561606116591</v>
      </c>
      <c r="G266">
        <v>29</v>
      </c>
      <c r="H266">
        <v>7</v>
      </c>
      <c r="I266">
        <v>1.4</v>
      </c>
      <c r="J266">
        <v>326886261.50563133</v>
      </c>
      <c r="K266">
        <v>165447000</v>
      </c>
      <c r="L266">
        <v>79944842.291348562</v>
      </c>
      <c r="M266">
        <v>77259600</v>
      </c>
      <c r="N266">
        <v>15764506.799999999</v>
      </c>
      <c r="O266">
        <v>231.33841899999999</v>
      </c>
      <c r="P266">
        <v>2.6420066179793467</v>
      </c>
      <c r="Q266">
        <v>43.744245599999999</v>
      </c>
      <c r="R266">
        <v>802.391389</v>
      </c>
      <c r="S266">
        <v>1.35786487E-10</v>
      </c>
      <c r="T266">
        <v>21.405490226124755</v>
      </c>
      <c r="U266">
        <v>100.934</v>
      </c>
      <c r="V266">
        <v>-602.63659663702754</v>
      </c>
      <c r="W266">
        <v>69.278186399999996</v>
      </c>
      <c r="X266">
        <v>95.065285200000005</v>
      </c>
      <c r="Y266">
        <v>121.52199999999999</v>
      </c>
      <c r="Z266">
        <v>255.41330099999999</v>
      </c>
      <c r="AA266">
        <v>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101.64200661797935</v>
      </c>
    </row>
    <row r="267" spans="1:40" x14ac:dyDescent="0.3">
      <c r="A267">
        <v>39</v>
      </c>
      <c r="B267">
        <v>10</v>
      </c>
      <c r="C267">
        <v>1</v>
      </c>
      <c r="D267">
        <v>19</v>
      </c>
      <c r="E267">
        <v>14</v>
      </c>
      <c r="F267">
        <v>1.2</v>
      </c>
      <c r="G267">
        <v>10</v>
      </c>
      <c r="H267">
        <v>7</v>
      </c>
      <c r="I267">
        <v>0.3</v>
      </c>
      <c r="J267">
        <v>326886261.50563133</v>
      </c>
      <c r="K267">
        <v>165447000</v>
      </c>
      <c r="L267">
        <v>79944842.291348562</v>
      </c>
      <c r="M267">
        <v>77259600</v>
      </c>
      <c r="N267">
        <v>15764506.799999999</v>
      </c>
      <c r="O267">
        <v>231.33841899999999</v>
      </c>
      <c r="P267">
        <v>2.6420066179793467</v>
      </c>
      <c r="Q267">
        <v>43.744245599999999</v>
      </c>
      <c r="R267">
        <v>802.391389</v>
      </c>
      <c r="S267">
        <v>1.35786487E-10</v>
      </c>
      <c r="T267">
        <v>21.405490226124755</v>
      </c>
      <c r="U267">
        <v>100.934</v>
      </c>
      <c r="V267">
        <v>-602.63659663702754</v>
      </c>
      <c r="W267">
        <v>69.278186399999996</v>
      </c>
      <c r="X267">
        <v>95.065285200000005</v>
      </c>
      <c r="Y267">
        <v>121.52199999999999</v>
      </c>
      <c r="Z267">
        <v>255.41330099999999</v>
      </c>
      <c r="AA267">
        <v>99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101.64200661797935</v>
      </c>
    </row>
    <row r="268" spans="1:40" x14ac:dyDescent="0.3">
      <c r="A268">
        <v>39</v>
      </c>
      <c r="B268">
        <v>11</v>
      </c>
      <c r="C268">
        <v>9.2110048815696786</v>
      </c>
      <c r="D268">
        <v>12</v>
      </c>
      <c r="E268">
        <v>9</v>
      </c>
      <c r="F268">
        <v>1.1989184295869606</v>
      </c>
      <c r="G268">
        <v>15</v>
      </c>
      <c r="H268">
        <v>13</v>
      </c>
      <c r="I268">
        <v>0.3</v>
      </c>
      <c r="J268">
        <v>326886261.50563133</v>
      </c>
      <c r="K268">
        <v>165447000</v>
      </c>
      <c r="L268">
        <v>79944842.291348562</v>
      </c>
      <c r="M268">
        <v>77259600</v>
      </c>
      <c r="N268">
        <v>15764506.799999999</v>
      </c>
      <c r="O268">
        <v>231.33841899999999</v>
      </c>
      <c r="P268">
        <v>2.6420066179793467</v>
      </c>
      <c r="Q268">
        <v>43.744245599999999</v>
      </c>
      <c r="R268">
        <v>802.391389</v>
      </c>
      <c r="S268">
        <v>1.35786487E-10</v>
      </c>
      <c r="T268">
        <v>21.405490226124755</v>
      </c>
      <c r="U268">
        <v>100.934</v>
      </c>
      <c r="V268">
        <v>-602.63659663702754</v>
      </c>
      <c r="W268">
        <v>69.278186399999996</v>
      </c>
      <c r="X268">
        <v>95.065285200000005</v>
      </c>
      <c r="Y268">
        <v>121.52199999999999</v>
      </c>
      <c r="Z268">
        <v>255.41330099999999</v>
      </c>
      <c r="AA268">
        <v>99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101.64200661797935</v>
      </c>
    </row>
    <row r="269" spans="1:40" x14ac:dyDescent="0.3">
      <c r="A269">
        <v>39</v>
      </c>
      <c r="B269">
        <v>19</v>
      </c>
      <c r="C269">
        <v>15</v>
      </c>
      <c r="D269">
        <v>29</v>
      </c>
      <c r="E269">
        <v>5</v>
      </c>
      <c r="F269">
        <v>0.3</v>
      </c>
      <c r="G269">
        <v>10</v>
      </c>
      <c r="H269">
        <v>8</v>
      </c>
      <c r="I269">
        <v>1.4</v>
      </c>
      <c r="J269">
        <v>326886261.50563133</v>
      </c>
      <c r="K269">
        <v>165447000</v>
      </c>
      <c r="L269">
        <v>79944842.291348562</v>
      </c>
      <c r="M269">
        <v>77259600</v>
      </c>
      <c r="N269">
        <v>15764506.799999999</v>
      </c>
      <c r="O269">
        <v>231.33841899999999</v>
      </c>
      <c r="P269">
        <v>2.6420066179793467</v>
      </c>
      <c r="Q269">
        <v>43.744245599999999</v>
      </c>
      <c r="R269">
        <v>802.391389</v>
      </c>
      <c r="S269">
        <v>1.35786487E-10</v>
      </c>
      <c r="T269">
        <v>21.405490226124755</v>
      </c>
      <c r="U269">
        <v>100.934</v>
      </c>
      <c r="V269">
        <v>-602.63659663702754</v>
      </c>
      <c r="W269">
        <v>69.278186399999996</v>
      </c>
      <c r="X269">
        <v>95.065285200000005</v>
      </c>
      <c r="Y269">
        <v>121.52199999999999</v>
      </c>
      <c r="Z269">
        <v>255.41330099999999</v>
      </c>
      <c r="AA269">
        <v>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101.64200661797935</v>
      </c>
    </row>
    <row r="270" spans="1:40" x14ac:dyDescent="0.3">
      <c r="A270">
        <v>27</v>
      </c>
      <c r="B270">
        <v>10</v>
      </c>
      <c r="C270">
        <v>15</v>
      </c>
      <c r="D270">
        <v>29</v>
      </c>
      <c r="E270">
        <v>14</v>
      </c>
      <c r="F270">
        <v>1.2</v>
      </c>
      <c r="G270">
        <v>16</v>
      </c>
      <c r="H270">
        <v>14</v>
      </c>
      <c r="I270">
        <v>1.4</v>
      </c>
      <c r="J270">
        <v>326886261.50563133</v>
      </c>
      <c r="K270">
        <v>165447000</v>
      </c>
      <c r="L270">
        <v>79944842.291348562</v>
      </c>
      <c r="M270">
        <v>77259600</v>
      </c>
      <c r="N270">
        <v>15764506.799999999</v>
      </c>
      <c r="O270">
        <v>231.33841899999999</v>
      </c>
      <c r="P270">
        <v>2.6420066179793467</v>
      </c>
      <c r="Q270">
        <v>43.744245599999999</v>
      </c>
      <c r="R270">
        <v>802.391389</v>
      </c>
      <c r="S270">
        <v>1.35786487E-10</v>
      </c>
      <c r="T270">
        <v>21.405490226124755</v>
      </c>
      <c r="U270">
        <v>100.934</v>
      </c>
      <c r="V270">
        <v>-602.63659663702754</v>
      </c>
      <c r="W270">
        <v>69.278186399999996</v>
      </c>
      <c r="X270">
        <v>95.065285200000005</v>
      </c>
      <c r="Y270">
        <v>121.52199999999999</v>
      </c>
      <c r="Z270">
        <v>255.41330099999999</v>
      </c>
      <c r="AA270">
        <v>99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101.64200661797935</v>
      </c>
    </row>
    <row r="271" spans="1:40" x14ac:dyDescent="0.3">
      <c r="A271">
        <v>33</v>
      </c>
      <c r="B271">
        <v>10</v>
      </c>
      <c r="C271">
        <v>11.346134685538424</v>
      </c>
      <c r="D271">
        <v>29</v>
      </c>
      <c r="E271">
        <v>14</v>
      </c>
      <c r="F271">
        <v>0.3</v>
      </c>
      <c r="G271">
        <v>29</v>
      </c>
      <c r="H271">
        <v>14</v>
      </c>
      <c r="I271">
        <v>0.3</v>
      </c>
      <c r="J271">
        <v>326886261.50563133</v>
      </c>
      <c r="K271">
        <v>165447000</v>
      </c>
      <c r="L271">
        <v>79944842.291348562</v>
      </c>
      <c r="M271">
        <v>77259600</v>
      </c>
      <c r="N271">
        <v>15764506.799999999</v>
      </c>
      <c r="O271">
        <v>231.33841899999999</v>
      </c>
      <c r="P271">
        <v>2.6420066179793467</v>
      </c>
      <c r="Q271">
        <v>43.744245599999999</v>
      </c>
      <c r="R271">
        <v>802.391389</v>
      </c>
      <c r="S271">
        <v>1.35786487E-10</v>
      </c>
      <c r="T271">
        <v>21.405490226124755</v>
      </c>
      <c r="U271">
        <v>100.934</v>
      </c>
      <c r="V271">
        <v>-602.63659663702754</v>
      </c>
      <c r="W271">
        <v>69.278186399999996</v>
      </c>
      <c r="X271">
        <v>95.065285200000005</v>
      </c>
      <c r="Y271">
        <v>121.52199999999999</v>
      </c>
      <c r="Z271">
        <v>255.41330099999999</v>
      </c>
      <c r="AA271">
        <v>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101.64200661797935</v>
      </c>
    </row>
    <row r="272" spans="1:40" x14ac:dyDescent="0.3">
      <c r="A272">
        <v>27</v>
      </c>
      <c r="B272">
        <v>10</v>
      </c>
      <c r="C272">
        <v>7.7138792634547562</v>
      </c>
      <c r="D272">
        <v>20</v>
      </c>
      <c r="E272">
        <v>5</v>
      </c>
      <c r="F272">
        <v>0.3</v>
      </c>
      <c r="G272">
        <v>29</v>
      </c>
      <c r="H272">
        <v>14</v>
      </c>
      <c r="I272">
        <v>1.4</v>
      </c>
      <c r="J272">
        <v>326886261.50563133</v>
      </c>
      <c r="K272">
        <v>165447000</v>
      </c>
      <c r="L272">
        <v>79944842.291348562</v>
      </c>
      <c r="M272">
        <v>77259600</v>
      </c>
      <c r="N272">
        <v>15764506.799999999</v>
      </c>
      <c r="O272">
        <v>231.33841899999999</v>
      </c>
      <c r="P272">
        <v>2.6420066179793467</v>
      </c>
      <c r="Q272">
        <v>43.744245599999999</v>
      </c>
      <c r="R272">
        <v>802.391389</v>
      </c>
      <c r="S272">
        <v>1.35786487E-10</v>
      </c>
      <c r="T272">
        <v>21.405490226124755</v>
      </c>
      <c r="U272">
        <v>100.934</v>
      </c>
      <c r="V272">
        <v>-602.63659663702754</v>
      </c>
      <c r="W272">
        <v>69.278186399999996</v>
      </c>
      <c r="X272">
        <v>95.065285200000005</v>
      </c>
      <c r="Y272">
        <v>121.52199999999999</v>
      </c>
      <c r="Z272">
        <v>255.41330099999999</v>
      </c>
      <c r="AA272">
        <v>99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101.64200661797935</v>
      </c>
    </row>
    <row r="273" spans="1:40" x14ac:dyDescent="0.3">
      <c r="A273">
        <v>27</v>
      </c>
      <c r="B273">
        <v>19</v>
      </c>
      <c r="C273">
        <v>1</v>
      </c>
      <c r="D273">
        <v>16</v>
      </c>
      <c r="E273">
        <v>14</v>
      </c>
      <c r="F273">
        <v>1.2</v>
      </c>
      <c r="G273">
        <v>22</v>
      </c>
      <c r="H273">
        <v>7</v>
      </c>
      <c r="I273">
        <v>0.3</v>
      </c>
      <c r="J273">
        <v>326886261.50563133</v>
      </c>
      <c r="K273">
        <v>165447000</v>
      </c>
      <c r="L273">
        <v>79944842.291348562</v>
      </c>
      <c r="M273">
        <v>77259600</v>
      </c>
      <c r="N273">
        <v>15764506.799999999</v>
      </c>
      <c r="O273">
        <v>231.33841899999999</v>
      </c>
      <c r="P273">
        <v>2.6420066179793467</v>
      </c>
      <c r="Q273">
        <v>43.744245599999999</v>
      </c>
      <c r="R273">
        <v>802.391389</v>
      </c>
      <c r="S273">
        <v>1.35786487E-10</v>
      </c>
      <c r="T273">
        <v>21.405490226124755</v>
      </c>
      <c r="U273">
        <v>100.934</v>
      </c>
      <c r="V273">
        <v>-602.63659663702754</v>
      </c>
      <c r="W273">
        <v>69.278186399999996</v>
      </c>
      <c r="X273">
        <v>95.065285200000005</v>
      </c>
      <c r="Y273">
        <v>121.52199999999999</v>
      </c>
      <c r="Z273">
        <v>255.41330099999999</v>
      </c>
      <c r="AA273">
        <v>99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101.64200661797935</v>
      </c>
    </row>
    <row r="274" spans="1:40" x14ac:dyDescent="0.3">
      <c r="A274">
        <v>27</v>
      </c>
      <c r="B274">
        <v>19</v>
      </c>
      <c r="C274">
        <v>8.0820976544239365</v>
      </c>
      <c r="D274">
        <v>24</v>
      </c>
      <c r="E274">
        <v>14</v>
      </c>
      <c r="F274">
        <v>1.2</v>
      </c>
      <c r="G274">
        <v>10</v>
      </c>
      <c r="H274">
        <v>7</v>
      </c>
      <c r="I274">
        <v>0.3</v>
      </c>
      <c r="J274">
        <v>326886261.50563133</v>
      </c>
      <c r="K274">
        <v>165447000</v>
      </c>
      <c r="L274">
        <v>79944842.291348562</v>
      </c>
      <c r="M274">
        <v>77259600</v>
      </c>
      <c r="N274">
        <v>15764506.799999999</v>
      </c>
      <c r="O274">
        <v>231.33841899999999</v>
      </c>
      <c r="P274">
        <v>2.6420066179793467</v>
      </c>
      <c r="Q274">
        <v>43.744245599999999</v>
      </c>
      <c r="R274">
        <v>802.391389</v>
      </c>
      <c r="S274">
        <v>1.35786487E-10</v>
      </c>
      <c r="T274">
        <v>21.405490226124755</v>
      </c>
      <c r="U274">
        <v>100.934</v>
      </c>
      <c r="V274">
        <v>-602.63659663702754</v>
      </c>
      <c r="W274">
        <v>69.278186399999996</v>
      </c>
      <c r="X274">
        <v>95.065285200000005</v>
      </c>
      <c r="Y274">
        <v>121.52199999999999</v>
      </c>
      <c r="Z274">
        <v>255.41330099999999</v>
      </c>
      <c r="AA274">
        <v>99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101.64200661797935</v>
      </c>
    </row>
    <row r="275" spans="1:40" x14ac:dyDescent="0.3">
      <c r="A275">
        <v>35</v>
      </c>
      <c r="B275">
        <v>19</v>
      </c>
      <c r="C275">
        <v>4.6064746275381889</v>
      </c>
      <c r="D275">
        <v>19</v>
      </c>
      <c r="E275">
        <v>14</v>
      </c>
      <c r="F275">
        <v>0.3</v>
      </c>
      <c r="G275">
        <v>29</v>
      </c>
      <c r="H275">
        <v>7</v>
      </c>
      <c r="I275">
        <v>1.4</v>
      </c>
      <c r="J275">
        <v>326886261.50563133</v>
      </c>
      <c r="K275">
        <v>165447000</v>
      </c>
      <c r="L275">
        <v>79944842.291348562</v>
      </c>
      <c r="M275">
        <v>77259600</v>
      </c>
      <c r="N275">
        <v>15764506.799999999</v>
      </c>
      <c r="O275">
        <v>231.33841899999999</v>
      </c>
      <c r="P275">
        <v>2.6420066179793467</v>
      </c>
      <c r="Q275">
        <v>43.744245599999999</v>
      </c>
      <c r="R275">
        <v>802.391389</v>
      </c>
      <c r="S275">
        <v>1.35786487E-10</v>
      </c>
      <c r="T275">
        <v>21.405490226124755</v>
      </c>
      <c r="U275">
        <v>100.934</v>
      </c>
      <c r="V275">
        <v>-602.63659663702754</v>
      </c>
      <c r="W275">
        <v>69.278186399999996</v>
      </c>
      <c r="X275">
        <v>95.065285200000005</v>
      </c>
      <c r="Y275">
        <v>121.52199999999999</v>
      </c>
      <c r="Z275">
        <v>255.41330099999999</v>
      </c>
      <c r="AA275">
        <v>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101.64200661797935</v>
      </c>
    </row>
    <row r="276" spans="1:40" x14ac:dyDescent="0.3">
      <c r="A276">
        <v>36</v>
      </c>
      <c r="B276">
        <v>10</v>
      </c>
      <c r="C276">
        <v>15</v>
      </c>
      <c r="D276">
        <v>29</v>
      </c>
      <c r="E276">
        <v>5</v>
      </c>
      <c r="F276">
        <v>0.3</v>
      </c>
      <c r="G276">
        <v>29</v>
      </c>
      <c r="H276">
        <v>7</v>
      </c>
      <c r="I276">
        <v>1.4</v>
      </c>
      <c r="J276">
        <v>326886261.50563133</v>
      </c>
      <c r="K276">
        <v>165447000</v>
      </c>
      <c r="L276">
        <v>79944842.291348562</v>
      </c>
      <c r="M276">
        <v>77259600</v>
      </c>
      <c r="N276">
        <v>15764506.799999999</v>
      </c>
      <c r="O276">
        <v>231.33841899999999</v>
      </c>
      <c r="P276">
        <v>2.6420066179793467</v>
      </c>
      <c r="Q276">
        <v>43.744245599999999</v>
      </c>
      <c r="R276">
        <v>802.391389</v>
      </c>
      <c r="S276">
        <v>1.35786487E-10</v>
      </c>
      <c r="T276">
        <v>21.405490226124755</v>
      </c>
      <c r="U276">
        <v>100.934</v>
      </c>
      <c r="V276">
        <v>-602.63659663702754</v>
      </c>
      <c r="W276">
        <v>69.278186399999996</v>
      </c>
      <c r="X276">
        <v>95.065285200000005</v>
      </c>
      <c r="Y276">
        <v>121.52199999999999</v>
      </c>
      <c r="Z276">
        <v>255.41330099999999</v>
      </c>
      <c r="AA276">
        <v>99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101.64200661797935</v>
      </c>
    </row>
    <row r="277" spans="1:40" x14ac:dyDescent="0.3">
      <c r="A277">
        <v>35</v>
      </c>
      <c r="B277">
        <v>10</v>
      </c>
      <c r="C277">
        <v>1</v>
      </c>
      <c r="D277">
        <v>22</v>
      </c>
      <c r="E277">
        <v>5</v>
      </c>
      <c r="F277">
        <v>0.3</v>
      </c>
      <c r="G277">
        <v>12</v>
      </c>
      <c r="H277">
        <v>7</v>
      </c>
      <c r="I277">
        <v>1.4</v>
      </c>
      <c r="J277">
        <v>326886261.50563133</v>
      </c>
      <c r="K277">
        <v>165447000</v>
      </c>
      <c r="L277">
        <v>79944842.291348562</v>
      </c>
      <c r="M277">
        <v>77259600</v>
      </c>
      <c r="N277">
        <v>15764506.799999999</v>
      </c>
      <c r="O277">
        <v>231.33841899999999</v>
      </c>
      <c r="P277">
        <v>2.6420066179793467</v>
      </c>
      <c r="Q277">
        <v>43.744245599999999</v>
      </c>
      <c r="R277">
        <v>802.391389</v>
      </c>
      <c r="S277">
        <v>1.35786487E-10</v>
      </c>
      <c r="T277">
        <v>21.405490226124755</v>
      </c>
      <c r="U277">
        <v>100.934</v>
      </c>
      <c r="V277">
        <v>-602.63659663702754</v>
      </c>
      <c r="W277">
        <v>69.278186399999996</v>
      </c>
      <c r="X277">
        <v>95.065285200000005</v>
      </c>
      <c r="Y277">
        <v>121.52199999999999</v>
      </c>
      <c r="Z277">
        <v>255.41330099999999</v>
      </c>
      <c r="AA277">
        <v>99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101.64200661797935</v>
      </c>
    </row>
    <row r="278" spans="1:40" x14ac:dyDescent="0.3">
      <c r="A278">
        <v>39</v>
      </c>
      <c r="B278">
        <v>10</v>
      </c>
      <c r="C278">
        <v>3.8210659288110107</v>
      </c>
      <c r="D278">
        <v>28</v>
      </c>
      <c r="E278">
        <v>13</v>
      </c>
      <c r="F278">
        <v>0.3</v>
      </c>
      <c r="G278">
        <v>13</v>
      </c>
      <c r="H278">
        <v>11</v>
      </c>
      <c r="I278">
        <v>0.99120542644500909</v>
      </c>
      <c r="J278">
        <v>326886261.50563133</v>
      </c>
      <c r="K278">
        <v>165447000</v>
      </c>
      <c r="L278">
        <v>79944842.291348562</v>
      </c>
      <c r="M278">
        <v>77259600</v>
      </c>
      <c r="N278">
        <v>15764506.799999999</v>
      </c>
      <c r="O278">
        <v>231.33841899999999</v>
      </c>
      <c r="P278">
        <v>2.6420066179793467</v>
      </c>
      <c r="Q278">
        <v>43.744245599999999</v>
      </c>
      <c r="R278">
        <v>802.391389</v>
      </c>
      <c r="S278">
        <v>1.35786487E-10</v>
      </c>
      <c r="T278">
        <v>21.405490226124755</v>
      </c>
      <c r="U278">
        <v>100.934</v>
      </c>
      <c r="V278">
        <v>-602.63659663702754</v>
      </c>
      <c r="W278">
        <v>69.278186399999996</v>
      </c>
      <c r="X278">
        <v>95.065285200000005</v>
      </c>
      <c r="Y278">
        <v>121.52199999999999</v>
      </c>
      <c r="Z278">
        <v>255.41330099999999</v>
      </c>
      <c r="AA278">
        <v>99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101.64200661797935</v>
      </c>
    </row>
    <row r="279" spans="1:40" x14ac:dyDescent="0.3">
      <c r="A279">
        <v>27</v>
      </c>
      <c r="B279">
        <v>10</v>
      </c>
      <c r="C279">
        <v>6.013265596515228</v>
      </c>
      <c r="D279">
        <v>12</v>
      </c>
      <c r="E279">
        <v>10</v>
      </c>
      <c r="F279">
        <v>0.55762256418403156</v>
      </c>
      <c r="G279">
        <v>29</v>
      </c>
      <c r="H279">
        <v>13</v>
      </c>
      <c r="I279">
        <v>0.68351714339532321</v>
      </c>
      <c r="J279">
        <v>326886261.50563133</v>
      </c>
      <c r="K279">
        <v>165447000</v>
      </c>
      <c r="L279">
        <v>79944842.291348562</v>
      </c>
      <c r="M279">
        <v>77259600</v>
      </c>
      <c r="N279">
        <v>15764506.799999999</v>
      </c>
      <c r="O279">
        <v>231.33841899999999</v>
      </c>
      <c r="P279">
        <v>2.6420066179793467</v>
      </c>
      <c r="Q279">
        <v>43.744245599999999</v>
      </c>
      <c r="R279">
        <v>802.391389</v>
      </c>
      <c r="S279">
        <v>1.35786487E-10</v>
      </c>
      <c r="T279">
        <v>21.405490226124755</v>
      </c>
      <c r="U279">
        <v>100.934</v>
      </c>
      <c r="V279">
        <v>-602.63659663702754</v>
      </c>
      <c r="W279">
        <v>69.278186399999996</v>
      </c>
      <c r="X279">
        <v>95.065285200000005</v>
      </c>
      <c r="Y279">
        <v>121.52199999999999</v>
      </c>
      <c r="Z279">
        <v>255.41330099999999</v>
      </c>
      <c r="AA279">
        <v>99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101.64200661797935</v>
      </c>
    </row>
    <row r="280" spans="1:40" x14ac:dyDescent="0.3">
      <c r="A280">
        <v>39</v>
      </c>
      <c r="B280">
        <v>10</v>
      </c>
      <c r="C280">
        <v>15</v>
      </c>
      <c r="D280">
        <v>16</v>
      </c>
      <c r="E280">
        <v>14</v>
      </c>
      <c r="F280">
        <v>0.3</v>
      </c>
      <c r="G280">
        <v>10</v>
      </c>
      <c r="H280">
        <v>7</v>
      </c>
      <c r="I280">
        <v>0.3</v>
      </c>
      <c r="J280">
        <v>326886261.50563133</v>
      </c>
      <c r="K280">
        <v>165447000</v>
      </c>
      <c r="L280">
        <v>79944842.291348562</v>
      </c>
      <c r="M280">
        <v>77259600</v>
      </c>
      <c r="N280">
        <v>15764506.799999999</v>
      </c>
      <c r="O280">
        <v>231.33841899999999</v>
      </c>
      <c r="P280">
        <v>2.6420066179793467</v>
      </c>
      <c r="Q280">
        <v>43.744245599999999</v>
      </c>
      <c r="R280">
        <v>802.391389</v>
      </c>
      <c r="S280">
        <v>1.35786487E-10</v>
      </c>
      <c r="T280">
        <v>21.405490226124755</v>
      </c>
      <c r="U280">
        <v>100.934</v>
      </c>
      <c r="V280">
        <v>-602.63659663702754</v>
      </c>
      <c r="W280">
        <v>69.278186399999996</v>
      </c>
      <c r="X280">
        <v>95.065285200000005</v>
      </c>
      <c r="Y280">
        <v>121.52199999999999</v>
      </c>
      <c r="Z280">
        <v>255.41330099999999</v>
      </c>
      <c r="AA280">
        <v>99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101.64200661797935</v>
      </c>
    </row>
    <row r="281" spans="1:40" x14ac:dyDescent="0.3">
      <c r="A281">
        <v>35</v>
      </c>
      <c r="B281">
        <v>10</v>
      </c>
      <c r="C281">
        <v>14.381852613871644</v>
      </c>
      <c r="D281">
        <v>13</v>
      </c>
      <c r="E281">
        <v>11</v>
      </c>
      <c r="F281">
        <v>0.90309094560690995</v>
      </c>
      <c r="G281">
        <v>26</v>
      </c>
      <c r="H281">
        <v>14</v>
      </c>
      <c r="I281">
        <v>1.4</v>
      </c>
      <c r="J281">
        <v>326886261.50563133</v>
      </c>
      <c r="K281">
        <v>165447000</v>
      </c>
      <c r="L281">
        <v>79944842.291348562</v>
      </c>
      <c r="M281">
        <v>77259600</v>
      </c>
      <c r="N281">
        <v>15764506.799999999</v>
      </c>
      <c r="O281">
        <v>231.33841899999999</v>
      </c>
      <c r="P281">
        <v>2.6420066179793467</v>
      </c>
      <c r="Q281">
        <v>43.744245599999999</v>
      </c>
      <c r="R281">
        <v>802.391389</v>
      </c>
      <c r="S281">
        <v>1.35786487E-10</v>
      </c>
      <c r="T281">
        <v>21.405490226124755</v>
      </c>
      <c r="U281">
        <v>100.934</v>
      </c>
      <c r="V281">
        <v>-602.63659663702754</v>
      </c>
      <c r="W281">
        <v>69.278186399999996</v>
      </c>
      <c r="X281">
        <v>95.065285200000005</v>
      </c>
      <c r="Y281">
        <v>121.52199999999999</v>
      </c>
      <c r="Z281">
        <v>255.41330099999999</v>
      </c>
      <c r="AA281">
        <v>99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101.64200661797935</v>
      </c>
    </row>
    <row r="282" spans="1:40" x14ac:dyDescent="0.3">
      <c r="A282">
        <v>27</v>
      </c>
      <c r="B282">
        <v>19</v>
      </c>
      <c r="C282">
        <v>10.054157833258849</v>
      </c>
      <c r="D282">
        <v>24</v>
      </c>
      <c r="E282">
        <v>5</v>
      </c>
      <c r="F282">
        <v>0.3</v>
      </c>
      <c r="G282">
        <v>16</v>
      </c>
      <c r="H282">
        <v>14</v>
      </c>
      <c r="I282">
        <v>0.3</v>
      </c>
      <c r="J282">
        <v>326886261.50563133</v>
      </c>
      <c r="K282">
        <v>165447000</v>
      </c>
      <c r="L282">
        <v>79944842.291348562</v>
      </c>
      <c r="M282">
        <v>77259600</v>
      </c>
      <c r="N282">
        <v>15764506.799999999</v>
      </c>
      <c r="O282">
        <v>231.33841899999999</v>
      </c>
      <c r="P282">
        <v>2.6420066179793467</v>
      </c>
      <c r="Q282">
        <v>43.744245599999999</v>
      </c>
      <c r="R282">
        <v>802.391389</v>
      </c>
      <c r="S282">
        <v>1.35786487E-10</v>
      </c>
      <c r="T282">
        <v>21.405490226124755</v>
      </c>
      <c r="U282">
        <v>100.934</v>
      </c>
      <c r="V282">
        <v>-602.63659663702754</v>
      </c>
      <c r="W282">
        <v>69.278186399999996</v>
      </c>
      <c r="X282">
        <v>95.065285200000005</v>
      </c>
      <c r="Y282">
        <v>121.52199999999999</v>
      </c>
      <c r="Z282">
        <v>255.41330099999999</v>
      </c>
      <c r="AA282">
        <v>99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101.64200661797935</v>
      </c>
    </row>
    <row r="283" spans="1:40" x14ac:dyDescent="0.3">
      <c r="A283">
        <v>30</v>
      </c>
      <c r="B283">
        <v>10</v>
      </c>
      <c r="C283">
        <v>14.720085107002461</v>
      </c>
      <c r="D283">
        <v>14</v>
      </c>
      <c r="E283">
        <v>12</v>
      </c>
      <c r="F283">
        <v>1.0085650108287842</v>
      </c>
      <c r="G283">
        <v>16</v>
      </c>
      <c r="H283">
        <v>13</v>
      </c>
      <c r="I283">
        <v>1.2232657181227446</v>
      </c>
      <c r="J283">
        <v>326886261.50563133</v>
      </c>
      <c r="K283">
        <v>165447000</v>
      </c>
      <c r="L283">
        <v>79944842.291348562</v>
      </c>
      <c r="M283">
        <v>77259600</v>
      </c>
      <c r="N283">
        <v>15764506.799999999</v>
      </c>
      <c r="O283">
        <v>231.33841899999999</v>
      </c>
      <c r="P283">
        <v>2.6420066179793467</v>
      </c>
      <c r="Q283">
        <v>43.744245599999999</v>
      </c>
      <c r="R283">
        <v>802.391389</v>
      </c>
      <c r="S283">
        <v>1.35786487E-10</v>
      </c>
      <c r="T283">
        <v>21.405490226124755</v>
      </c>
      <c r="U283">
        <v>100.934</v>
      </c>
      <c r="V283">
        <v>-602.63659663702754</v>
      </c>
      <c r="W283">
        <v>69.278186399999996</v>
      </c>
      <c r="X283">
        <v>95.065285200000005</v>
      </c>
      <c r="Y283">
        <v>121.52199999999999</v>
      </c>
      <c r="Z283">
        <v>255.41330099999999</v>
      </c>
      <c r="AA283">
        <v>99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101.64200661797935</v>
      </c>
    </row>
    <row r="284" spans="1:40" x14ac:dyDescent="0.3">
      <c r="A284">
        <v>39</v>
      </c>
      <c r="B284">
        <v>10</v>
      </c>
      <c r="C284">
        <v>15</v>
      </c>
      <c r="D284">
        <v>17</v>
      </c>
      <c r="E284">
        <v>5</v>
      </c>
      <c r="F284">
        <v>0.3</v>
      </c>
      <c r="G284">
        <v>17</v>
      </c>
      <c r="H284">
        <v>14</v>
      </c>
      <c r="I284">
        <v>0.3</v>
      </c>
      <c r="J284">
        <v>326886261.50563133</v>
      </c>
      <c r="K284">
        <v>165447000</v>
      </c>
      <c r="L284">
        <v>79944842.291348562</v>
      </c>
      <c r="M284">
        <v>77259600</v>
      </c>
      <c r="N284">
        <v>15764506.799999999</v>
      </c>
      <c r="O284">
        <v>231.33841899999999</v>
      </c>
      <c r="P284">
        <v>2.6420066179793467</v>
      </c>
      <c r="Q284">
        <v>43.744245599999999</v>
      </c>
      <c r="R284">
        <v>802.391389</v>
      </c>
      <c r="S284">
        <v>1.35786487E-10</v>
      </c>
      <c r="T284">
        <v>21.405490226124755</v>
      </c>
      <c r="U284">
        <v>100.934</v>
      </c>
      <c r="V284">
        <v>-602.63659663702754</v>
      </c>
      <c r="W284">
        <v>69.278186399999996</v>
      </c>
      <c r="X284">
        <v>95.065285200000005</v>
      </c>
      <c r="Y284">
        <v>121.52199999999999</v>
      </c>
      <c r="Z284">
        <v>255.41330099999999</v>
      </c>
      <c r="AA284">
        <v>99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101.64200661797935</v>
      </c>
    </row>
    <row r="285" spans="1:40" x14ac:dyDescent="0.3">
      <c r="A285">
        <v>36</v>
      </c>
      <c r="B285">
        <v>19</v>
      </c>
      <c r="C285">
        <v>15</v>
      </c>
      <c r="D285">
        <v>29</v>
      </c>
      <c r="E285">
        <v>5</v>
      </c>
      <c r="F285">
        <v>0.3</v>
      </c>
      <c r="G285">
        <v>29</v>
      </c>
      <c r="H285">
        <v>14</v>
      </c>
      <c r="I285">
        <v>0.3</v>
      </c>
      <c r="J285">
        <v>326886261.50563133</v>
      </c>
      <c r="K285">
        <v>165447000</v>
      </c>
      <c r="L285">
        <v>79944842.291348562</v>
      </c>
      <c r="M285">
        <v>77259600</v>
      </c>
      <c r="N285">
        <v>15764506.799999999</v>
      </c>
      <c r="O285">
        <v>231.33841899999999</v>
      </c>
      <c r="P285">
        <v>2.6420066179793467</v>
      </c>
      <c r="Q285">
        <v>43.744245599999999</v>
      </c>
      <c r="R285">
        <v>802.391389</v>
      </c>
      <c r="S285">
        <v>1.35786487E-10</v>
      </c>
      <c r="T285">
        <v>21.405490226124755</v>
      </c>
      <c r="U285">
        <v>100.934</v>
      </c>
      <c r="V285">
        <v>-602.63659663702754</v>
      </c>
      <c r="W285">
        <v>69.278186399999996</v>
      </c>
      <c r="X285">
        <v>95.065285200000005</v>
      </c>
      <c r="Y285">
        <v>121.52199999999999</v>
      </c>
      <c r="Z285">
        <v>255.41330099999999</v>
      </c>
      <c r="AA285">
        <v>99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101.64200661797935</v>
      </c>
    </row>
    <row r="286" spans="1:40" x14ac:dyDescent="0.3">
      <c r="A286">
        <v>39</v>
      </c>
      <c r="B286">
        <v>10</v>
      </c>
      <c r="C286">
        <v>4.6198141883221329</v>
      </c>
      <c r="D286">
        <v>29</v>
      </c>
      <c r="E286">
        <v>5</v>
      </c>
      <c r="F286">
        <v>0.3</v>
      </c>
      <c r="G286">
        <v>20</v>
      </c>
      <c r="H286">
        <v>7</v>
      </c>
      <c r="I286">
        <v>0.3</v>
      </c>
      <c r="J286">
        <v>326886261.50563133</v>
      </c>
      <c r="K286">
        <v>165447000</v>
      </c>
      <c r="L286">
        <v>79944842.291348562</v>
      </c>
      <c r="M286">
        <v>77259600</v>
      </c>
      <c r="N286">
        <v>15764506.799999999</v>
      </c>
      <c r="O286">
        <v>231.33841899999999</v>
      </c>
      <c r="P286">
        <v>2.6420066179793467</v>
      </c>
      <c r="Q286">
        <v>43.744245599999999</v>
      </c>
      <c r="R286">
        <v>802.391389</v>
      </c>
      <c r="S286">
        <v>1.35786487E-10</v>
      </c>
      <c r="T286">
        <v>21.405490226124755</v>
      </c>
      <c r="U286">
        <v>100.934</v>
      </c>
      <c r="V286">
        <v>-602.63659663702754</v>
      </c>
      <c r="W286">
        <v>69.278186399999996</v>
      </c>
      <c r="X286">
        <v>95.065285200000005</v>
      </c>
      <c r="Y286">
        <v>121.52199999999999</v>
      </c>
      <c r="Z286">
        <v>255.41330099999999</v>
      </c>
      <c r="AA286">
        <v>99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101.64200661797935</v>
      </c>
    </row>
    <row r="287" spans="1:40" x14ac:dyDescent="0.3">
      <c r="A287">
        <v>39</v>
      </c>
      <c r="B287">
        <v>10</v>
      </c>
      <c r="C287">
        <v>1</v>
      </c>
      <c r="D287">
        <v>20</v>
      </c>
      <c r="E287">
        <v>5</v>
      </c>
      <c r="F287">
        <v>1.2</v>
      </c>
      <c r="G287">
        <v>21</v>
      </c>
      <c r="H287">
        <v>7</v>
      </c>
      <c r="I287">
        <v>0.3</v>
      </c>
      <c r="J287">
        <v>326886261.50563133</v>
      </c>
      <c r="K287">
        <v>165447000</v>
      </c>
      <c r="L287">
        <v>79944842.291348562</v>
      </c>
      <c r="M287">
        <v>77259600</v>
      </c>
      <c r="N287">
        <v>15764506.799999999</v>
      </c>
      <c r="O287">
        <v>231.33841899999999</v>
      </c>
      <c r="P287">
        <v>2.6420066179793467</v>
      </c>
      <c r="Q287">
        <v>43.744245599999999</v>
      </c>
      <c r="R287">
        <v>802.391389</v>
      </c>
      <c r="S287">
        <v>1.35786487E-10</v>
      </c>
      <c r="T287">
        <v>21.405490226124755</v>
      </c>
      <c r="U287">
        <v>100.934</v>
      </c>
      <c r="V287">
        <v>-602.63659663702754</v>
      </c>
      <c r="W287">
        <v>69.278186399999996</v>
      </c>
      <c r="X287">
        <v>95.065285200000005</v>
      </c>
      <c r="Y287">
        <v>121.52199999999999</v>
      </c>
      <c r="Z287">
        <v>255.41330099999999</v>
      </c>
      <c r="AA287">
        <v>99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101.64200661797935</v>
      </c>
    </row>
    <row r="288" spans="1:40" x14ac:dyDescent="0.3">
      <c r="A288">
        <v>27</v>
      </c>
      <c r="B288">
        <v>19</v>
      </c>
      <c r="C288">
        <v>1.8046748905017931</v>
      </c>
      <c r="D288">
        <v>13</v>
      </c>
      <c r="E288">
        <v>10</v>
      </c>
      <c r="F288">
        <v>0.58586040300330799</v>
      </c>
      <c r="G288">
        <v>10</v>
      </c>
      <c r="H288">
        <v>8</v>
      </c>
      <c r="I288">
        <v>1.384458492863567</v>
      </c>
      <c r="J288">
        <v>326886261.50563133</v>
      </c>
      <c r="K288">
        <v>165447000</v>
      </c>
      <c r="L288">
        <v>79944842.291348562</v>
      </c>
      <c r="M288">
        <v>77259600</v>
      </c>
      <c r="N288">
        <v>15764506.799999999</v>
      </c>
      <c r="O288">
        <v>231.33841899999999</v>
      </c>
      <c r="P288">
        <v>2.6420066179793467</v>
      </c>
      <c r="Q288">
        <v>43.744245599999999</v>
      </c>
      <c r="R288">
        <v>802.391389</v>
      </c>
      <c r="S288">
        <v>1.35786487E-10</v>
      </c>
      <c r="T288">
        <v>21.405490226124755</v>
      </c>
      <c r="U288">
        <v>100.934</v>
      </c>
      <c r="V288">
        <v>-602.63659663702754</v>
      </c>
      <c r="W288">
        <v>69.278186399999996</v>
      </c>
      <c r="X288">
        <v>95.065285200000005</v>
      </c>
      <c r="Y288">
        <v>121.52199999999999</v>
      </c>
      <c r="Z288">
        <v>255.41330099999999</v>
      </c>
      <c r="AA288">
        <v>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101.64200661797935</v>
      </c>
    </row>
    <row r="289" spans="1:40" x14ac:dyDescent="0.3">
      <c r="A289">
        <v>27</v>
      </c>
      <c r="B289">
        <v>19</v>
      </c>
      <c r="C289">
        <v>15</v>
      </c>
      <c r="D289">
        <v>29</v>
      </c>
      <c r="E289">
        <v>5</v>
      </c>
      <c r="F289">
        <v>1.2</v>
      </c>
      <c r="G289">
        <v>22</v>
      </c>
      <c r="H289">
        <v>7</v>
      </c>
      <c r="I289">
        <v>1.4</v>
      </c>
      <c r="J289">
        <v>326886261.50563133</v>
      </c>
      <c r="K289">
        <v>165447000</v>
      </c>
      <c r="L289">
        <v>79944842.291348562</v>
      </c>
      <c r="M289">
        <v>77259600</v>
      </c>
      <c r="N289">
        <v>15764506.799999999</v>
      </c>
      <c r="O289">
        <v>231.33841899999999</v>
      </c>
      <c r="P289">
        <v>2.6420066179793467</v>
      </c>
      <c r="Q289">
        <v>43.744245599999999</v>
      </c>
      <c r="R289">
        <v>802.391389</v>
      </c>
      <c r="S289">
        <v>1.35786487E-10</v>
      </c>
      <c r="T289">
        <v>21.405490226124755</v>
      </c>
      <c r="U289">
        <v>100.934</v>
      </c>
      <c r="V289">
        <v>-602.63659663702754</v>
      </c>
      <c r="W289">
        <v>69.278186399999996</v>
      </c>
      <c r="X289">
        <v>95.065285200000005</v>
      </c>
      <c r="Y289">
        <v>121.52199999999999</v>
      </c>
      <c r="Z289">
        <v>255.41330099999999</v>
      </c>
      <c r="AA289">
        <v>99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101.64200661797935</v>
      </c>
    </row>
    <row r="290" spans="1:40" x14ac:dyDescent="0.3">
      <c r="A290">
        <v>39</v>
      </c>
      <c r="B290">
        <v>19</v>
      </c>
      <c r="C290">
        <v>1</v>
      </c>
      <c r="D290">
        <v>24</v>
      </c>
      <c r="E290">
        <v>14</v>
      </c>
      <c r="F290">
        <v>0.3</v>
      </c>
      <c r="G290">
        <v>10</v>
      </c>
      <c r="H290">
        <v>7</v>
      </c>
      <c r="I290">
        <v>0.3</v>
      </c>
      <c r="J290">
        <v>326886261.50563133</v>
      </c>
      <c r="K290">
        <v>165447000</v>
      </c>
      <c r="L290">
        <v>79944842.291348562</v>
      </c>
      <c r="M290">
        <v>77259600</v>
      </c>
      <c r="N290">
        <v>15764506.799999999</v>
      </c>
      <c r="O290">
        <v>231.33841899999999</v>
      </c>
      <c r="P290">
        <v>2.6420066179793467</v>
      </c>
      <c r="Q290">
        <v>43.744245599999999</v>
      </c>
      <c r="R290">
        <v>802.391389</v>
      </c>
      <c r="S290">
        <v>1.35786487E-10</v>
      </c>
      <c r="T290">
        <v>21.405490226124755</v>
      </c>
      <c r="U290">
        <v>100.934</v>
      </c>
      <c r="V290">
        <v>-602.63659663702754</v>
      </c>
      <c r="W290">
        <v>69.278186399999996</v>
      </c>
      <c r="X290">
        <v>95.065285200000005</v>
      </c>
      <c r="Y290">
        <v>121.52199999999999</v>
      </c>
      <c r="Z290">
        <v>255.41330099999999</v>
      </c>
      <c r="AA290">
        <v>99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101.64200661797935</v>
      </c>
    </row>
    <row r="291" spans="1:40" x14ac:dyDescent="0.3">
      <c r="A291">
        <v>39</v>
      </c>
      <c r="B291">
        <v>19</v>
      </c>
      <c r="C291">
        <v>1</v>
      </c>
      <c r="D291">
        <v>15</v>
      </c>
      <c r="E291">
        <v>5</v>
      </c>
      <c r="F291">
        <v>0.3</v>
      </c>
      <c r="G291">
        <v>10</v>
      </c>
      <c r="H291">
        <v>7</v>
      </c>
      <c r="I291">
        <v>1.4</v>
      </c>
      <c r="J291">
        <v>326886261.50563133</v>
      </c>
      <c r="K291">
        <v>165447000</v>
      </c>
      <c r="L291">
        <v>79944842.291348562</v>
      </c>
      <c r="M291">
        <v>77259600</v>
      </c>
      <c r="N291">
        <v>15764506.799999999</v>
      </c>
      <c r="O291">
        <v>231.33841899999999</v>
      </c>
      <c r="P291">
        <v>2.6420066179793467</v>
      </c>
      <c r="Q291">
        <v>43.744245599999999</v>
      </c>
      <c r="R291">
        <v>802.391389</v>
      </c>
      <c r="S291">
        <v>1.35786487E-10</v>
      </c>
      <c r="T291">
        <v>21.405490226124755</v>
      </c>
      <c r="U291">
        <v>100.934</v>
      </c>
      <c r="V291">
        <v>-602.63659663702754</v>
      </c>
      <c r="W291">
        <v>69.278186399999996</v>
      </c>
      <c r="X291">
        <v>95.065285200000005</v>
      </c>
      <c r="Y291">
        <v>121.52199999999999</v>
      </c>
      <c r="Z291">
        <v>255.41330099999999</v>
      </c>
      <c r="AA291">
        <v>99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101.64200661797935</v>
      </c>
    </row>
    <row r="292" spans="1:40" x14ac:dyDescent="0.3">
      <c r="A292">
        <v>34</v>
      </c>
      <c r="B292">
        <v>19</v>
      </c>
      <c r="C292">
        <v>7.7319253135894979</v>
      </c>
      <c r="D292">
        <v>19</v>
      </c>
      <c r="E292">
        <v>5</v>
      </c>
      <c r="F292">
        <v>0.3</v>
      </c>
      <c r="G292">
        <v>10</v>
      </c>
      <c r="H292">
        <v>8</v>
      </c>
      <c r="I292">
        <v>1.4</v>
      </c>
      <c r="J292">
        <v>326886261.50563133</v>
      </c>
      <c r="K292">
        <v>165447000</v>
      </c>
      <c r="L292">
        <v>79944842.291348562</v>
      </c>
      <c r="M292">
        <v>77259600</v>
      </c>
      <c r="N292">
        <v>15764506.799999999</v>
      </c>
      <c r="O292">
        <v>231.33841899999999</v>
      </c>
      <c r="P292">
        <v>2.6420066179793467</v>
      </c>
      <c r="Q292">
        <v>43.744245599999999</v>
      </c>
      <c r="R292">
        <v>802.391389</v>
      </c>
      <c r="S292">
        <v>1.35786487E-10</v>
      </c>
      <c r="T292">
        <v>21.405490226124755</v>
      </c>
      <c r="U292">
        <v>100.934</v>
      </c>
      <c r="V292">
        <v>-602.63659663702754</v>
      </c>
      <c r="W292">
        <v>69.278186399999996</v>
      </c>
      <c r="X292">
        <v>95.065285200000005</v>
      </c>
      <c r="Y292">
        <v>121.52199999999999</v>
      </c>
      <c r="Z292">
        <v>255.41330099999999</v>
      </c>
      <c r="AA292">
        <v>99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101.64200661797935</v>
      </c>
    </row>
    <row r="293" spans="1:40" x14ac:dyDescent="0.3">
      <c r="A293">
        <v>27</v>
      </c>
      <c r="B293">
        <v>19</v>
      </c>
      <c r="C293">
        <v>5.0878573470802086</v>
      </c>
      <c r="D293">
        <v>25</v>
      </c>
      <c r="E293">
        <v>14</v>
      </c>
      <c r="F293">
        <v>0.3</v>
      </c>
      <c r="G293">
        <v>29</v>
      </c>
      <c r="H293">
        <v>14</v>
      </c>
      <c r="I293">
        <v>0.3</v>
      </c>
      <c r="J293">
        <v>326886261.50563133</v>
      </c>
      <c r="K293">
        <v>165447000</v>
      </c>
      <c r="L293">
        <v>79944842.291348562</v>
      </c>
      <c r="M293">
        <v>77259600</v>
      </c>
      <c r="N293">
        <v>15764506.799999999</v>
      </c>
      <c r="O293">
        <v>231.33841899999999</v>
      </c>
      <c r="P293">
        <v>2.6420066179793467</v>
      </c>
      <c r="Q293">
        <v>43.744245599999999</v>
      </c>
      <c r="R293">
        <v>802.391389</v>
      </c>
      <c r="S293">
        <v>1.35786487E-10</v>
      </c>
      <c r="T293">
        <v>21.405490226124755</v>
      </c>
      <c r="U293">
        <v>100.934</v>
      </c>
      <c r="V293">
        <v>-602.63659663702754</v>
      </c>
      <c r="W293">
        <v>69.278186399999996</v>
      </c>
      <c r="X293">
        <v>95.065285200000005</v>
      </c>
      <c r="Y293">
        <v>121.52199999999999</v>
      </c>
      <c r="Z293">
        <v>255.41330099999999</v>
      </c>
      <c r="AA293">
        <v>99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101.64200661797935</v>
      </c>
    </row>
    <row r="294" spans="1:40" x14ac:dyDescent="0.3">
      <c r="A294">
        <v>32</v>
      </c>
      <c r="B294">
        <v>19</v>
      </c>
      <c r="C294">
        <v>10.33940259089283</v>
      </c>
      <c r="D294">
        <v>10</v>
      </c>
      <c r="E294">
        <v>5</v>
      </c>
      <c r="F294">
        <v>0.97669852514520705</v>
      </c>
      <c r="G294">
        <v>13</v>
      </c>
      <c r="H294">
        <v>11</v>
      </c>
      <c r="I294">
        <v>0.3</v>
      </c>
      <c r="J294">
        <v>326886261.50563133</v>
      </c>
      <c r="K294">
        <v>165447000</v>
      </c>
      <c r="L294">
        <v>79944842.291348562</v>
      </c>
      <c r="M294">
        <v>77259600</v>
      </c>
      <c r="N294">
        <v>15764506.799999999</v>
      </c>
      <c r="O294">
        <v>231.33841899999999</v>
      </c>
      <c r="P294">
        <v>2.6420066179793467</v>
      </c>
      <c r="Q294">
        <v>43.744245599999999</v>
      </c>
      <c r="R294">
        <v>802.391389</v>
      </c>
      <c r="S294">
        <v>1.35786487E-10</v>
      </c>
      <c r="T294">
        <v>21.405490226124755</v>
      </c>
      <c r="U294">
        <v>100.934</v>
      </c>
      <c r="V294">
        <v>-602.63659663702754</v>
      </c>
      <c r="W294">
        <v>69.278186399999996</v>
      </c>
      <c r="X294">
        <v>95.065285200000005</v>
      </c>
      <c r="Y294">
        <v>121.52199999999999</v>
      </c>
      <c r="Z294">
        <v>255.41330099999999</v>
      </c>
      <c r="AA294">
        <v>99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101.64200661797935</v>
      </c>
    </row>
    <row r="295" spans="1:40" x14ac:dyDescent="0.3">
      <c r="A295">
        <v>27</v>
      </c>
      <c r="B295">
        <v>10</v>
      </c>
      <c r="C295">
        <v>15</v>
      </c>
      <c r="D295">
        <v>10</v>
      </c>
      <c r="E295">
        <v>5</v>
      </c>
      <c r="F295">
        <v>0.3</v>
      </c>
      <c r="G295">
        <v>10</v>
      </c>
      <c r="H295">
        <v>7</v>
      </c>
      <c r="I295">
        <v>1.4</v>
      </c>
      <c r="J295">
        <v>326886261.50563133</v>
      </c>
      <c r="K295">
        <v>165447000</v>
      </c>
      <c r="L295">
        <v>79944842.291348562</v>
      </c>
      <c r="M295">
        <v>77259600</v>
      </c>
      <c r="N295">
        <v>15764506.799999999</v>
      </c>
      <c r="O295">
        <v>231.33841899999999</v>
      </c>
      <c r="P295">
        <v>2.6420066179793467</v>
      </c>
      <c r="Q295">
        <v>43.744245599999999</v>
      </c>
      <c r="R295">
        <v>802.391389</v>
      </c>
      <c r="S295">
        <v>1.35786487E-10</v>
      </c>
      <c r="T295">
        <v>21.405490226124755</v>
      </c>
      <c r="U295">
        <v>100.934</v>
      </c>
      <c r="V295">
        <v>-602.63659663702754</v>
      </c>
      <c r="W295">
        <v>69.278186399999996</v>
      </c>
      <c r="X295">
        <v>95.065285200000005</v>
      </c>
      <c r="Y295">
        <v>121.52199999999999</v>
      </c>
      <c r="Z295">
        <v>255.41330099999999</v>
      </c>
      <c r="AA295">
        <v>99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101.64200661797935</v>
      </c>
    </row>
    <row r="296" spans="1:40" x14ac:dyDescent="0.3">
      <c r="A296">
        <v>27</v>
      </c>
      <c r="B296">
        <v>10</v>
      </c>
      <c r="C296">
        <v>15</v>
      </c>
      <c r="D296">
        <v>18</v>
      </c>
      <c r="E296">
        <v>5</v>
      </c>
      <c r="F296">
        <v>0.3</v>
      </c>
      <c r="G296">
        <v>29</v>
      </c>
      <c r="H296">
        <v>7</v>
      </c>
      <c r="I296">
        <v>1.4</v>
      </c>
      <c r="J296">
        <v>326886261.50563133</v>
      </c>
      <c r="K296">
        <v>165447000</v>
      </c>
      <c r="L296">
        <v>79944842.291348562</v>
      </c>
      <c r="M296">
        <v>77259600</v>
      </c>
      <c r="N296">
        <v>15764506.799999999</v>
      </c>
      <c r="O296">
        <v>231.33841899999999</v>
      </c>
      <c r="P296">
        <v>2.6420066179793467</v>
      </c>
      <c r="Q296">
        <v>43.744245599999999</v>
      </c>
      <c r="R296">
        <v>802.391389</v>
      </c>
      <c r="S296">
        <v>1.35786487E-10</v>
      </c>
      <c r="T296">
        <v>21.405490226124755</v>
      </c>
      <c r="U296">
        <v>100.934</v>
      </c>
      <c r="V296">
        <v>-602.63659663702754</v>
      </c>
      <c r="W296">
        <v>69.278186399999996</v>
      </c>
      <c r="X296">
        <v>95.065285200000005</v>
      </c>
      <c r="Y296">
        <v>121.52199999999999</v>
      </c>
      <c r="Z296">
        <v>255.41330099999999</v>
      </c>
      <c r="AA296">
        <v>99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101.64200661797935</v>
      </c>
    </row>
    <row r="297" spans="1:40" x14ac:dyDescent="0.3">
      <c r="A297">
        <v>27</v>
      </c>
      <c r="B297">
        <v>12</v>
      </c>
      <c r="C297">
        <v>7.6875017686312583</v>
      </c>
      <c r="D297">
        <v>29</v>
      </c>
      <c r="E297">
        <v>14</v>
      </c>
      <c r="F297">
        <v>0.3</v>
      </c>
      <c r="G297">
        <v>29</v>
      </c>
      <c r="H297">
        <v>7</v>
      </c>
      <c r="I297">
        <v>1.4</v>
      </c>
      <c r="J297">
        <v>326886261.50563133</v>
      </c>
      <c r="K297">
        <v>165447000</v>
      </c>
      <c r="L297">
        <v>79944842.291348562</v>
      </c>
      <c r="M297">
        <v>77259600</v>
      </c>
      <c r="N297">
        <v>15764506.799999999</v>
      </c>
      <c r="O297">
        <v>231.33841899999999</v>
      </c>
      <c r="P297">
        <v>2.6420066179793467</v>
      </c>
      <c r="Q297">
        <v>43.744245599999999</v>
      </c>
      <c r="R297">
        <v>802.391389</v>
      </c>
      <c r="S297">
        <v>1.35786487E-10</v>
      </c>
      <c r="T297">
        <v>21.405490226124755</v>
      </c>
      <c r="U297">
        <v>100.934</v>
      </c>
      <c r="V297">
        <v>-602.63659663702754</v>
      </c>
      <c r="W297">
        <v>69.278186399999996</v>
      </c>
      <c r="X297">
        <v>95.065285200000005</v>
      </c>
      <c r="Y297">
        <v>121.52199999999999</v>
      </c>
      <c r="Z297">
        <v>255.41330099999999</v>
      </c>
      <c r="AA297">
        <v>99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101.64200661797935</v>
      </c>
    </row>
    <row r="298" spans="1:40" x14ac:dyDescent="0.3">
      <c r="A298">
        <v>27</v>
      </c>
      <c r="B298">
        <v>10</v>
      </c>
      <c r="C298">
        <v>1</v>
      </c>
      <c r="D298">
        <v>10</v>
      </c>
      <c r="E298">
        <v>5</v>
      </c>
      <c r="F298">
        <v>0.3</v>
      </c>
      <c r="G298">
        <v>19</v>
      </c>
      <c r="H298">
        <v>7</v>
      </c>
      <c r="I298">
        <v>1.4</v>
      </c>
      <c r="J298">
        <v>326886261.50563133</v>
      </c>
      <c r="K298">
        <v>165447000</v>
      </c>
      <c r="L298">
        <v>79944842.291348562</v>
      </c>
      <c r="M298">
        <v>77259600</v>
      </c>
      <c r="N298">
        <v>15764506.799999999</v>
      </c>
      <c r="O298">
        <v>231.33841899999999</v>
      </c>
      <c r="P298">
        <v>2.6420066179793467</v>
      </c>
      <c r="Q298">
        <v>43.744245599999999</v>
      </c>
      <c r="R298">
        <v>802.391389</v>
      </c>
      <c r="S298">
        <v>1.35786487E-10</v>
      </c>
      <c r="T298">
        <v>21.405490226124755</v>
      </c>
      <c r="U298">
        <v>100.934</v>
      </c>
      <c r="V298">
        <v>-602.63659663702754</v>
      </c>
      <c r="W298">
        <v>69.278186399999996</v>
      </c>
      <c r="X298">
        <v>95.065285200000005</v>
      </c>
      <c r="Y298">
        <v>121.52199999999999</v>
      </c>
      <c r="Z298">
        <v>255.41330099999999</v>
      </c>
      <c r="AA298">
        <v>99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101.64200661797935</v>
      </c>
    </row>
    <row r="299" spans="1:40" x14ac:dyDescent="0.3">
      <c r="A299">
        <v>39</v>
      </c>
      <c r="B299">
        <v>15</v>
      </c>
      <c r="C299">
        <v>4.8345869717343328</v>
      </c>
      <c r="D299">
        <v>25</v>
      </c>
      <c r="E299">
        <v>5</v>
      </c>
      <c r="F299">
        <v>0.3</v>
      </c>
      <c r="G299">
        <v>21</v>
      </c>
      <c r="H299">
        <v>14</v>
      </c>
      <c r="I299">
        <v>1.4</v>
      </c>
      <c r="J299">
        <v>326886261.50563133</v>
      </c>
      <c r="K299">
        <v>165447000</v>
      </c>
      <c r="L299">
        <v>79944842.291348562</v>
      </c>
      <c r="M299">
        <v>77259600</v>
      </c>
      <c r="N299">
        <v>15764506.799999999</v>
      </c>
      <c r="O299">
        <v>231.33841899999999</v>
      </c>
      <c r="P299">
        <v>2.6420066179793467</v>
      </c>
      <c r="Q299">
        <v>43.744245599999999</v>
      </c>
      <c r="R299">
        <v>802.391389</v>
      </c>
      <c r="S299">
        <v>1.35786487E-10</v>
      </c>
      <c r="T299">
        <v>21.405490226124755</v>
      </c>
      <c r="U299">
        <v>100.934</v>
      </c>
      <c r="V299">
        <v>-602.63659663702754</v>
      </c>
      <c r="W299">
        <v>69.278186399999996</v>
      </c>
      <c r="X299">
        <v>95.065285200000005</v>
      </c>
      <c r="Y299">
        <v>121.52199999999999</v>
      </c>
      <c r="Z299">
        <v>255.41330099999999</v>
      </c>
      <c r="AA299">
        <v>99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101.64200661797935</v>
      </c>
    </row>
    <row r="300" spans="1:40" x14ac:dyDescent="0.3">
      <c r="A300">
        <v>27</v>
      </c>
      <c r="B300">
        <v>19</v>
      </c>
      <c r="C300">
        <v>1</v>
      </c>
      <c r="D300">
        <v>17</v>
      </c>
      <c r="E300">
        <v>5</v>
      </c>
      <c r="F300">
        <v>0.3</v>
      </c>
      <c r="G300">
        <v>17</v>
      </c>
      <c r="H300">
        <v>9</v>
      </c>
      <c r="I300">
        <v>0.3</v>
      </c>
      <c r="J300">
        <v>326886261.50563133</v>
      </c>
      <c r="K300">
        <v>165447000</v>
      </c>
      <c r="L300">
        <v>79944842.291348562</v>
      </c>
      <c r="M300">
        <v>77259600</v>
      </c>
      <c r="N300">
        <v>15764506.799999999</v>
      </c>
      <c r="O300">
        <v>231.33841899999999</v>
      </c>
      <c r="P300">
        <v>2.6420066179793467</v>
      </c>
      <c r="Q300">
        <v>43.744245599999999</v>
      </c>
      <c r="R300">
        <v>802.391389</v>
      </c>
      <c r="S300">
        <v>1.35786487E-10</v>
      </c>
      <c r="T300">
        <v>21.405490226124755</v>
      </c>
      <c r="U300">
        <v>100.934</v>
      </c>
      <c r="V300">
        <v>-602.63659663702754</v>
      </c>
      <c r="W300">
        <v>69.278186399999996</v>
      </c>
      <c r="X300">
        <v>95.065285200000005</v>
      </c>
      <c r="Y300">
        <v>121.52199999999999</v>
      </c>
      <c r="Z300">
        <v>255.41330099999999</v>
      </c>
      <c r="AA300">
        <v>99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101.64200661797935</v>
      </c>
    </row>
    <row r="301" spans="1:40" x14ac:dyDescent="0.3">
      <c r="A301">
        <v>33</v>
      </c>
      <c r="B301">
        <v>19</v>
      </c>
      <c r="C301">
        <v>6.8399734854760625</v>
      </c>
      <c r="D301">
        <v>13</v>
      </c>
      <c r="E301">
        <v>5</v>
      </c>
      <c r="F301">
        <v>0.3</v>
      </c>
      <c r="G301">
        <v>21</v>
      </c>
      <c r="H301">
        <v>14</v>
      </c>
      <c r="I301">
        <v>0.3</v>
      </c>
      <c r="J301">
        <v>326886261.50563133</v>
      </c>
      <c r="K301">
        <v>165447000</v>
      </c>
      <c r="L301">
        <v>79944842.291348562</v>
      </c>
      <c r="M301">
        <v>77259600</v>
      </c>
      <c r="N301">
        <v>15764506.799999999</v>
      </c>
      <c r="O301">
        <v>231.33841899999999</v>
      </c>
      <c r="P301">
        <v>2.6420066179793467</v>
      </c>
      <c r="Q301">
        <v>43.744245599999999</v>
      </c>
      <c r="R301">
        <v>802.391389</v>
      </c>
      <c r="S301">
        <v>1.35786487E-10</v>
      </c>
      <c r="T301">
        <v>21.405490226124755</v>
      </c>
      <c r="U301">
        <v>100.934</v>
      </c>
      <c r="V301">
        <v>-602.63659663702754</v>
      </c>
      <c r="W301">
        <v>69.278186399999996</v>
      </c>
      <c r="X301">
        <v>95.065285200000005</v>
      </c>
      <c r="Y301">
        <v>121.52199999999999</v>
      </c>
      <c r="Z301">
        <v>255.41330099999999</v>
      </c>
      <c r="AA301">
        <v>99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101.64200661797935</v>
      </c>
    </row>
    <row r="302" spans="1:40" x14ac:dyDescent="0.3">
      <c r="A302">
        <v>29</v>
      </c>
      <c r="B302">
        <v>10</v>
      </c>
      <c r="C302">
        <v>5.6331589698326745</v>
      </c>
      <c r="D302">
        <v>29</v>
      </c>
      <c r="E302">
        <v>14</v>
      </c>
      <c r="F302">
        <v>1.2</v>
      </c>
      <c r="G302">
        <v>19</v>
      </c>
      <c r="H302">
        <v>14</v>
      </c>
      <c r="I302">
        <v>0.3</v>
      </c>
      <c r="J302">
        <v>326886261.50563133</v>
      </c>
      <c r="K302">
        <v>165447000</v>
      </c>
      <c r="L302">
        <v>79944842.291348562</v>
      </c>
      <c r="M302">
        <v>77259600</v>
      </c>
      <c r="N302">
        <v>15764506.799999999</v>
      </c>
      <c r="O302">
        <v>231.33841899999999</v>
      </c>
      <c r="P302">
        <v>2.6420066179793467</v>
      </c>
      <c r="Q302">
        <v>43.744245599999999</v>
      </c>
      <c r="R302">
        <v>802.391389</v>
      </c>
      <c r="S302">
        <v>1.35786487E-10</v>
      </c>
      <c r="T302">
        <v>21.405490226124755</v>
      </c>
      <c r="U302">
        <v>100.934</v>
      </c>
      <c r="V302">
        <v>-602.63659663702754</v>
      </c>
      <c r="W302">
        <v>69.278186399999996</v>
      </c>
      <c r="X302">
        <v>95.065285200000005</v>
      </c>
      <c r="Y302">
        <v>121.52199999999999</v>
      </c>
      <c r="Z302">
        <v>255.41330099999999</v>
      </c>
      <c r="AA302">
        <v>99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101.64200661797935</v>
      </c>
    </row>
    <row r="303" spans="1:40" x14ac:dyDescent="0.3">
      <c r="A303">
        <v>27</v>
      </c>
      <c r="B303">
        <v>19</v>
      </c>
      <c r="C303">
        <v>15</v>
      </c>
      <c r="D303">
        <v>28</v>
      </c>
      <c r="E303">
        <v>6</v>
      </c>
      <c r="F303">
        <v>0.62702004538099532</v>
      </c>
      <c r="G303">
        <v>12</v>
      </c>
      <c r="H303">
        <v>10</v>
      </c>
      <c r="I303">
        <v>1.4</v>
      </c>
      <c r="J303">
        <v>326886261.50563133</v>
      </c>
      <c r="K303">
        <v>165447000</v>
      </c>
      <c r="L303">
        <v>79944842.291348562</v>
      </c>
      <c r="M303">
        <v>77259600</v>
      </c>
      <c r="N303">
        <v>15764506.799999999</v>
      </c>
      <c r="O303">
        <v>231.33841899999999</v>
      </c>
      <c r="P303">
        <v>2.6420066179793467</v>
      </c>
      <c r="Q303">
        <v>43.744245599999999</v>
      </c>
      <c r="R303">
        <v>802.391389</v>
      </c>
      <c r="S303">
        <v>1.35786487E-10</v>
      </c>
      <c r="T303">
        <v>21.405490226124755</v>
      </c>
      <c r="U303">
        <v>100.934</v>
      </c>
      <c r="V303">
        <v>-602.63659663702754</v>
      </c>
      <c r="W303">
        <v>69.278186399999996</v>
      </c>
      <c r="X303">
        <v>95.065285200000005</v>
      </c>
      <c r="Y303">
        <v>121.52199999999999</v>
      </c>
      <c r="Z303">
        <v>255.41330099999999</v>
      </c>
      <c r="AA303">
        <v>99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101.64200661797935</v>
      </c>
    </row>
    <row r="304" spans="1:40" x14ac:dyDescent="0.3">
      <c r="A304">
        <v>30</v>
      </c>
      <c r="B304">
        <v>19</v>
      </c>
      <c r="C304">
        <v>1</v>
      </c>
      <c r="D304">
        <v>29</v>
      </c>
      <c r="E304">
        <v>5</v>
      </c>
      <c r="F304">
        <v>0.3</v>
      </c>
      <c r="G304">
        <v>14</v>
      </c>
      <c r="H304">
        <v>7</v>
      </c>
      <c r="I304">
        <v>1.4</v>
      </c>
      <c r="J304">
        <v>326886261.50563133</v>
      </c>
      <c r="K304">
        <v>165447000</v>
      </c>
      <c r="L304">
        <v>79944842.291348562</v>
      </c>
      <c r="M304">
        <v>77259600</v>
      </c>
      <c r="N304">
        <v>15764506.799999999</v>
      </c>
      <c r="O304">
        <v>231.33841899999999</v>
      </c>
      <c r="P304">
        <v>2.6420066179793467</v>
      </c>
      <c r="Q304">
        <v>43.744245599999999</v>
      </c>
      <c r="R304">
        <v>802.391389</v>
      </c>
      <c r="S304">
        <v>1.35786487E-10</v>
      </c>
      <c r="T304">
        <v>21.405490226124755</v>
      </c>
      <c r="U304">
        <v>100.934</v>
      </c>
      <c r="V304">
        <v>-602.63659663702754</v>
      </c>
      <c r="W304">
        <v>69.278186399999996</v>
      </c>
      <c r="X304">
        <v>95.065285200000005</v>
      </c>
      <c r="Y304">
        <v>121.52199999999999</v>
      </c>
      <c r="Z304">
        <v>255.41330099999999</v>
      </c>
      <c r="AA304">
        <v>99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101.64200661797935</v>
      </c>
    </row>
    <row r="305" spans="1:40" x14ac:dyDescent="0.3">
      <c r="A305">
        <v>35</v>
      </c>
      <c r="B305">
        <v>19</v>
      </c>
      <c r="C305">
        <v>6.6402342611801197</v>
      </c>
      <c r="D305">
        <v>29</v>
      </c>
      <c r="E305">
        <v>5</v>
      </c>
      <c r="F305">
        <v>0.3</v>
      </c>
      <c r="G305">
        <v>29</v>
      </c>
      <c r="H305">
        <v>7</v>
      </c>
      <c r="I305">
        <v>0.3</v>
      </c>
      <c r="J305">
        <v>326886261.50563133</v>
      </c>
      <c r="K305">
        <v>165447000</v>
      </c>
      <c r="L305">
        <v>79944842.291348562</v>
      </c>
      <c r="M305">
        <v>77259600</v>
      </c>
      <c r="N305">
        <v>15764506.799999999</v>
      </c>
      <c r="O305">
        <v>231.33841899999999</v>
      </c>
      <c r="P305">
        <v>2.6420066179793467</v>
      </c>
      <c r="Q305">
        <v>43.744245599999999</v>
      </c>
      <c r="R305">
        <v>802.391389</v>
      </c>
      <c r="S305">
        <v>1.35786487E-10</v>
      </c>
      <c r="T305">
        <v>21.405490226124755</v>
      </c>
      <c r="U305">
        <v>100.934</v>
      </c>
      <c r="V305">
        <v>-602.63659663702754</v>
      </c>
      <c r="W305">
        <v>69.278186399999996</v>
      </c>
      <c r="X305">
        <v>95.065285200000005</v>
      </c>
      <c r="Y305">
        <v>121.52199999999999</v>
      </c>
      <c r="Z305">
        <v>255.41330099999999</v>
      </c>
      <c r="AA305">
        <v>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101.64200661797935</v>
      </c>
    </row>
    <row r="306" spans="1:40" x14ac:dyDescent="0.3">
      <c r="A306">
        <v>27</v>
      </c>
      <c r="B306">
        <v>14</v>
      </c>
      <c r="C306">
        <v>8.0474476209453538</v>
      </c>
      <c r="D306">
        <v>10</v>
      </c>
      <c r="E306">
        <v>5</v>
      </c>
      <c r="F306">
        <v>0.3</v>
      </c>
      <c r="G306">
        <v>24</v>
      </c>
      <c r="H306">
        <v>7</v>
      </c>
      <c r="I306">
        <v>1.4</v>
      </c>
      <c r="J306">
        <v>326886261.50563133</v>
      </c>
      <c r="K306">
        <v>165447000</v>
      </c>
      <c r="L306">
        <v>79944842.291348562</v>
      </c>
      <c r="M306">
        <v>77259600</v>
      </c>
      <c r="N306">
        <v>15764506.799999999</v>
      </c>
      <c r="O306">
        <v>231.33841899999999</v>
      </c>
      <c r="P306">
        <v>2.6420066179793467</v>
      </c>
      <c r="Q306">
        <v>43.744245599999999</v>
      </c>
      <c r="R306">
        <v>802.391389</v>
      </c>
      <c r="S306">
        <v>1.35786487E-10</v>
      </c>
      <c r="T306">
        <v>21.405490226124755</v>
      </c>
      <c r="U306">
        <v>100.934</v>
      </c>
      <c r="V306">
        <v>-602.63659663702754</v>
      </c>
      <c r="W306">
        <v>69.278186399999996</v>
      </c>
      <c r="X306">
        <v>95.065285200000005</v>
      </c>
      <c r="Y306">
        <v>121.52199999999999</v>
      </c>
      <c r="Z306">
        <v>255.41330099999999</v>
      </c>
      <c r="AA306">
        <v>99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101.64200661797935</v>
      </c>
    </row>
    <row r="307" spans="1:40" x14ac:dyDescent="0.3">
      <c r="A307">
        <v>27</v>
      </c>
      <c r="B307">
        <v>16</v>
      </c>
      <c r="C307">
        <v>12.231894346109017</v>
      </c>
      <c r="D307">
        <v>16</v>
      </c>
      <c r="E307">
        <v>14</v>
      </c>
      <c r="F307">
        <v>0.32090887649182426</v>
      </c>
      <c r="G307">
        <v>10</v>
      </c>
      <c r="H307">
        <v>7</v>
      </c>
      <c r="I307">
        <v>1.1036091746901209</v>
      </c>
      <c r="J307">
        <v>326886261.50563133</v>
      </c>
      <c r="K307">
        <v>165447000</v>
      </c>
      <c r="L307">
        <v>79944842.291348562</v>
      </c>
      <c r="M307">
        <v>77259600</v>
      </c>
      <c r="N307">
        <v>15764506.799999999</v>
      </c>
      <c r="O307">
        <v>231.33841899999999</v>
      </c>
      <c r="P307">
        <v>2.6420066179793467</v>
      </c>
      <c r="Q307">
        <v>43.744245599999999</v>
      </c>
      <c r="R307">
        <v>802.391389</v>
      </c>
      <c r="S307">
        <v>1.35786487E-10</v>
      </c>
      <c r="T307">
        <v>21.405490226124755</v>
      </c>
      <c r="U307">
        <v>100.934</v>
      </c>
      <c r="V307">
        <v>-602.63659663702754</v>
      </c>
      <c r="W307">
        <v>69.278186399999996</v>
      </c>
      <c r="X307">
        <v>95.065285200000005</v>
      </c>
      <c r="Y307">
        <v>121.52199999999999</v>
      </c>
      <c r="Z307">
        <v>255.41330099999999</v>
      </c>
      <c r="AA307">
        <v>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101.64200661797935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B4E5-33CC-451E-9DFE-E04F0BD639DE}">
  <dimension ref="A1:AN193"/>
  <sheetViews>
    <sheetView workbookViewId="0">
      <selection activeCell="J197" sqref="J197"/>
    </sheetView>
  </sheetViews>
  <sheetFormatPr defaultRowHeight="16.5" x14ac:dyDescent="0.3"/>
  <cols>
    <col min="1" max="16384" width="9" style="27"/>
  </cols>
  <sheetData>
    <row r="1" spans="1:40" x14ac:dyDescent="0.3">
      <c r="A1" s="27" t="s">
        <v>194</v>
      </c>
      <c r="B1" s="27" t="s">
        <v>195</v>
      </c>
      <c r="C1" s="27" t="s">
        <v>196</v>
      </c>
      <c r="D1" s="27" t="s">
        <v>197</v>
      </c>
      <c r="E1" s="27" t="s">
        <v>198</v>
      </c>
      <c r="F1" s="27" t="s">
        <v>199</v>
      </c>
      <c r="G1" s="27" t="s">
        <v>200</v>
      </c>
      <c r="H1" s="27" t="s">
        <v>201</v>
      </c>
      <c r="I1" s="27" t="s">
        <v>202</v>
      </c>
      <c r="J1" s="27" t="s">
        <v>203</v>
      </c>
      <c r="K1" s="27" t="s">
        <v>204</v>
      </c>
      <c r="L1" s="27" t="s">
        <v>205</v>
      </c>
      <c r="M1" s="27" t="s">
        <v>206</v>
      </c>
      <c r="N1" s="27" t="s">
        <v>207</v>
      </c>
      <c r="O1" s="27" t="s">
        <v>155</v>
      </c>
      <c r="P1" s="27" t="s">
        <v>208</v>
      </c>
      <c r="Q1" s="27" t="s">
        <v>185</v>
      </c>
      <c r="R1" s="27" t="s">
        <v>186</v>
      </c>
      <c r="S1" s="27" t="s">
        <v>187</v>
      </c>
      <c r="T1" s="27" t="s">
        <v>188</v>
      </c>
      <c r="U1" s="27" t="s">
        <v>209</v>
      </c>
      <c r="V1" s="27" t="s">
        <v>210</v>
      </c>
      <c r="W1" s="27" t="s">
        <v>355</v>
      </c>
      <c r="X1" s="27" t="s">
        <v>356</v>
      </c>
      <c r="Y1" s="27" t="s">
        <v>357</v>
      </c>
      <c r="Z1" s="27" t="s">
        <v>358</v>
      </c>
      <c r="AA1" s="27" t="s">
        <v>211</v>
      </c>
      <c r="AB1" s="27" t="s">
        <v>212</v>
      </c>
      <c r="AC1" s="27" t="s">
        <v>213</v>
      </c>
      <c r="AD1" s="27" t="s">
        <v>214</v>
      </c>
      <c r="AE1" s="27" t="s">
        <v>215</v>
      </c>
      <c r="AF1" s="27" t="s">
        <v>216</v>
      </c>
      <c r="AG1" s="27" t="s">
        <v>217</v>
      </c>
      <c r="AH1" s="27" t="s">
        <v>218</v>
      </c>
      <c r="AI1" s="27" t="s">
        <v>219</v>
      </c>
      <c r="AJ1" s="27" t="s">
        <v>359</v>
      </c>
      <c r="AK1" s="27" t="s">
        <v>360</v>
      </c>
      <c r="AL1" s="27" t="s">
        <v>361</v>
      </c>
      <c r="AM1" s="27" t="s">
        <v>362</v>
      </c>
      <c r="AN1" s="27" t="s">
        <v>389</v>
      </c>
    </row>
    <row r="2" spans="1:40" x14ac:dyDescent="0.3">
      <c r="A2" s="27">
        <v>30</v>
      </c>
      <c r="B2" s="27">
        <v>15</v>
      </c>
      <c r="C2" s="27">
        <v>3.6</v>
      </c>
      <c r="D2" s="27">
        <v>20</v>
      </c>
      <c r="E2" s="27">
        <v>10</v>
      </c>
      <c r="F2" s="27">
        <v>0.43</v>
      </c>
      <c r="G2" s="27">
        <v>20</v>
      </c>
      <c r="H2" s="27">
        <v>10</v>
      </c>
      <c r="I2" s="27">
        <v>0.72</v>
      </c>
      <c r="J2" s="27">
        <v>327193070.3792609</v>
      </c>
      <c r="K2" s="27">
        <v>165430000</v>
      </c>
      <c r="L2" s="27">
        <v>79925721.491231471</v>
      </c>
      <c r="M2" s="27">
        <v>77595700</v>
      </c>
      <c r="N2" s="27">
        <v>15759843.52</v>
      </c>
      <c r="O2" s="27">
        <v>230.15656999999999</v>
      </c>
      <c r="P2" s="27">
        <v>2.6497058463272514</v>
      </c>
      <c r="Q2" s="27">
        <v>43.94435</v>
      </c>
      <c r="R2" s="27">
        <v>801.48125900000002</v>
      </c>
      <c r="S2" s="27">
        <v>4.2540619600000001E-13</v>
      </c>
      <c r="T2" s="27">
        <v>21.871822717197833</v>
      </c>
      <c r="U2" s="27">
        <v>100.934</v>
      </c>
      <c r="V2" s="27">
        <v>-621.36517754628585</v>
      </c>
      <c r="W2" s="27">
        <v>69.225905100000006</v>
      </c>
      <c r="X2" s="27">
        <v>94.879776899999996</v>
      </c>
      <c r="Y2" s="27">
        <v>165.7</v>
      </c>
      <c r="Z2" s="27">
        <v>253.70994400000001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2.6497058463272514</v>
      </c>
    </row>
    <row r="3" spans="1:40" x14ac:dyDescent="0.3">
      <c r="A3" s="27">
        <v>27</v>
      </c>
      <c r="B3" s="27">
        <v>18</v>
      </c>
      <c r="C3" s="27">
        <v>1.7678789314498811</v>
      </c>
      <c r="D3" s="27">
        <v>22</v>
      </c>
      <c r="E3" s="27">
        <v>6</v>
      </c>
      <c r="F3" s="27">
        <v>0.33102022483810539</v>
      </c>
      <c r="G3" s="27">
        <v>20</v>
      </c>
      <c r="H3" s="27">
        <v>13</v>
      </c>
      <c r="I3" s="27">
        <v>1.1778380364374843</v>
      </c>
      <c r="J3" s="27">
        <v>326826125.37426382</v>
      </c>
      <c r="K3" s="27">
        <v>165409000</v>
      </c>
      <c r="L3" s="27">
        <v>79924520.214207903</v>
      </c>
      <c r="M3" s="27">
        <v>77562700</v>
      </c>
      <c r="N3" s="27">
        <v>15759543.52</v>
      </c>
      <c r="O3" s="27">
        <v>230.69332299999999</v>
      </c>
      <c r="P3" s="27">
        <v>2.6426906109031476</v>
      </c>
      <c r="Q3" s="27">
        <v>43.8115576</v>
      </c>
      <c r="R3" s="27">
        <v>800.72830800000008</v>
      </c>
      <c r="S3" s="27">
        <v>6.0261362300000004E-9</v>
      </c>
      <c r="T3" s="27">
        <v>21.817110334858416</v>
      </c>
      <c r="U3" s="27">
        <v>80.72</v>
      </c>
      <c r="V3" s="27">
        <v>-557.53606373955836</v>
      </c>
      <c r="W3" s="27">
        <v>69.363552799999994</v>
      </c>
      <c r="X3" s="27">
        <v>95.395388100000005</v>
      </c>
      <c r="Y3" s="27">
        <v>177.97</v>
      </c>
      <c r="Z3" s="27">
        <v>254.38641899999999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2.6426906109031476</v>
      </c>
    </row>
    <row r="4" spans="1:40" x14ac:dyDescent="0.3">
      <c r="A4" s="27">
        <v>31</v>
      </c>
      <c r="B4" s="27">
        <v>19</v>
      </c>
      <c r="C4" s="27">
        <v>4.7924542982452083</v>
      </c>
      <c r="D4" s="27">
        <v>26</v>
      </c>
      <c r="E4" s="27">
        <v>11</v>
      </c>
      <c r="F4" s="27">
        <v>0.72912611945283445</v>
      </c>
      <c r="G4" s="27">
        <v>18</v>
      </c>
      <c r="H4" s="27">
        <v>13</v>
      </c>
      <c r="I4" s="27">
        <v>1.0968122734805883</v>
      </c>
      <c r="J4" s="27">
        <v>327941426.54023737</v>
      </c>
      <c r="K4" s="27">
        <v>165467000</v>
      </c>
      <c r="L4" s="27">
        <v>79924720.441015169</v>
      </c>
      <c r="M4" s="27">
        <v>78123200</v>
      </c>
      <c r="N4" s="27">
        <v>15759576.639999999</v>
      </c>
      <c r="O4" s="27">
        <v>227.44522799999999</v>
      </c>
      <c r="P4" s="27">
        <v>2.6740064225387372</v>
      </c>
      <c r="Q4" s="27">
        <v>44.172465299999999</v>
      </c>
      <c r="R4" s="27">
        <v>804.08928800000001</v>
      </c>
      <c r="S4" s="27">
        <v>4.1883155899999997E-14</v>
      </c>
      <c r="T4" s="27">
        <v>22.311907357060658</v>
      </c>
      <c r="U4" s="27">
        <v>100.934</v>
      </c>
      <c r="V4" s="27">
        <v>-654.28534217515778</v>
      </c>
      <c r="W4" s="27">
        <v>69.221020800000005</v>
      </c>
      <c r="X4" s="27">
        <v>94.856881099999995</v>
      </c>
      <c r="Y4" s="27">
        <v>177.97</v>
      </c>
      <c r="Z4" s="27">
        <v>253.23888600000001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2.6740064225387372</v>
      </c>
    </row>
    <row r="5" spans="1:40" x14ac:dyDescent="0.3">
      <c r="A5" s="27">
        <v>37</v>
      </c>
      <c r="B5" s="27">
        <v>13</v>
      </c>
      <c r="C5" s="27">
        <v>2.9990756964792871</v>
      </c>
      <c r="D5" s="27">
        <v>16</v>
      </c>
      <c r="E5" s="27">
        <v>8</v>
      </c>
      <c r="F5" s="27">
        <v>1.1242948731868205</v>
      </c>
      <c r="G5" s="27">
        <v>19</v>
      </c>
      <c r="H5" s="27">
        <v>13</v>
      </c>
      <c r="I5" s="27">
        <v>0.6330120753238494</v>
      </c>
      <c r="J5" s="27">
        <v>327401680.45085943</v>
      </c>
      <c r="K5" s="27">
        <v>165449000</v>
      </c>
      <c r="L5" s="27">
        <v>79925621.412958309</v>
      </c>
      <c r="M5" s="27">
        <v>78265500</v>
      </c>
      <c r="N5" s="27">
        <v>15759792.640000001</v>
      </c>
      <c r="O5" s="27">
        <v>226.75964999999999</v>
      </c>
      <c r="P5" s="27">
        <v>2.6773545128105281</v>
      </c>
      <c r="Q5" s="27">
        <v>44.212355899999999</v>
      </c>
      <c r="R5" s="27">
        <v>804.67355199999997</v>
      </c>
      <c r="S5" s="27">
        <v>3.1673568900000001E-13</v>
      </c>
      <c r="T5" s="27">
        <v>22.406490867630154</v>
      </c>
      <c r="U5" s="27">
        <v>100.934</v>
      </c>
      <c r="V5" s="27">
        <v>-664.59764366099841</v>
      </c>
      <c r="W5" s="27">
        <v>69.229189300000002</v>
      </c>
      <c r="X5" s="27">
        <v>94.889840000000007</v>
      </c>
      <c r="Y5" s="27">
        <v>165.7</v>
      </c>
      <c r="Z5" s="27">
        <v>253.07691399999999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2.6773545128105281</v>
      </c>
    </row>
    <row r="6" spans="1:40" x14ac:dyDescent="0.3">
      <c r="A6" s="27">
        <v>33</v>
      </c>
      <c r="B6" s="27">
        <v>12</v>
      </c>
      <c r="C6" s="27">
        <v>7.5886839203190899</v>
      </c>
      <c r="D6" s="27">
        <v>25</v>
      </c>
      <c r="E6" s="27">
        <v>13</v>
      </c>
      <c r="F6" s="27">
        <v>0.86855122678069763</v>
      </c>
      <c r="G6" s="27">
        <v>19</v>
      </c>
      <c r="H6" s="27">
        <v>13</v>
      </c>
      <c r="I6" s="27">
        <v>0.96057899173616712</v>
      </c>
      <c r="J6" s="27">
        <v>328445822.02407104</v>
      </c>
      <c r="K6" s="27">
        <v>165490000</v>
      </c>
      <c r="L6" s="27">
        <v>79924720.444302231</v>
      </c>
      <c r="M6" s="27">
        <v>78279000</v>
      </c>
      <c r="N6" s="27">
        <v>15759586.560000001</v>
      </c>
      <c r="O6" s="27">
        <v>226.61065199999999</v>
      </c>
      <c r="P6" s="27">
        <v>2.682778510668463</v>
      </c>
      <c r="Q6" s="27">
        <v>44.234029100000001</v>
      </c>
      <c r="R6" s="27">
        <v>804.904403</v>
      </c>
      <c r="S6" s="27">
        <v>6.6895233899999999E-19</v>
      </c>
      <c r="T6" s="27">
        <v>22.455516498947322</v>
      </c>
      <c r="U6" s="27">
        <v>100.934</v>
      </c>
      <c r="V6" s="27">
        <v>-667.4428807743559</v>
      </c>
      <c r="W6" s="27">
        <v>69.220961599999995</v>
      </c>
      <c r="X6" s="27">
        <v>94.854626800000005</v>
      </c>
      <c r="Y6" s="27">
        <v>177.97</v>
      </c>
      <c r="Z6" s="27">
        <v>252.831391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2.682778510668463</v>
      </c>
    </row>
    <row r="7" spans="1:40" x14ac:dyDescent="0.3">
      <c r="A7" s="27">
        <v>28</v>
      </c>
      <c r="B7" s="27">
        <v>11</v>
      </c>
      <c r="C7" s="27">
        <v>8.7349074597503495</v>
      </c>
      <c r="D7" s="27">
        <v>26</v>
      </c>
      <c r="E7" s="27">
        <v>13</v>
      </c>
      <c r="F7" s="27">
        <v>0.75414594634324095</v>
      </c>
      <c r="G7" s="27">
        <v>16</v>
      </c>
      <c r="H7" s="27">
        <v>12</v>
      </c>
      <c r="I7" s="27">
        <v>1.0533796435481055</v>
      </c>
      <c r="J7" s="27">
        <v>328523476.21999496</v>
      </c>
      <c r="K7" s="27">
        <v>165472000</v>
      </c>
      <c r="L7" s="27">
        <v>79925321.004540861</v>
      </c>
      <c r="M7" s="27">
        <v>78203600</v>
      </c>
      <c r="N7" s="27">
        <v>15759677.359999999</v>
      </c>
      <c r="O7" s="27">
        <v>227.05824100000001</v>
      </c>
      <c r="P7" s="27">
        <v>2.6788381866024396</v>
      </c>
      <c r="Q7" s="27">
        <v>44.195915300000003</v>
      </c>
      <c r="R7" s="27">
        <v>804.545884</v>
      </c>
      <c r="S7" s="27">
        <v>2.2241191200000001E-18</v>
      </c>
      <c r="T7" s="27">
        <v>22.387462331707439</v>
      </c>
      <c r="U7" s="27">
        <v>100.934</v>
      </c>
      <c r="V7" s="27">
        <v>-659.44323368331686</v>
      </c>
      <c r="W7" s="27">
        <v>69.222907300000003</v>
      </c>
      <c r="X7" s="27">
        <v>94.8660742</v>
      </c>
      <c r="Y7" s="27">
        <v>177.97</v>
      </c>
      <c r="Z7" s="27">
        <v>253.54835299999999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2.6788381866024396</v>
      </c>
    </row>
    <row r="8" spans="1:40" x14ac:dyDescent="0.3">
      <c r="A8" s="27">
        <v>27</v>
      </c>
      <c r="B8" s="27">
        <v>10</v>
      </c>
      <c r="C8" s="27">
        <v>1</v>
      </c>
      <c r="D8" s="27">
        <v>10</v>
      </c>
      <c r="E8" s="27">
        <v>5</v>
      </c>
      <c r="F8" s="27">
        <v>0.3</v>
      </c>
      <c r="G8" s="27">
        <v>29</v>
      </c>
      <c r="H8" s="27">
        <v>14</v>
      </c>
      <c r="I8" s="27">
        <v>1.4</v>
      </c>
      <c r="J8" s="27">
        <v>326602218.92979205</v>
      </c>
      <c r="K8" s="27">
        <v>165407000</v>
      </c>
      <c r="L8" s="27">
        <v>79924420.028899789</v>
      </c>
      <c r="M8" s="27">
        <v>77882800</v>
      </c>
      <c r="N8" s="27">
        <v>15759504.639999999</v>
      </c>
      <c r="O8" s="27">
        <v>229.31465499999999</v>
      </c>
      <c r="P8" s="27">
        <v>2.6517154760332988</v>
      </c>
      <c r="Q8" s="27">
        <v>43.712630799999999</v>
      </c>
      <c r="R8" s="27">
        <v>802.43618200000003</v>
      </c>
      <c r="S8" s="27">
        <v>5.60075047E-8</v>
      </c>
      <c r="T8" s="27">
        <v>21.475174138771607</v>
      </c>
      <c r="U8" s="27">
        <v>91.850000000000009</v>
      </c>
      <c r="V8" s="27">
        <v>-481.55194138560432</v>
      </c>
      <c r="W8" s="27">
        <v>69.595135200000001</v>
      </c>
      <c r="X8" s="27">
        <v>97.136021</v>
      </c>
      <c r="Y8" s="27">
        <v>144.29</v>
      </c>
      <c r="Z8" s="27">
        <v>254.35258099999999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2.6517154760332988</v>
      </c>
    </row>
    <row r="9" spans="1:40" x14ac:dyDescent="0.3">
      <c r="A9" s="27">
        <v>27</v>
      </c>
      <c r="B9" s="27">
        <v>10</v>
      </c>
      <c r="C9" s="27">
        <v>1</v>
      </c>
      <c r="D9" s="27">
        <v>29</v>
      </c>
      <c r="E9" s="27">
        <v>5</v>
      </c>
      <c r="F9" s="27">
        <v>0.3</v>
      </c>
      <c r="G9" s="27">
        <v>29</v>
      </c>
      <c r="H9" s="27">
        <v>14</v>
      </c>
      <c r="I9" s="27">
        <v>0.3</v>
      </c>
      <c r="J9" s="27">
        <v>326958503.16072303</v>
      </c>
      <c r="K9" s="27">
        <v>165460000</v>
      </c>
      <c r="L9" s="27">
        <v>79941738.931354925</v>
      </c>
      <c r="M9" s="27">
        <v>77874000</v>
      </c>
      <c r="N9" s="27">
        <v>15763898.560000001</v>
      </c>
      <c r="O9" s="27">
        <v>229.46809200000001</v>
      </c>
      <c r="P9" s="27">
        <v>2.6521852596815747</v>
      </c>
      <c r="Q9" s="27">
        <v>43.746098600000003</v>
      </c>
      <c r="R9" s="27">
        <v>801.5700690000001</v>
      </c>
      <c r="S9" s="27">
        <v>5.1936085500000002E-8</v>
      </c>
      <c r="T9" s="27">
        <v>21.592612112678353</v>
      </c>
      <c r="U9" s="27">
        <v>91.850000000000009</v>
      </c>
      <c r="V9" s="27">
        <v>-464.49619787494436</v>
      </c>
      <c r="W9" s="27">
        <v>69.595135200000001</v>
      </c>
      <c r="X9" s="27">
        <v>97.136021</v>
      </c>
      <c r="Y9" s="27">
        <v>177.97</v>
      </c>
      <c r="Z9" s="27">
        <v>253.35742400000001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2.6521852596815747</v>
      </c>
    </row>
    <row r="10" spans="1:40" x14ac:dyDescent="0.3">
      <c r="A10" s="27">
        <v>27</v>
      </c>
      <c r="B10" s="27">
        <v>19</v>
      </c>
      <c r="C10" s="27">
        <v>15</v>
      </c>
      <c r="D10" s="27">
        <v>17</v>
      </c>
      <c r="E10" s="27">
        <v>5</v>
      </c>
      <c r="F10" s="27">
        <v>0.3</v>
      </c>
      <c r="G10" s="27">
        <v>29</v>
      </c>
      <c r="H10" s="27">
        <v>14</v>
      </c>
      <c r="I10" s="27">
        <v>1.4</v>
      </c>
      <c r="J10" s="27">
        <v>329633219.84633976</v>
      </c>
      <c r="K10" s="27">
        <v>165552000</v>
      </c>
      <c r="L10" s="27">
        <v>79924420.030543312</v>
      </c>
      <c r="M10" s="27">
        <v>77227900</v>
      </c>
      <c r="N10" s="27">
        <v>15759504.960000001</v>
      </c>
      <c r="O10" s="27">
        <v>231.92399700000001</v>
      </c>
      <c r="P10" s="27">
        <v>2.6459782904451963</v>
      </c>
      <c r="Q10" s="27">
        <v>43.803307099999998</v>
      </c>
      <c r="R10" s="27">
        <v>800.20558300000005</v>
      </c>
      <c r="S10" s="27">
        <v>6.0692803400000006E-8</v>
      </c>
      <c r="T10" s="27">
        <v>21.710402307239253</v>
      </c>
      <c r="U10" s="27">
        <v>100.934</v>
      </c>
      <c r="V10" s="27">
        <v>-600.98550106743869</v>
      </c>
      <c r="W10" s="27">
        <v>69.221072300000003</v>
      </c>
      <c r="X10" s="27">
        <v>94.855332599999997</v>
      </c>
      <c r="Y10" s="27">
        <v>170.55</v>
      </c>
      <c r="Z10" s="27">
        <v>254.40036499999999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2.6459782904451963</v>
      </c>
    </row>
    <row r="11" spans="1:40" x14ac:dyDescent="0.3">
      <c r="A11" s="27">
        <v>27</v>
      </c>
      <c r="B11" s="27">
        <v>10</v>
      </c>
      <c r="C11" s="27">
        <v>15</v>
      </c>
      <c r="D11" s="27">
        <v>28</v>
      </c>
      <c r="E11" s="27">
        <v>5</v>
      </c>
      <c r="F11" s="27">
        <v>0.3</v>
      </c>
      <c r="G11" s="27">
        <v>16</v>
      </c>
      <c r="H11" s="27">
        <v>14</v>
      </c>
      <c r="I11" s="27">
        <v>1.4</v>
      </c>
      <c r="J11" s="27">
        <v>329578942.04633605</v>
      </c>
      <c r="K11" s="27">
        <v>165553000</v>
      </c>
      <c r="L11" s="27">
        <v>79925220.960165516</v>
      </c>
      <c r="M11" s="27">
        <v>77296600</v>
      </c>
      <c r="N11" s="27">
        <v>15759554.24</v>
      </c>
      <c r="O11" s="27">
        <v>232.01110700000001</v>
      </c>
      <c r="P11" s="27">
        <v>2.6435379383530653</v>
      </c>
      <c r="Q11" s="27">
        <v>43.808640199999999</v>
      </c>
      <c r="R11" s="27">
        <v>799.98209399999996</v>
      </c>
      <c r="S11" s="27">
        <v>6.0048713899999997E-8</v>
      </c>
      <c r="T11" s="27">
        <v>21.743423139552977</v>
      </c>
      <c r="U11" s="27">
        <v>100.934</v>
      </c>
      <c r="V11" s="27">
        <v>-593.81970220281562</v>
      </c>
      <c r="W11" s="27">
        <v>69.222164800000002</v>
      </c>
      <c r="X11" s="27">
        <v>94.861836199999999</v>
      </c>
      <c r="Y11" s="27">
        <v>177.97</v>
      </c>
      <c r="Z11" s="27">
        <v>257.64539600000001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2.6435379383530653</v>
      </c>
    </row>
    <row r="12" spans="1:40" x14ac:dyDescent="0.3">
      <c r="A12" s="27">
        <v>27</v>
      </c>
      <c r="B12" s="27">
        <v>19</v>
      </c>
      <c r="C12" s="27">
        <v>1</v>
      </c>
      <c r="D12" s="27">
        <v>29</v>
      </c>
      <c r="E12" s="27">
        <v>5</v>
      </c>
      <c r="F12" s="27">
        <v>0.3</v>
      </c>
      <c r="G12" s="27">
        <v>29</v>
      </c>
      <c r="H12" s="27">
        <v>7</v>
      </c>
      <c r="I12" s="27">
        <v>1.4</v>
      </c>
      <c r="J12" s="27">
        <v>327102284.40620923</v>
      </c>
      <c r="K12" s="27">
        <v>165445000</v>
      </c>
      <c r="L12" s="27">
        <v>79925921.707355782</v>
      </c>
      <c r="M12" s="27">
        <v>77972400</v>
      </c>
      <c r="N12" s="27">
        <v>15759893.279999999</v>
      </c>
      <c r="O12" s="27">
        <v>229.14951600000001</v>
      </c>
      <c r="P12" s="27">
        <v>2.6541138824853521</v>
      </c>
      <c r="Q12" s="27">
        <v>43.728042000000002</v>
      </c>
      <c r="R12" s="27">
        <v>801.96634400000005</v>
      </c>
      <c r="S12" s="27">
        <v>5.2369183699999998E-8</v>
      </c>
      <c r="T12" s="27">
        <v>21.945651303107034</v>
      </c>
      <c r="U12" s="27">
        <v>68.709999999999994</v>
      </c>
      <c r="V12" s="27">
        <v>-467.62379939609735</v>
      </c>
      <c r="W12" s="27">
        <v>69.729894400000006</v>
      </c>
      <c r="X12" s="27">
        <v>98.485040699999999</v>
      </c>
      <c r="Y12" s="27">
        <v>177.97</v>
      </c>
      <c r="Z12" s="27">
        <v>254.316045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2.6541138824853521</v>
      </c>
    </row>
    <row r="13" spans="1:40" x14ac:dyDescent="0.3">
      <c r="A13" s="27">
        <v>27</v>
      </c>
      <c r="B13" s="27">
        <v>15</v>
      </c>
      <c r="C13" s="27">
        <v>1</v>
      </c>
      <c r="D13" s="27">
        <v>10</v>
      </c>
      <c r="E13" s="27">
        <v>5</v>
      </c>
      <c r="F13" s="27">
        <v>0.3</v>
      </c>
      <c r="G13" s="27">
        <v>10</v>
      </c>
      <c r="H13" s="27">
        <v>8</v>
      </c>
      <c r="I13" s="27">
        <v>1.4</v>
      </c>
      <c r="J13" s="27">
        <v>326248586.16394395</v>
      </c>
      <c r="K13" s="27">
        <v>165397000</v>
      </c>
      <c r="L13" s="27">
        <v>79931127.396232799</v>
      </c>
      <c r="M13" s="27">
        <v>77949600</v>
      </c>
      <c r="N13" s="27">
        <v>15761034.24</v>
      </c>
      <c r="O13" s="27">
        <v>229.248177</v>
      </c>
      <c r="P13" s="27">
        <v>2.6499584019436817</v>
      </c>
      <c r="Q13" s="27">
        <v>43.701810000000002</v>
      </c>
      <c r="R13" s="27">
        <v>802.68287299999997</v>
      </c>
      <c r="S13" s="27">
        <v>5.6179858299999997E-8</v>
      </c>
      <c r="T13" s="27">
        <v>21.732839007460463</v>
      </c>
      <c r="U13" s="27">
        <v>80.72</v>
      </c>
      <c r="V13" s="27">
        <v>-485.69163665143088</v>
      </c>
      <c r="W13" s="27">
        <v>69.627533299999996</v>
      </c>
      <c r="X13" s="27">
        <v>97.050509500000004</v>
      </c>
      <c r="Y13" s="27">
        <v>144.29</v>
      </c>
      <c r="Z13" s="27">
        <v>257.33686699999998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2.6499584019436817</v>
      </c>
    </row>
    <row r="14" spans="1:40" x14ac:dyDescent="0.3">
      <c r="A14" s="27">
        <v>27</v>
      </c>
      <c r="B14" s="27">
        <v>19</v>
      </c>
      <c r="C14" s="27">
        <v>12.414398204471945</v>
      </c>
      <c r="D14" s="27">
        <v>15</v>
      </c>
      <c r="E14" s="27">
        <v>5</v>
      </c>
      <c r="F14" s="27">
        <v>0.3</v>
      </c>
      <c r="G14" s="27">
        <v>16</v>
      </c>
      <c r="H14" s="27">
        <v>14</v>
      </c>
      <c r="I14" s="27">
        <v>0.3</v>
      </c>
      <c r="J14" s="27">
        <v>328675445.77545637</v>
      </c>
      <c r="K14" s="27">
        <v>165514000</v>
      </c>
      <c r="L14" s="27">
        <v>79944041.426029503</v>
      </c>
      <c r="M14" s="27">
        <v>77208200</v>
      </c>
      <c r="N14" s="27">
        <v>15764422.880000001</v>
      </c>
      <c r="O14" s="27">
        <v>231.89036300000001</v>
      </c>
      <c r="P14" s="27">
        <v>2.6432098380343789</v>
      </c>
      <c r="Q14" s="27">
        <v>43.800897900000002</v>
      </c>
      <c r="R14" s="27">
        <v>800.29442799999993</v>
      </c>
      <c r="S14" s="27">
        <v>6.1035364299999999E-8</v>
      </c>
      <c r="T14" s="27">
        <v>21.701547247448776</v>
      </c>
      <c r="U14" s="27">
        <v>100.934</v>
      </c>
      <c r="V14" s="27">
        <v>-603.02239958578809</v>
      </c>
      <c r="W14" s="27">
        <v>69.221483899999996</v>
      </c>
      <c r="X14" s="27">
        <v>94.857611199999994</v>
      </c>
      <c r="Y14" s="27">
        <v>165.7</v>
      </c>
      <c r="Z14" s="27">
        <v>253.79881800000001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2.6432098380343789</v>
      </c>
    </row>
    <row r="15" spans="1:40" x14ac:dyDescent="0.3">
      <c r="A15" s="27">
        <v>28</v>
      </c>
      <c r="B15" s="27">
        <v>16</v>
      </c>
      <c r="C15" s="27">
        <v>3.2163007732436601</v>
      </c>
      <c r="D15" s="27">
        <v>28</v>
      </c>
      <c r="E15" s="27">
        <v>5</v>
      </c>
      <c r="F15" s="27">
        <v>0.97023103035522951</v>
      </c>
      <c r="G15" s="27">
        <v>12</v>
      </c>
      <c r="H15" s="27">
        <v>7</v>
      </c>
      <c r="I15" s="27">
        <v>1.3199779161770375</v>
      </c>
      <c r="J15" s="27">
        <v>327573599.88540971</v>
      </c>
      <c r="K15" s="27">
        <v>165452000</v>
      </c>
      <c r="L15" s="27">
        <v>79927723.649598509</v>
      </c>
      <c r="M15" s="27">
        <v>77976800</v>
      </c>
      <c r="N15" s="27">
        <v>15760323.119999999</v>
      </c>
      <c r="O15" s="27">
        <v>228.35833700000001</v>
      </c>
      <c r="P15" s="27">
        <v>2.664760795634344</v>
      </c>
      <c r="Q15" s="27">
        <v>44.111996900000001</v>
      </c>
      <c r="R15" s="27">
        <v>802.79823199999998</v>
      </c>
      <c r="S15" s="27">
        <v>2.47597314E-9</v>
      </c>
      <c r="T15" s="27">
        <v>22.110720184866523</v>
      </c>
      <c r="U15" s="27">
        <v>100.934</v>
      </c>
      <c r="V15" s="27">
        <v>-634.50848115564031</v>
      </c>
      <c r="W15" s="27">
        <v>69.2329072</v>
      </c>
      <c r="X15" s="27">
        <v>94.908851299999995</v>
      </c>
      <c r="Y15" s="27">
        <v>177.97</v>
      </c>
      <c r="Z15" s="27">
        <v>253.362628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2.664760795634344</v>
      </c>
    </row>
    <row r="16" spans="1:40" x14ac:dyDescent="0.3">
      <c r="A16" s="27">
        <v>29</v>
      </c>
      <c r="B16" s="27">
        <v>10</v>
      </c>
      <c r="C16" s="27">
        <v>11.790750841268167</v>
      </c>
      <c r="D16" s="27">
        <v>14</v>
      </c>
      <c r="E16" s="27">
        <v>5</v>
      </c>
      <c r="F16" s="27">
        <v>1.1220725202384096</v>
      </c>
      <c r="G16" s="27">
        <v>22</v>
      </c>
      <c r="H16" s="27">
        <v>13</v>
      </c>
      <c r="I16" s="27">
        <v>1.3724382432932112</v>
      </c>
      <c r="J16" s="27">
        <v>329145269.39455146</v>
      </c>
      <c r="K16" s="27">
        <v>165516000</v>
      </c>
      <c r="L16" s="27">
        <v>79924520.133469447</v>
      </c>
      <c r="M16" s="27">
        <v>78027900</v>
      </c>
      <c r="N16" s="27">
        <v>15759529.84</v>
      </c>
      <c r="O16" s="27">
        <v>227.95432400000001</v>
      </c>
      <c r="P16" s="27">
        <v>2.6744139527115376</v>
      </c>
      <c r="Q16" s="27">
        <v>44.1287612</v>
      </c>
      <c r="R16" s="27">
        <v>803.44693300000006</v>
      </c>
      <c r="S16" s="27">
        <v>1.8762301600000001E-9</v>
      </c>
      <c r="T16" s="27">
        <v>22.180078822555846</v>
      </c>
      <c r="U16" s="27">
        <v>100.934</v>
      </c>
      <c r="V16" s="27">
        <v>-651.06894042940621</v>
      </c>
      <c r="W16" s="27">
        <v>69.221990700000006</v>
      </c>
      <c r="X16" s="27">
        <v>94.860389499999997</v>
      </c>
      <c r="Y16" s="27">
        <v>177.97</v>
      </c>
      <c r="Z16" s="27">
        <v>253.106078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2.6744139527115376</v>
      </c>
    </row>
    <row r="17" spans="1:40" x14ac:dyDescent="0.3">
      <c r="A17" s="27">
        <v>27</v>
      </c>
      <c r="B17" s="27">
        <v>19</v>
      </c>
      <c r="C17" s="27">
        <v>1</v>
      </c>
      <c r="D17" s="27">
        <v>10</v>
      </c>
      <c r="E17" s="27">
        <v>5</v>
      </c>
      <c r="F17" s="27">
        <v>0.3</v>
      </c>
      <c r="G17" s="27">
        <v>29</v>
      </c>
      <c r="H17" s="27">
        <v>14</v>
      </c>
      <c r="I17" s="27">
        <v>0.3</v>
      </c>
      <c r="J17" s="27">
        <v>326576069.80001014</v>
      </c>
      <c r="K17" s="27">
        <v>165424000</v>
      </c>
      <c r="L17" s="27">
        <v>79941138.289966971</v>
      </c>
      <c r="M17" s="27">
        <v>77917800</v>
      </c>
      <c r="N17" s="27">
        <v>15763749.439999999</v>
      </c>
      <c r="O17" s="27">
        <v>228.99689900000001</v>
      </c>
      <c r="P17" s="27">
        <v>2.654970493478797</v>
      </c>
      <c r="Q17" s="27">
        <v>43.694358899999997</v>
      </c>
      <c r="R17" s="27">
        <v>802.83574399999998</v>
      </c>
      <c r="S17" s="27">
        <v>5.64134982E-8</v>
      </c>
      <c r="T17" s="27">
        <v>21.826400071565853</v>
      </c>
      <c r="U17" s="27">
        <v>68.709999999999994</v>
      </c>
      <c r="V17" s="27">
        <v>-484.82801098650197</v>
      </c>
      <c r="W17" s="27">
        <v>69.729894400000006</v>
      </c>
      <c r="X17" s="27">
        <v>98.485040699999999</v>
      </c>
      <c r="Y17" s="27">
        <v>144.29</v>
      </c>
      <c r="Z17" s="27">
        <v>253.334532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2.654970493478797</v>
      </c>
    </row>
    <row r="18" spans="1:40" x14ac:dyDescent="0.3">
      <c r="A18" s="27">
        <v>39</v>
      </c>
      <c r="B18" s="27">
        <v>19</v>
      </c>
      <c r="C18" s="27">
        <v>15</v>
      </c>
      <c r="D18" s="27">
        <v>29</v>
      </c>
      <c r="E18" s="27">
        <v>5</v>
      </c>
      <c r="F18" s="27">
        <v>0.3</v>
      </c>
      <c r="G18" s="27">
        <v>16</v>
      </c>
      <c r="H18" s="27">
        <v>14</v>
      </c>
      <c r="I18" s="27">
        <v>1.4</v>
      </c>
      <c r="J18" s="27">
        <v>330110941.87627834</v>
      </c>
      <c r="K18" s="27">
        <v>165588000</v>
      </c>
      <c r="L18" s="27">
        <v>79925220.960165516</v>
      </c>
      <c r="M18" s="27">
        <v>77289900</v>
      </c>
      <c r="N18" s="27">
        <v>15759554.24</v>
      </c>
      <c r="O18" s="27">
        <v>232.039435</v>
      </c>
      <c r="P18" s="27">
        <v>2.6455649329057676</v>
      </c>
      <c r="Q18" s="27">
        <v>43.809836599999997</v>
      </c>
      <c r="R18" s="27">
        <v>799.95648600000004</v>
      </c>
      <c r="S18" s="27">
        <v>6.01140586E-8</v>
      </c>
      <c r="T18" s="27">
        <v>21.743505759029535</v>
      </c>
      <c r="U18" s="27">
        <v>100.934</v>
      </c>
      <c r="V18" s="27">
        <v>-594.71726061107506</v>
      </c>
      <c r="W18" s="27">
        <v>69.218572699999996</v>
      </c>
      <c r="X18" s="27">
        <v>94.8255549</v>
      </c>
      <c r="Y18" s="27">
        <v>177.97</v>
      </c>
      <c r="Z18" s="27">
        <v>257.64752399999998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2.6455649329057676</v>
      </c>
    </row>
    <row r="19" spans="1:40" x14ac:dyDescent="0.3">
      <c r="A19" s="27">
        <v>38</v>
      </c>
      <c r="B19" s="27">
        <v>19</v>
      </c>
      <c r="C19" s="27">
        <v>1</v>
      </c>
      <c r="D19" s="27">
        <v>27</v>
      </c>
      <c r="E19" s="27">
        <v>5</v>
      </c>
      <c r="F19" s="27">
        <v>0.3</v>
      </c>
      <c r="G19" s="27">
        <v>17</v>
      </c>
      <c r="H19" s="27">
        <v>14</v>
      </c>
      <c r="I19" s="27">
        <v>1.4</v>
      </c>
      <c r="J19" s="27">
        <v>327184191.18246895</v>
      </c>
      <c r="K19" s="27">
        <v>165461000</v>
      </c>
      <c r="L19" s="27">
        <v>79924720.43978253</v>
      </c>
      <c r="M19" s="27">
        <v>77904400</v>
      </c>
      <c r="N19" s="27">
        <v>15759526.879999999</v>
      </c>
      <c r="O19" s="27">
        <v>229.472881</v>
      </c>
      <c r="P19" s="27">
        <v>2.6522320039456484</v>
      </c>
      <c r="Q19" s="27">
        <v>43.732673800000001</v>
      </c>
      <c r="R19" s="27">
        <v>801.91939000000002</v>
      </c>
      <c r="S19" s="27">
        <v>5.2681893200000001E-8</v>
      </c>
      <c r="T19" s="27">
        <v>21.932099787151639</v>
      </c>
      <c r="U19" s="27">
        <v>91.850000000000009</v>
      </c>
      <c r="V19" s="27">
        <v>-470.67531799720064</v>
      </c>
      <c r="W19" s="27">
        <v>69.590491099999994</v>
      </c>
      <c r="X19" s="27">
        <v>96.403332199999994</v>
      </c>
      <c r="Y19" s="27">
        <v>177.97</v>
      </c>
      <c r="Z19" s="27">
        <v>255.67478399999999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2.6522320039456484</v>
      </c>
    </row>
    <row r="20" spans="1:40" x14ac:dyDescent="0.3">
      <c r="A20" s="27">
        <v>38</v>
      </c>
      <c r="B20" s="27">
        <v>19</v>
      </c>
      <c r="C20" s="27">
        <v>10.98778867597153</v>
      </c>
      <c r="D20" s="27">
        <v>13</v>
      </c>
      <c r="E20" s="27">
        <v>5</v>
      </c>
      <c r="F20" s="27">
        <v>0.3</v>
      </c>
      <c r="G20" s="27">
        <v>23</v>
      </c>
      <c r="H20" s="27">
        <v>7</v>
      </c>
      <c r="I20" s="27">
        <v>0.84655218978966951</v>
      </c>
      <c r="J20" s="27">
        <v>329034177.14497733</v>
      </c>
      <c r="K20" s="27">
        <v>165532000</v>
      </c>
      <c r="L20" s="27">
        <v>79927123.012524828</v>
      </c>
      <c r="M20" s="27">
        <v>77219200</v>
      </c>
      <c r="N20" s="27">
        <v>15760198.399999999</v>
      </c>
      <c r="O20" s="27">
        <v>231.873132</v>
      </c>
      <c r="P20" s="27">
        <v>2.6445897829998812</v>
      </c>
      <c r="Q20" s="27">
        <v>43.797314399999998</v>
      </c>
      <c r="R20" s="27">
        <v>800.41563900000006</v>
      </c>
      <c r="S20" s="27">
        <v>6.1677473099999994E-8</v>
      </c>
      <c r="T20" s="27">
        <v>21.687075468267459</v>
      </c>
      <c r="U20" s="27">
        <v>100.934</v>
      </c>
      <c r="V20" s="27">
        <v>-606.08869723832265</v>
      </c>
      <c r="W20" s="27">
        <v>69.218672600000005</v>
      </c>
      <c r="X20" s="27">
        <v>94.828829499999998</v>
      </c>
      <c r="Y20" s="27">
        <v>144.29</v>
      </c>
      <c r="Z20" s="27">
        <v>254.20494199999999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2.6445897829998812</v>
      </c>
    </row>
    <row r="21" spans="1:40" x14ac:dyDescent="0.3">
      <c r="A21" s="27">
        <v>39</v>
      </c>
      <c r="B21" s="27">
        <v>19</v>
      </c>
      <c r="C21" s="27">
        <v>15</v>
      </c>
      <c r="D21" s="27">
        <v>15</v>
      </c>
      <c r="E21" s="27">
        <v>5</v>
      </c>
      <c r="F21" s="27">
        <v>0.3</v>
      </c>
      <c r="G21" s="27">
        <v>10</v>
      </c>
      <c r="H21" s="27">
        <v>7</v>
      </c>
      <c r="I21" s="27">
        <v>1.4</v>
      </c>
      <c r="J21" s="27">
        <v>329691399.00645947</v>
      </c>
      <c r="K21" s="27">
        <v>165558000</v>
      </c>
      <c r="L21" s="27">
        <v>79930026.233434647</v>
      </c>
      <c r="M21" s="27">
        <v>77252400</v>
      </c>
      <c r="N21" s="27">
        <v>15760857.200000001</v>
      </c>
      <c r="O21" s="27">
        <v>231.90203299999999</v>
      </c>
      <c r="P21" s="27">
        <v>2.6460470530460887</v>
      </c>
      <c r="Q21" s="27">
        <v>43.801675199999998</v>
      </c>
      <c r="R21" s="27">
        <v>800.29157999999995</v>
      </c>
      <c r="S21" s="27">
        <v>6.1108123699999995E-8</v>
      </c>
      <c r="T21" s="27">
        <v>21.700681346265295</v>
      </c>
      <c r="U21" s="27">
        <v>100.934</v>
      </c>
      <c r="V21" s="27">
        <v>-603.62232640462764</v>
      </c>
      <c r="W21" s="27">
        <v>69.218572699999996</v>
      </c>
      <c r="X21" s="27">
        <v>94.8255549</v>
      </c>
      <c r="Y21" s="27">
        <v>165.7</v>
      </c>
      <c r="Z21" s="27">
        <v>255.49315100000001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7">
        <v>0</v>
      </c>
      <c r="AJ21" s="27">
        <v>0</v>
      </c>
      <c r="AK21" s="27">
        <v>0</v>
      </c>
      <c r="AL21" s="27">
        <v>0</v>
      </c>
      <c r="AM21" s="27">
        <v>0</v>
      </c>
      <c r="AN21" s="27">
        <v>2.6460470530460887</v>
      </c>
    </row>
    <row r="22" spans="1:40" x14ac:dyDescent="0.3">
      <c r="A22" s="27">
        <v>27</v>
      </c>
      <c r="B22" s="27">
        <v>19</v>
      </c>
      <c r="C22" s="27">
        <v>15</v>
      </c>
      <c r="D22" s="27">
        <v>25</v>
      </c>
      <c r="E22" s="27">
        <v>5</v>
      </c>
      <c r="F22" s="27">
        <v>0.3</v>
      </c>
      <c r="G22" s="27">
        <v>17</v>
      </c>
      <c r="H22" s="27">
        <v>7</v>
      </c>
      <c r="I22" s="27">
        <v>1.4</v>
      </c>
      <c r="J22" s="27">
        <v>329515394.67824578</v>
      </c>
      <c r="K22" s="27">
        <v>165536000</v>
      </c>
      <c r="L22" s="27">
        <v>79926121.883008167</v>
      </c>
      <c r="M22" s="27">
        <v>77218300</v>
      </c>
      <c r="N22" s="27">
        <v>15759934.960000001</v>
      </c>
      <c r="O22" s="27">
        <v>232.00500299999999</v>
      </c>
      <c r="P22" s="27">
        <v>2.6445878975134218</v>
      </c>
      <c r="Q22" s="27">
        <v>43.808083400000001</v>
      </c>
      <c r="R22" s="27">
        <v>800.01293999999996</v>
      </c>
      <c r="S22" s="27">
        <v>6.0201801399999998E-8</v>
      </c>
      <c r="T22" s="27">
        <v>21.735715218756173</v>
      </c>
      <c r="U22" s="27">
        <v>100.934</v>
      </c>
      <c r="V22" s="27">
        <v>-595.68862578624714</v>
      </c>
      <c r="W22" s="27">
        <v>69.221072300000003</v>
      </c>
      <c r="X22" s="27">
        <v>94.855332599999997</v>
      </c>
      <c r="Y22" s="27">
        <v>177.97</v>
      </c>
      <c r="Z22" s="27">
        <v>254.33234999999999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2.6445878975134218</v>
      </c>
    </row>
    <row r="23" spans="1:40" x14ac:dyDescent="0.3">
      <c r="A23" s="27">
        <v>39</v>
      </c>
      <c r="B23" s="27">
        <v>10</v>
      </c>
      <c r="C23" s="27">
        <v>15</v>
      </c>
      <c r="D23" s="27">
        <v>10</v>
      </c>
      <c r="E23" s="27">
        <v>5</v>
      </c>
      <c r="F23" s="27">
        <v>0.3</v>
      </c>
      <c r="G23" s="27">
        <v>29</v>
      </c>
      <c r="H23" s="27">
        <v>14</v>
      </c>
      <c r="I23" s="27">
        <v>1.4</v>
      </c>
      <c r="J23" s="27">
        <v>329968218.79681683</v>
      </c>
      <c r="K23" s="27">
        <v>165570000</v>
      </c>
      <c r="L23" s="27">
        <v>79924420.029105231</v>
      </c>
      <c r="M23" s="27">
        <v>77194700</v>
      </c>
      <c r="N23" s="27">
        <v>15759504.639999999</v>
      </c>
      <c r="O23" s="27">
        <v>231.874314</v>
      </c>
      <c r="P23" s="27">
        <v>2.6485007351357845</v>
      </c>
      <c r="Q23" s="27">
        <v>43.7789316</v>
      </c>
      <c r="R23" s="27">
        <v>800.813852</v>
      </c>
      <c r="S23" s="27">
        <v>6.4477579100000007E-8</v>
      </c>
      <c r="T23" s="27">
        <v>21.630064753049634</v>
      </c>
      <c r="U23" s="27">
        <v>100.934</v>
      </c>
      <c r="V23" s="27">
        <v>-610.17864455468793</v>
      </c>
      <c r="W23" s="27">
        <v>69.220162599999995</v>
      </c>
      <c r="X23" s="27">
        <v>94.847148799999999</v>
      </c>
      <c r="Y23" s="27">
        <v>144.29</v>
      </c>
      <c r="Z23" s="27">
        <v>254.37751800000001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2.6485007351357845</v>
      </c>
    </row>
    <row r="24" spans="1:40" x14ac:dyDescent="0.3">
      <c r="A24" s="27">
        <v>39</v>
      </c>
      <c r="B24" s="27">
        <v>12</v>
      </c>
      <c r="C24" s="27">
        <v>3.3843341773790154</v>
      </c>
      <c r="D24" s="27">
        <v>17</v>
      </c>
      <c r="E24" s="27">
        <v>6</v>
      </c>
      <c r="F24" s="27">
        <v>0.3555453823025167</v>
      </c>
      <c r="G24" s="27">
        <v>16</v>
      </c>
      <c r="H24" s="27">
        <v>7</v>
      </c>
      <c r="I24" s="27">
        <v>0.81387314710158987</v>
      </c>
      <c r="J24" s="27">
        <v>327322364.79500556</v>
      </c>
      <c r="K24" s="27">
        <v>165449000</v>
      </c>
      <c r="L24" s="27">
        <v>79927623.571325347</v>
      </c>
      <c r="M24" s="27">
        <v>77380900</v>
      </c>
      <c r="N24" s="27">
        <v>15760324</v>
      </c>
      <c r="O24" s="27">
        <v>231.21696399999999</v>
      </c>
      <c r="P24" s="27">
        <v>2.6423971820220631</v>
      </c>
      <c r="Q24" s="27">
        <v>43.857697999999999</v>
      </c>
      <c r="R24" s="27">
        <v>800.61214099999995</v>
      </c>
      <c r="S24" s="27">
        <v>4.82276056E-9</v>
      </c>
      <c r="T24" s="27">
        <v>21.748391245567962</v>
      </c>
      <c r="U24" s="27">
        <v>100.934</v>
      </c>
      <c r="V24" s="27">
        <v>-606.31636630085939</v>
      </c>
      <c r="W24" s="27">
        <v>69.228631699999994</v>
      </c>
      <c r="X24" s="27">
        <v>94.885829200000003</v>
      </c>
      <c r="Y24" s="27">
        <v>165.7</v>
      </c>
      <c r="Z24" s="27">
        <v>254.086647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2.6423971820220631</v>
      </c>
    </row>
    <row r="25" spans="1:40" x14ac:dyDescent="0.3">
      <c r="A25" s="27">
        <v>39</v>
      </c>
      <c r="B25" s="27">
        <v>10</v>
      </c>
      <c r="C25" s="27">
        <v>1</v>
      </c>
      <c r="D25" s="27">
        <v>17</v>
      </c>
      <c r="E25" s="27">
        <v>5</v>
      </c>
      <c r="F25" s="27">
        <v>0.3</v>
      </c>
      <c r="G25" s="27">
        <v>29</v>
      </c>
      <c r="H25" s="27">
        <v>7</v>
      </c>
      <c r="I25" s="27">
        <v>1.4</v>
      </c>
      <c r="J25" s="27">
        <v>327260290.55789387</v>
      </c>
      <c r="K25" s="27">
        <v>165462000</v>
      </c>
      <c r="L25" s="27">
        <v>79925921.706534028</v>
      </c>
      <c r="M25" s="27">
        <v>77901700</v>
      </c>
      <c r="N25" s="27">
        <v>15759893.120000001</v>
      </c>
      <c r="O25" s="27">
        <v>229.388113</v>
      </c>
      <c r="P25" s="27">
        <v>2.6535085213284528</v>
      </c>
      <c r="Q25" s="27">
        <v>43.739984499999998</v>
      </c>
      <c r="R25" s="27">
        <v>801.85531200000003</v>
      </c>
      <c r="S25" s="27">
        <v>5.2765732700000003E-8</v>
      </c>
      <c r="T25" s="27">
        <v>21.570309645413076</v>
      </c>
      <c r="U25" s="27">
        <v>100.934</v>
      </c>
      <c r="V25" s="27">
        <v>-472.70547671433104</v>
      </c>
      <c r="W25" s="27">
        <v>69.580995900000005</v>
      </c>
      <c r="X25" s="27">
        <v>96.873567499999993</v>
      </c>
      <c r="Y25" s="27">
        <v>170.55</v>
      </c>
      <c r="Z25" s="27">
        <v>254.27838700000001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2.6535085213284528</v>
      </c>
    </row>
    <row r="26" spans="1:40" x14ac:dyDescent="0.3">
      <c r="A26" s="27">
        <v>39</v>
      </c>
      <c r="B26" s="27">
        <v>10</v>
      </c>
      <c r="C26" s="27">
        <v>1.5794918434579996</v>
      </c>
      <c r="D26" s="27">
        <v>19</v>
      </c>
      <c r="E26" s="27">
        <v>5</v>
      </c>
      <c r="F26" s="27">
        <v>0.3</v>
      </c>
      <c r="G26" s="27">
        <v>10</v>
      </c>
      <c r="H26" s="27">
        <v>7</v>
      </c>
      <c r="I26" s="27">
        <v>0.3</v>
      </c>
      <c r="J26" s="27">
        <v>326877865.88183719</v>
      </c>
      <c r="K26" s="27">
        <v>165484000</v>
      </c>
      <c r="L26" s="27">
        <v>79962661.82039988</v>
      </c>
      <c r="M26" s="27">
        <v>77614400</v>
      </c>
      <c r="N26" s="27">
        <v>15768720.719999999</v>
      </c>
      <c r="O26" s="27">
        <v>230.94001600000001</v>
      </c>
      <c r="P26" s="27">
        <v>2.6404651203231557</v>
      </c>
      <c r="Q26" s="27">
        <v>43.774889700000003</v>
      </c>
      <c r="R26" s="27">
        <v>800.83160099999998</v>
      </c>
      <c r="S26" s="27">
        <v>5.7371549700000003E-8</v>
      </c>
      <c r="T26" s="27">
        <v>21.767392872201444</v>
      </c>
      <c r="U26" s="27">
        <v>100.934</v>
      </c>
      <c r="V26" s="27">
        <v>-548.47264441402911</v>
      </c>
      <c r="W26" s="27">
        <v>69.365037999999998</v>
      </c>
      <c r="X26" s="27">
        <v>95.410541199999997</v>
      </c>
      <c r="Y26" s="27">
        <v>170.55</v>
      </c>
      <c r="Z26" s="27">
        <v>261.60657099999997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2.6404651203231557</v>
      </c>
    </row>
    <row r="27" spans="1:40" x14ac:dyDescent="0.3">
      <c r="A27" s="27">
        <v>30</v>
      </c>
      <c r="B27" s="27">
        <v>10</v>
      </c>
      <c r="C27" s="27">
        <v>10.33246239343358</v>
      </c>
      <c r="D27" s="27">
        <v>19</v>
      </c>
      <c r="E27" s="27">
        <v>5</v>
      </c>
      <c r="F27" s="27">
        <v>0.31716309981684698</v>
      </c>
      <c r="G27" s="27">
        <v>25</v>
      </c>
      <c r="H27" s="27">
        <v>10</v>
      </c>
      <c r="I27" s="27">
        <v>0.53730131208396004</v>
      </c>
      <c r="J27" s="27">
        <v>328678043.47456938</v>
      </c>
      <c r="K27" s="27">
        <v>165512000</v>
      </c>
      <c r="L27" s="27">
        <v>79926922.786950201</v>
      </c>
      <c r="M27" s="27">
        <v>77258600</v>
      </c>
      <c r="N27" s="27">
        <v>15760148.880000001</v>
      </c>
      <c r="O27" s="27">
        <v>231.780248</v>
      </c>
      <c r="P27" s="27">
        <v>2.6434752146813412</v>
      </c>
      <c r="Q27" s="27">
        <v>43.819118400000001</v>
      </c>
      <c r="R27" s="27">
        <v>800.23915799999997</v>
      </c>
      <c r="S27" s="27">
        <v>5.0914297299999999E-8</v>
      </c>
      <c r="T27" s="27">
        <v>21.733888853663181</v>
      </c>
      <c r="U27" s="27">
        <v>100.934</v>
      </c>
      <c r="V27" s="27">
        <v>-600.14457212333355</v>
      </c>
      <c r="W27" s="27">
        <v>69.222190600000005</v>
      </c>
      <c r="X27" s="27">
        <v>94.861013400000004</v>
      </c>
      <c r="Y27" s="27">
        <v>170.55</v>
      </c>
      <c r="Z27" s="27">
        <v>254.20047299999999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2.6434752146813412</v>
      </c>
    </row>
    <row r="28" spans="1:40" x14ac:dyDescent="0.3">
      <c r="A28" s="27">
        <v>36</v>
      </c>
      <c r="B28" s="27">
        <v>17</v>
      </c>
      <c r="C28" s="27">
        <v>5.1777668236276231</v>
      </c>
      <c r="D28" s="27">
        <v>16</v>
      </c>
      <c r="E28" s="27">
        <v>5</v>
      </c>
      <c r="F28" s="27">
        <v>0.31356237910423951</v>
      </c>
      <c r="G28" s="27">
        <v>11</v>
      </c>
      <c r="H28" s="27">
        <v>8</v>
      </c>
      <c r="I28" s="27">
        <v>1.3759973377118317</v>
      </c>
      <c r="J28" s="27">
        <v>327556342.7942673</v>
      </c>
      <c r="K28" s="27">
        <v>165453000</v>
      </c>
      <c r="L28" s="27">
        <v>79928324.387749359</v>
      </c>
      <c r="M28" s="27">
        <v>77282200</v>
      </c>
      <c r="N28" s="27">
        <v>15760433.039999999</v>
      </c>
      <c r="O28" s="27">
        <v>231.79008400000001</v>
      </c>
      <c r="P28" s="27">
        <v>2.6385047776801374</v>
      </c>
      <c r="Q28" s="27">
        <v>43.813887600000001</v>
      </c>
      <c r="R28" s="27">
        <v>800.31505100000004</v>
      </c>
      <c r="S28" s="27">
        <v>5.3062772499999999E-8</v>
      </c>
      <c r="T28" s="27">
        <v>21.716843789790328</v>
      </c>
      <c r="U28" s="27">
        <v>100.934</v>
      </c>
      <c r="V28" s="27">
        <v>-603.55589749036847</v>
      </c>
      <c r="W28" s="27">
        <v>69.219517699999997</v>
      </c>
      <c r="X28" s="27">
        <v>94.844705099999999</v>
      </c>
      <c r="Y28" s="27">
        <v>165.7</v>
      </c>
      <c r="Z28" s="27">
        <v>255.52151000000001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2.6385047776801374</v>
      </c>
    </row>
    <row r="29" spans="1:40" x14ac:dyDescent="0.3">
      <c r="A29" s="27">
        <v>28</v>
      </c>
      <c r="B29" s="27">
        <v>10</v>
      </c>
      <c r="C29" s="27">
        <v>8.2191004869397712</v>
      </c>
      <c r="D29" s="27">
        <v>25</v>
      </c>
      <c r="E29" s="27">
        <v>5</v>
      </c>
      <c r="F29" s="27">
        <v>0.30161191236356133</v>
      </c>
      <c r="G29" s="27">
        <v>16</v>
      </c>
      <c r="H29" s="27">
        <v>13</v>
      </c>
      <c r="I29" s="27">
        <v>0.34082049063771597</v>
      </c>
      <c r="J29" s="27">
        <v>328173579.84167087</v>
      </c>
      <c r="K29" s="27">
        <v>165484000</v>
      </c>
      <c r="L29" s="27">
        <v>79939536.575147837</v>
      </c>
      <c r="M29" s="27">
        <v>77215800</v>
      </c>
      <c r="N29" s="27">
        <v>15763307.92</v>
      </c>
      <c r="O29" s="27">
        <v>231.96252799999999</v>
      </c>
      <c r="P29" s="27">
        <v>2.6402032286859827</v>
      </c>
      <c r="Q29" s="27">
        <v>43.808627899999998</v>
      </c>
      <c r="R29" s="27">
        <v>800.04063099999996</v>
      </c>
      <c r="S29" s="27">
        <v>5.9109226099999998E-8</v>
      </c>
      <c r="T29" s="27">
        <v>21.739146044010209</v>
      </c>
      <c r="U29" s="27">
        <v>100.934</v>
      </c>
      <c r="V29" s="27">
        <v>-594.28725399411394</v>
      </c>
      <c r="W29" s="27">
        <v>69.224516899999998</v>
      </c>
      <c r="X29" s="27">
        <v>94.871931000000004</v>
      </c>
      <c r="Y29" s="27">
        <v>177.97</v>
      </c>
      <c r="Z29" s="27">
        <v>253.97819100000001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2.6402032286859827</v>
      </c>
    </row>
    <row r="30" spans="1:40" x14ac:dyDescent="0.3">
      <c r="A30" s="27">
        <v>35</v>
      </c>
      <c r="B30" s="27">
        <v>17</v>
      </c>
      <c r="C30" s="27">
        <v>9.1257863963013399</v>
      </c>
      <c r="D30" s="27">
        <v>11</v>
      </c>
      <c r="E30" s="27">
        <v>5</v>
      </c>
      <c r="F30" s="27">
        <v>0.37320308491419291</v>
      </c>
      <c r="G30" s="27">
        <v>18</v>
      </c>
      <c r="H30" s="27">
        <v>14</v>
      </c>
      <c r="I30" s="27">
        <v>0.85851910431553469</v>
      </c>
      <c r="J30" s="27">
        <v>328297557.71680009</v>
      </c>
      <c r="K30" s="27">
        <v>165492000</v>
      </c>
      <c r="L30" s="27">
        <v>79924920.659399346</v>
      </c>
      <c r="M30" s="27">
        <v>77377100</v>
      </c>
      <c r="N30" s="27">
        <v>15759579.6</v>
      </c>
      <c r="O30" s="27">
        <v>231.23108400000001</v>
      </c>
      <c r="P30" s="27">
        <v>2.6459922661652064</v>
      </c>
      <c r="Q30" s="27">
        <v>43.8431353</v>
      </c>
      <c r="R30" s="27">
        <v>801.002793</v>
      </c>
      <c r="S30" s="27">
        <v>3.2632227599999997E-8</v>
      </c>
      <c r="T30" s="27">
        <v>21.726120008360546</v>
      </c>
      <c r="U30" s="27">
        <v>100.934</v>
      </c>
      <c r="V30" s="27">
        <v>-616.17152214236933</v>
      </c>
      <c r="W30" s="27">
        <v>69.218971999999994</v>
      </c>
      <c r="X30" s="27">
        <v>94.836756399999999</v>
      </c>
      <c r="Y30" s="27">
        <v>144.29</v>
      </c>
      <c r="Z30" s="27">
        <v>255.33133100000001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2.6459922661652064</v>
      </c>
    </row>
    <row r="31" spans="1:40" x14ac:dyDescent="0.3">
      <c r="A31" s="27">
        <v>39</v>
      </c>
      <c r="B31" s="27">
        <v>13</v>
      </c>
      <c r="C31" s="27">
        <v>14.193346268562806</v>
      </c>
      <c r="D31" s="27">
        <v>26</v>
      </c>
      <c r="E31" s="27">
        <v>5</v>
      </c>
      <c r="F31" s="27">
        <v>0.32113844477107173</v>
      </c>
      <c r="G31" s="27">
        <v>22</v>
      </c>
      <c r="H31" s="27">
        <v>8</v>
      </c>
      <c r="I31" s="27">
        <v>1.3191804053639293</v>
      </c>
      <c r="J31" s="27">
        <v>329977958.17899269</v>
      </c>
      <c r="K31" s="27">
        <v>165568000</v>
      </c>
      <c r="L31" s="27">
        <v>79925421.194163248</v>
      </c>
      <c r="M31" s="27">
        <v>77258200</v>
      </c>
      <c r="N31" s="27">
        <v>15759774.960000001</v>
      </c>
      <c r="O31" s="27">
        <v>231.832414</v>
      </c>
      <c r="P31" s="27">
        <v>2.6477607372369851</v>
      </c>
      <c r="Q31" s="27">
        <v>43.826973500000001</v>
      </c>
      <c r="R31" s="27">
        <v>800.09074899999996</v>
      </c>
      <c r="S31" s="27">
        <v>4.8670776100000003E-8</v>
      </c>
      <c r="T31" s="27">
        <v>21.755466549687146</v>
      </c>
      <c r="U31" s="27">
        <v>100.934</v>
      </c>
      <c r="V31" s="27">
        <v>-597.26876182120009</v>
      </c>
      <c r="W31" s="27">
        <v>69.218971999999994</v>
      </c>
      <c r="X31" s="27">
        <v>94.837478899999994</v>
      </c>
      <c r="Y31" s="27">
        <v>177.97</v>
      </c>
      <c r="Z31" s="27">
        <v>254.315077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2.6477607372369851</v>
      </c>
    </row>
    <row r="32" spans="1:40" x14ac:dyDescent="0.3">
      <c r="A32" s="27">
        <v>38</v>
      </c>
      <c r="B32" s="27">
        <v>11</v>
      </c>
      <c r="C32" s="27">
        <v>9.768628808970238</v>
      </c>
      <c r="D32" s="27">
        <v>10</v>
      </c>
      <c r="E32" s="27">
        <v>5</v>
      </c>
      <c r="F32" s="27">
        <v>0.32297506199515114</v>
      </c>
      <c r="G32" s="27">
        <v>23</v>
      </c>
      <c r="H32" s="27">
        <v>8</v>
      </c>
      <c r="I32" s="27">
        <v>0.52218733328410549</v>
      </c>
      <c r="J32" s="27">
        <v>328728472.28201693</v>
      </c>
      <c r="K32" s="27">
        <v>165513000</v>
      </c>
      <c r="L32" s="27">
        <v>79928924.958054602</v>
      </c>
      <c r="M32" s="27">
        <v>77231400</v>
      </c>
      <c r="N32" s="27">
        <v>15760652.959999999</v>
      </c>
      <c r="O32" s="27">
        <v>231.67025899999999</v>
      </c>
      <c r="P32" s="27">
        <v>2.6454153491494341</v>
      </c>
      <c r="Q32" s="27">
        <v>43.796695</v>
      </c>
      <c r="R32" s="27">
        <v>800.91584999999998</v>
      </c>
      <c r="S32" s="27">
        <v>5.1432689600000002E-8</v>
      </c>
      <c r="T32" s="27">
        <v>21.650560585956143</v>
      </c>
      <c r="U32" s="27">
        <v>100.934</v>
      </c>
      <c r="V32" s="27">
        <v>-612.34919988525212</v>
      </c>
      <c r="W32" s="27">
        <v>69.220523499999999</v>
      </c>
      <c r="X32" s="27">
        <v>94.850132700000003</v>
      </c>
      <c r="Y32" s="27">
        <v>144.29</v>
      </c>
      <c r="Z32" s="27">
        <v>254.034628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2.6454153491494341</v>
      </c>
    </row>
    <row r="33" spans="1:40" x14ac:dyDescent="0.3">
      <c r="A33" s="27">
        <v>37</v>
      </c>
      <c r="B33" s="27">
        <v>16</v>
      </c>
      <c r="C33" s="27">
        <v>9.4763855343694345</v>
      </c>
      <c r="D33" s="27">
        <v>22</v>
      </c>
      <c r="E33" s="27">
        <v>5</v>
      </c>
      <c r="F33" s="27">
        <v>0.33474088286304055</v>
      </c>
      <c r="G33" s="27">
        <v>28</v>
      </c>
      <c r="H33" s="27">
        <v>14</v>
      </c>
      <c r="I33" s="27">
        <v>1.1933457874340365</v>
      </c>
      <c r="J33" s="27">
        <v>328970243.55834681</v>
      </c>
      <c r="K33" s="27">
        <v>165528000</v>
      </c>
      <c r="L33" s="27">
        <v>79924420.059510544</v>
      </c>
      <c r="M33" s="27">
        <v>77288900</v>
      </c>
      <c r="N33" s="27">
        <v>15759512.16</v>
      </c>
      <c r="O33" s="27">
        <v>231.680499</v>
      </c>
      <c r="P33" s="27">
        <v>2.6451970707040551</v>
      </c>
      <c r="Q33" s="27">
        <v>43.836281999999997</v>
      </c>
      <c r="R33" s="27">
        <v>800.23525799999993</v>
      </c>
      <c r="S33" s="27">
        <v>4.2995054699999998E-8</v>
      </c>
      <c r="T33" s="27">
        <v>21.757154498029774</v>
      </c>
      <c r="U33" s="27">
        <v>100.934</v>
      </c>
      <c r="V33" s="27">
        <v>-600.63061643932701</v>
      </c>
      <c r="W33" s="27">
        <v>69.218917599999997</v>
      </c>
      <c r="X33" s="27">
        <v>94.836008500000005</v>
      </c>
      <c r="Y33" s="27">
        <v>177.97</v>
      </c>
      <c r="Z33" s="27">
        <v>254.333718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2.6451970707040551</v>
      </c>
    </row>
    <row r="34" spans="1:40" x14ac:dyDescent="0.3">
      <c r="A34" s="27">
        <v>33</v>
      </c>
      <c r="B34" s="27">
        <v>19</v>
      </c>
      <c r="C34" s="27">
        <v>6.2758959170038464</v>
      </c>
      <c r="D34" s="27">
        <v>23</v>
      </c>
      <c r="E34" s="27">
        <v>5</v>
      </c>
      <c r="F34" s="27">
        <v>0.42734040806570928</v>
      </c>
      <c r="G34" s="27">
        <v>10</v>
      </c>
      <c r="H34" s="27">
        <v>7</v>
      </c>
      <c r="I34" s="27">
        <v>0.6948793393331385</v>
      </c>
      <c r="J34" s="27">
        <v>327661724.3781184</v>
      </c>
      <c r="K34" s="27">
        <v>165461000</v>
      </c>
      <c r="L34" s="27">
        <v>79936633.309040919</v>
      </c>
      <c r="M34" s="27">
        <v>77513200</v>
      </c>
      <c r="N34" s="27">
        <v>15762377.68</v>
      </c>
      <c r="O34" s="27">
        <v>230.92969299999999</v>
      </c>
      <c r="P34" s="27">
        <v>2.6443822662789391</v>
      </c>
      <c r="Q34" s="27">
        <v>43.904777199999998</v>
      </c>
      <c r="R34" s="27">
        <v>800.72319100000004</v>
      </c>
      <c r="S34" s="27">
        <v>2.0739418599999999E-8</v>
      </c>
      <c r="T34" s="27">
        <v>21.844732550881233</v>
      </c>
      <c r="U34" s="27">
        <v>100.934</v>
      </c>
      <c r="V34" s="27">
        <v>-607.78128192371958</v>
      </c>
      <c r="W34" s="27">
        <v>69.2194638</v>
      </c>
      <c r="X34" s="27">
        <v>94.843709700000005</v>
      </c>
      <c r="Y34" s="27">
        <v>177.97</v>
      </c>
      <c r="Z34" s="27">
        <v>256.99644899999998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2.6443822662789391</v>
      </c>
    </row>
    <row r="35" spans="1:40" x14ac:dyDescent="0.3">
      <c r="A35" s="27">
        <v>39</v>
      </c>
      <c r="B35" s="27">
        <v>10</v>
      </c>
      <c r="C35" s="27">
        <v>11.972301036271002</v>
      </c>
      <c r="D35" s="27">
        <v>14</v>
      </c>
      <c r="E35" s="27">
        <v>5</v>
      </c>
      <c r="F35" s="27">
        <v>0.33148610377826493</v>
      </c>
      <c r="G35" s="27">
        <v>11</v>
      </c>
      <c r="H35" s="27">
        <v>7</v>
      </c>
      <c r="I35" s="27">
        <v>0.96726661487369059</v>
      </c>
      <c r="J35" s="27">
        <v>329088090.76060718</v>
      </c>
      <c r="K35" s="27">
        <v>165519000</v>
      </c>
      <c r="L35" s="27">
        <v>79929825.915411398</v>
      </c>
      <c r="M35" s="27">
        <v>77312000</v>
      </c>
      <c r="N35" s="27">
        <v>15760801.119999999</v>
      </c>
      <c r="O35" s="27">
        <v>231.57814200000001</v>
      </c>
      <c r="P35" s="27">
        <v>2.6460998125537216</v>
      </c>
      <c r="Q35" s="27">
        <v>43.825379300000002</v>
      </c>
      <c r="R35" s="27">
        <v>800.53180999999995</v>
      </c>
      <c r="S35" s="27">
        <v>4.5062073899999999E-8</v>
      </c>
      <c r="T35" s="27">
        <v>21.722748052658055</v>
      </c>
      <c r="U35" s="27">
        <v>100.934</v>
      </c>
      <c r="V35" s="27">
        <v>-607.28688804050171</v>
      </c>
      <c r="W35" s="27">
        <v>69.220754299999996</v>
      </c>
      <c r="X35" s="27">
        <v>94.850740999999999</v>
      </c>
      <c r="Y35" s="27">
        <v>144.29</v>
      </c>
      <c r="Z35" s="27">
        <v>255.06225699999999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2.6460998125537216</v>
      </c>
    </row>
    <row r="36" spans="1:40" x14ac:dyDescent="0.3">
      <c r="A36" s="27">
        <v>30</v>
      </c>
      <c r="B36" s="27">
        <v>11</v>
      </c>
      <c r="C36" s="27">
        <v>3.1826331488182253</v>
      </c>
      <c r="D36" s="27">
        <v>20</v>
      </c>
      <c r="E36" s="27">
        <v>5</v>
      </c>
      <c r="F36" s="27">
        <v>0.30810998746734453</v>
      </c>
      <c r="G36" s="27">
        <v>18</v>
      </c>
      <c r="H36" s="27">
        <v>8</v>
      </c>
      <c r="I36" s="27">
        <v>0.54142134394213448</v>
      </c>
      <c r="J36" s="27">
        <v>327026232.89022416</v>
      </c>
      <c r="K36" s="27">
        <v>165431000</v>
      </c>
      <c r="L36" s="27">
        <v>79928924.930936351</v>
      </c>
      <c r="M36" s="27">
        <v>77268600</v>
      </c>
      <c r="N36" s="27">
        <v>15760640.08</v>
      </c>
      <c r="O36" s="27">
        <v>231.758681</v>
      </c>
      <c r="P36" s="27">
        <v>2.6371495260942601</v>
      </c>
      <c r="Q36" s="27">
        <v>43.808438500000001</v>
      </c>
      <c r="R36" s="27">
        <v>800.23980600000004</v>
      </c>
      <c r="S36" s="27">
        <v>5.52528698E-8</v>
      </c>
      <c r="T36" s="27">
        <v>21.738516930149604</v>
      </c>
      <c r="U36" s="27">
        <v>100.934</v>
      </c>
      <c r="V36" s="27">
        <v>-592.63247986227259</v>
      </c>
      <c r="W36" s="27">
        <v>69.239064999999997</v>
      </c>
      <c r="X36" s="27">
        <v>94.928583900000007</v>
      </c>
      <c r="Y36" s="27">
        <v>170.55</v>
      </c>
      <c r="Z36" s="27">
        <v>254.17476300000001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2.6371495260942601</v>
      </c>
    </row>
    <row r="37" spans="1:40" x14ac:dyDescent="0.3">
      <c r="A37" s="27">
        <v>39</v>
      </c>
      <c r="B37" s="27">
        <v>17</v>
      </c>
      <c r="C37" s="27">
        <v>4.3795120645937695</v>
      </c>
      <c r="D37" s="27">
        <v>16</v>
      </c>
      <c r="E37" s="27">
        <v>13</v>
      </c>
      <c r="F37" s="27">
        <v>0.37026473255579789</v>
      </c>
      <c r="G37" s="27">
        <v>14</v>
      </c>
      <c r="H37" s="27">
        <v>7</v>
      </c>
      <c r="I37" s="27">
        <v>1.0814964126849027</v>
      </c>
      <c r="J37" s="27">
        <v>327680753.03567958</v>
      </c>
      <c r="K37" s="27">
        <v>165450000</v>
      </c>
      <c r="L37" s="27">
        <v>79927022.902613685</v>
      </c>
      <c r="M37" s="27">
        <v>77283200</v>
      </c>
      <c r="N37" s="27">
        <v>15760164.4</v>
      </c>
      <c r="O37" s="27">
        <v>231.327325</v>
      </c>
      <c r="P37" s="27">
        <v>2.6440717421527165</v>
      </c>
      <c r="Q37" s="27">
        <v>43.813569299999997</v>
      </c>
      <c r="R37" s="27">
        <v>801.51188300000001</v>
      </c>
      <c r="S37" s="27">
        <v>6.5344768600000002E-15</v>
      </c>
      <c r="T37" s="27">
        <v>21.501890342768103</v>
      </c>
      <c r="U37" s="27">
        <v>100.934</v>
      </c>
      <c r="V37" s="27">
        <v>-623.45912925702623</v>
      </c>
      <c r="W37" s="27">
        <v>69.219667200000004</v>
      </c>
      <c r="X37" s="27">
        <v>94.8460982</v>
      </c>
      <c r="Y37" s="27">
        <v>121.52199999999999</v>
      </c>
      <c r="Z37" s="27">
        <v>254.09559200000001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2.6440717421527165</v>
      </c>
    </row>
    <row r="38" spans="1:40" x14ac:dyDescent="0.3">
      <c r="A38" s="27">
        <v>38</v>
      </c>
      <c r="B38" s="27">
        <v>10</v>
      </c>
      <c r="C38" s="27">
        <v>5.4783864336443147</v>
      </c>
      <c r="D38" s="27">
        <v>16</v>
      </c>
      <c r="E38" s="27">
        <v>13</v>
      </c>
      <c r="F38" s="27">
        <v>0.33345090508238084</v>
      </c>
      <c r="G38" s="27">
        <v>11</v>
      </c>
      <c r="H38" s="27">
        <v>7</v>
      </c>
      <c r="I38" s="27">
        <v>1.2549051102478461</v>
      </c>
      <c r="J38" s="27">
        <v>327730164.10959613</v>
      </c>
      <c r="K38" s="27">
        <v>165453000</v>
      </c>
      <c r="L38" s="27">
        <v>79928624.630375624</v>
      </c>
      <c r="M38" s="27">
        <v>77225700</v>
      </c>
      <c r="N38" s="27">
        <v>15760525.199999999</v>
      </c>
      <c r="O38" s="27">
        <v>231.67502500000001</v>
      </c>
      <c r="P38" s="27">
        <v>2.6414010478146173</v>
      </c>
      <c r="Q38" s="27">
        <v>43.780101500000001</v>
      </c>
      <c r="R38" s="27">
        <v>801.27312699999993</v>
      </c>
      <c r="S38" s="27">
        <v>1.7012344699999999E-14</v>
      </c>
      <c r="T38" s="27">
        <v>21.436335322144309</v>
      </c>
      <c r="U38" s="27">
        <v>100.934</v>
      </c>
      <c r="V38" s="27">
        <v>-616.99149422234132</v>
      </c>
      <c r="W38" s="27">
        <v>69.226019899999997</v>
      </c>
      <c r="X38" s="27">
        <v>94.873988299999994</v>
      </c>
      <c r="Y38" s="27">
        <v>121.52199999999999</v>
      </c>
      <c r="Z38" s="27">
        <v>254.73206999999999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2.6414010478146173</v>
      </c>
    </row>
    <row r="39" spans="1:40" x14ac:dyDescent="0.3">
      <c r="A39" s="27">
        <v>39</v>
      </c>
      <c r="B39" s="27">
        <v>14</v>
      </c>
      <c r="C39" s="27">
        <v>9.5498947347906071</v>
      </c>
      <c r="D39" s="27">
        <v>17</v>
      </c>
      <c r="E39" s="27">
        <v>12</v>
      </c>
      <c r="F39" s="27">
        <v>0.31526528746805255</v>
      </c>
      <c r="G39" s="27">
        <v>10</v>
      </c>
      <c r="H39" s="27">
        <v>7</v>
      </c>
      <c r="I39" s="27">
        <v>1.0690099852861941</v>
      </c>
      <c r="J39" s="27">
        <v>328650856.08279121</v>
      </c>
      <c r="K39" s="27">
        <v>165517000</v>
      </c>
      <c r="L39" s="27">
        <v>79931527.748770192</v>
      </c>
      <c r="M39" s="27">
        <v>77310700</v>
      </c>
      <c r="N39" s="27">
        <v>15761173.68</v>
      </c>
      <c r="O39" s="27">
        <v>231.645849</v>
      </c>
      <c r="P39" s="27">
        <v>2.6440317050449962</v>
      </c>
      <c r="Q39" s="27">
        <v>43.808424500000001</v>
      </c>
      <c r="R39" s="27">
        <v>800.56947500000001</v>
      </c>
      <c r="S39" s="27">
        <v>1.22258425E-13</v>
      </c>
      <c r="T39" s="27">
        <v>21.554565263385207</v>
      </c>
      <c r="U39" s="27">
        <v>100.934</v>
      </c>
      <c r="V39" s="27">
        <v>-614.21738355871094</v>
      </c>
      <c r="W39" s="27">
        <v>69.219152300000005</v>
      </c>
      <c r="X39" s="27">
        <v>94.839470899999995</v>
      </c>
      <c r="Y39" s="27">
        <v>144.29</v>
      </c>
      <c r="Z39" s="27">
        <v>255.83066099999999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2.6440317050449962</v>
      </c>
    </row>
    <row r="40" spans="1:40" x14ac:dyDescent="0.3">
      <c r="A40" s="27">
        <v>38</v>
      </c>
      <c r="B40" s="27">
        <v>18</v>
      </c>
      <c r="C40" s="27">
        <v>12.29158776270935</v>
      </c>
      <c r="D40" s="27">
        <v>18</v>
      </c>
      <c r="E40" s="27">
        <v>14</v>
      </c>
      <c r="F40" s="27">
        <v>0.3206260211869954</v>
      </c>
      <c r="G40" s="27">
        <v>23</v>
      </c>
      <c r="H40" s="27">
        <v>9</v>
      </c>
      <c r="I40" s="27">
        <v>1.1971163482587444</v>
      </c>
      <c r="J40" s="27">
        <v>329424738.31533325</v>
      </c>
      <c r="K40" s="27">
        <v>165550000</v>
      </c>
      <c r="L40" s="27">
        <v>79925120.846967325</v>
      </c>
      <c r="M40" s="27">
        <v>77246200</v>
      </c>
      <c r="N40" s="27">
        <v>15759694.4</v>
      </c>
      <c r="O40" s="27">
        <v>231.67548600000001</v>
      </c>
      <c r="P40" s="27">
        <v>2.6478188599786812</v>
      </c>
      <c r="Q40" s="27">
        <v>43.7983616</v>
      </c>
      <c r="R40" s="27">
        <v>800.79705300000001</v>
      </c>
      <c r="S40" s="27">
        <v>2.97087689E-15</v>
      </c>
      <c r="T40" s="27">
        <v>21.503321907503171</v>
      </c>
      <c r="U40" s="27">
        <v>100.934</v>
      </c>
      <c r="V40" s="27">
        <v>-616.70437767623366</v>
      </c>
      <c r="W40" s="27">
        <v>69.218661900000001</v>
      </c>
      <c r="X40" s="27">
        <v>94.829160999999999</v>
      </c>
      <c r="Y40" s="27">
        <v>121.52199999999999</v>
      </c>
      <c r="Z40" s="27">
        <v>254.18423999999999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2.6478188599786812</v>
      </c>
    </row>
    <row r="41" spans="1:40" x14ac:dyDescent="0.3">
      <c r="A41" s="27">
        <v>27</v>
      </c>
      <c r="B41" s="27">
        <v>15</v>
      </c>
      <c r="C41" s="27">
        <v>7.7265462923772645</v>
      </c>
      <c r="D41" s="27">
        <v>15</v>
      </c>
      <c r="E41" s="27">
        <v>13</v>
      </c>
      <c r="F41" s="27">
        <v>0.32065539630876283</v>
      </c>
      <c r="G41" s="27">
        <v>21</v>
      </c>
      <c r="H41" s="27">
        <v>9</v>
      </c>
      <c r="I41" s="27">
        <v>1.3327393268651386</v>
      </c>
      <c r="J41" s="27">
        <v>327986660.52166653</v>
      </c>
      <c r="K41" s="27">
        <v>165454000</v>
      </c>
      <c r="L41" s="27">
        <v>79925020.729865745</v>
      </c>
      <c r="M41" s="27">
        <v>77028000</v>
      </c>
      <c r="N41" s="27">
        <v>15759667.199999999</v>
      </c>
      <c r="O41" s="27">
        <v>232.236064</v>
      </c>
      <c r="P41" s="27">
        <v>2.6395465743378415</v>
      </c>
      <c r="Q41" s="27">
        <v>43.718686499999997</v>
      </c>
      <c r="R41" s="27">
        <v>801.75011900000004</v>
      </c>
      <c r="S41" s="27">
        <v>4.2026466799999997E-14</v>
      </c>
      <c r="T41" s="27">
        <v>21.252192986856073</v>
      </c>
      <c r="U41" s="27">
        <v>100.934</v>
      </c>
      <c r="V41" s="27">
        <v>-617.76056146026565</v>
      </c>
      <c r="W41" s="27">
        <v>69.222458900000007</v>
      </c>
      <c r="X41" s="27">
        <v>94.864353199999996</v>
      </c>
      <c r="Y41" s="27">
        <v>121.52199999999999</v>
      </c>
      <c r="Z41" s="27">
        <v>254.34936300000001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2.6395465743378415</v>
      </c>
    </row>
    <row r="42" spans="1:40" x14ac:dyDescent="0.3">
      <c r="A42" s="27">
        <v>31</v>
      </c>
      <c r="B42" s="27">
        <v>19</v>
      </c>
      <c r="C42" s="27">
        <v>9.8509242411868119</v>
      </c>
      <c r="D42" s="27">
        <v>12</v>
      </c>
      <c r="E42" s="27">
        <v>10</v>
      </c>
      <c r="F42" s="27">
        <v>0.30540763433934748</v>
      </c>
      <c r="G42" s="27">
        <v>21</v>
      </c>
      <c r="H42" s="27">
        <v>14</v>
      </c>
      <c r="I42" s="27">
        <v>1.156965189987744</v>
      </c>
      <c r="J42" s="27">
        <v>328506066.70088434</v>
      </c>
      <c r="K42" s="27">
        <v>165508000</v>
      </c>
      <c r="L42" s="27">
        <v>79924420.107378393</v>
      </c>
      <c r="M42" s="27">
        <v>76989000</v>
      </c>
      <c r="N42" s="27">
        <v>15759518.879999999</v>
      </c>
      <c r="O42" s="27">
        <v>232.375867</v>
      </c>
      <c r="P42" s="27">
        <v>2.6412426140233265</v>
      </c>
      <c r="Q42" s="27">
        <v>43.706334099999999</v>
      </c>
      <c r="R42" s="27">
        <v>801.80355000000009</v>
      </c>
      <c r="S42" s="27">
        <v>1.23426294E-11</v>
      </c>
      <c r="T42" s="27">
        <v>21.245577698069958</v>
      </c>
      <c r="U42" s="27">
        <v>100.934</v>
      </c>
      <c r="V42" s="27">
        <v>-617.41345260302148</v>
      </c>
      <c r="W42" s="27">
        <v>69.219433199999997</v>
      </c>
      <c r="X42" s="27">
        <v>94.842911900000004</v>
      </c>
      <c r="Y42" s="27">
        <v>121.52199999999999</v>
      </c>
      <c r="Z42" s="27">
        <v>254.61882399999999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2.6412426140233265</v>
      </c>
    </row>
    <row r="43" spans="1:40" x14ac:dyDescent="0.3">
      <c r="A43" s="27">
        <v>29</v>
      </c>
      <c r="B43" s="27">
        <v>11</v>
      </c>
      <c r="C43" s="27">
        <v>7.2113628056129775</v>
      </c>
      <c r="D43" s="27">
        <v>17</v>
      </c>
      <c r="E43" s="27">
        <v>12</v>
      </c>
      <c r="F43" s="27">
        <v>0.32780650570038167</v>
      </c>
      <c r="G43" s="27">
        <v>29</v>
      </c>
      <c r="H43" s="27">
        <v>14</v>
      </c>
      <c r="I43" s="27">
        <v>0.50447284911960222</v>
      </c>
      <c r="J43" s="27">
        <v>328142104.33646995</v>
      </c>
      <c r="K43" s="27">
        <v>165471000</v>
      </c>
      <c r="L43" s="27">
        <v>79925521.294829518</v>
      </c>
      <c r="M43" s="27">
        <v>77308400</v>
      </c>
      <c r="N43" s="27">
        <v>15759804</v>
      </c>
      <c r="O43" s="27">
        <v>231.472173</v>
      </c>
      <c r="P43" s="27">
        <v>2.6436901064736804</v>
      </c>
      <c r="Q43" s="27">
        <v>43.819507000000002</v>
      </c>
      <c r="R43" s="27">
        <v>800.684979</v>
      </c>
      <c r="S43" s="27">
        <v>8.5470733700000004E-14</v>
      </c>
      <c r="T43" s="27">
        <v>21.578415131074458</v>
      </c>
      <c r="U43" s="27">
        <v>100.934</v>
      </c>
      <c r="V43" s="27">
        <v>-614.40713158276412</v>
      </c>
      <c r="W43" s="27">
        <v>69.223504399999996</v>
      </c>
      <c r="X43" s="27">
        <v>94.868145299999995</v>
      </c>
      <c r="Y43" s="27">
        <v>144.29</v>
      </c>
      <c r="Z43" s="27">
        <v>254.08284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2.6436901064736804</v>
      </c>
    </row>
    <row r="44" spans="1:40" x14ac:dyDescent="0.3">
      <c r="A44" s="27">
        <v>30</v>
      </c>
      <c r="B44" s="27">
        <v>12</v>
      </c>
      <c r="C44" s="27">
        <v>6.0715370630473089</v>
      </c>
      <c r="D44" s="27">
        <v>12</v>
      </c>
      <c r="E44" s="27">
        <v>10</v>
      </c>
      <c r="F44" s="27">
        <v>0.31589563076660654</v>
      </c>
      <c r="G44" s="27">
        <v>29</v>
      </c>
      <c r="H44" s="27">
        <v>9</v>
      </c>
      <c r="I44" s="27">
        <v>0.99900980081390145</v>
      </c>
      <c r="J44" s="27">
        <v>327903824.34055769</v>
      </c>
      <c r="K44" s="27">
        <v>165467000</v>
      </c>
      <c r="L44" s="27">
        <v>79925220.985845685</v>
      </c>
      <c r="M44" s="27">
        <v>77015600</v>
      </c>
      <c r="N44" s="27">
        <v>15759726.4</v>
      </c>
      <c r="O44" s="27">
        <v>232.25669500000001</v>
      </c>
      <c r="P44" s="27">
        <v>2.639552748540861</v>
      </c>
      <c r="Q44" s="27">
        <v>43.713987099999997</v>
      </c>
      <c r="R44" s="27">
        <v>801.83917400000007</v>
      </c>
      <c r="S44" s="27">
        <v>9.7507151600000008E-12</v>
      </c>
      <c r="T44" s="27">
        <v>21.261250882667792</v>
      </c>
      <c r="U44" s="27">
        <v>100.934</v>
      </c>
      <c r="V44" s="27">
        <v>-617.06852225578098</v>
      </c>
      <c r="W44" s="27">
        <v>69.223002600000001</v>
      </c>
      <c r="X44" s="27">
        <v>94.866413800000004</v>
      </c>
      <c r="Y44" s="27">
        <v>121.52199999999999</v>
      </c>
      <c r="Z44" s="27">
        <v>254.31544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2.639552748540861</v>
      </c>
    </row>
    <row r="45" spans="1:40" x14ac:dyDescent="0.3">
      <c r="A45" s="27">
        <v>34</v>
      </c>
      <c r="B45" s="27">
        <v>11</v>
      </c>
      <c r="C45" s="27">
        <v>10.442351488227297</v>
      </c>
      <c r="D45" s="27">
        <v>13</v>
      </c>
      <c r="E45" s="27">
        <v>11</v>
      </c>
      <c r="F45" s="27">
        <v>0.31133115632773556</v>
      </c>
      <c r="G45" s="27">
        <v>26</v>
      </c>
      <c r="H45" s="27">
        <v>7</v>
      </c>
      <c r="I45" s="27">
        <v>0.5389536255331</v>
      </c>
      <c r="J45" s="27">
        <v>328811850.68660998</v>
      </c>
      <c r="K45" s="27">
        <v>165514000</v>
      </c>
      <c r="L45" s="27">
        <v>79929425.48624438</v>
      </c>
      <c r="M45" s="27">
        <v>76993400</v>
      </c>
      <c r="N45" s="27">
        <v>15760775.439999999</v>
      </c>
      <c r="O45" s="27">
        <v>232.32000600000001</v>
      </c>
      <c r="P45" s="27">
        <v>2.6428016206292924</v>
      </c>
      <c r="Q45" s="27">
        <v>43.711218500000001</v>
      </c>
      <c r="R45" s="27">
        <v>801.78331300000002</v>
      </c>
      <c r="S45" s="27">
        <v>1.8521076100000002E-12</v>
      </c>
      <c r="T45" s="27">
        <v>21.246863283770509</v>
      </c>
      <c r="U45" s="27">
        <v>100.934</v>
      </c>
      <c r="V45" s="27">
        <v>-617.43683164711285</v>
      </c>
      <c r="W45" s="27">
        <v>69.220559199999997</v>
      </c>
      <c r="X45" s="27">
        <v>94.851482700000005</v>
      </c>
      <c r="Y45" s="27">
        <v>121.52199999999999</v>
      </c>
      <c r="Z45" s="27">
        <v>254.05441200000001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2.6428016206292924</v>
      </c>
    </row>
    <row r="46" spans="1:40" x14ac:dyDescent="0.3">
      <c r="A46" s="27">
        <v>33</v>
      </c>
      <c r="B46" s="27">
        <v>19</v>
      </c>
      <c r="C46" s="27">
        <v>1.8021434700676313</v>
      </c>
      <c r="D46" s="27">
        <v>16</v>
      </c>
      <c r="E46" s="27">
        <v>13</v>
      </c>
      <c r="F46" s="27">
        <v>0.30232958082714795</v>
      </c>
      <c r="G46" s="27">
        <v>15</v>
      </c>
      <c r="H46" s="27">
        <v>7</v>
      </c>
      <c r="I46" s="27">
        <v>1.3003608003073954</v>
      </c>
      <c r="J46" s="27">
        <v>326874502.19484955</v>
      </c>
      <c r="K46" s="27">
        <v>165427000</v>
      </c>
      <c r="L46" s="27">
        <v>79926322.198155224</v>
      </c>
      <c r="M46" s="27">
        <v>77243000</v>
      </c>
      <c r="N46" s="27">
        <v>15760005.92</v>
      </c>
      <c r="O46" s="27">
        <v>231.62006400000001</v>
      </c>
      <c r="P46" s="27">
        <v>2.6386947305413617</v>
      </c>
      <c r="Q46" s="27">
        <v>43.738248200000001</v>
      </c>
      <c r="R46" s="27">
        <v>801.32383200000004</v>
      </c>
      <c r="S46" s="27">
        <v>9.8781146500000002E-14</v>
      </c>
      <c r="T46" s="27">
        <v>21.423851285805434</v>
      </c>
      <c r="U46" s="27">
        <v>100.934</v>
      </c>
      <c r="V46" s="27">
        <v>-594.06079392512117</v>
      </c>
      <c r="W46" s="27">
        <v>69.281185699999995</v>
      </c>
      <c r="X46" s="27">
        <v>95.084848300000004</v>
      </c>
      <c r="Y46" s="27">
        <v>121.52199999999999</v>
      </c>
      <c r="Z46" s="27">
        <v>254.22773100000001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2.6386947305413617</v>
      </c>
    </row>
    <row r="47" spans="1:40" x14ac:dyDescent="0.3">
      <c r="A47" s="27">
        <v>27</v>
      </c>
      <c r="B47" s="27">
        <v>10</v>
      </c>
      <c r="C47" s="27">
        <v>7.2777012589370829</v>
      </c>
      <c r="D47" s="27">
        <v>13</v>
      </c>
      <c r="E47" s="27">
        <v>9</v>
      </c>
      <c r="F47" s="27">
        <v>0.30623751241845926</v>
      </c>
      <c r="G47" s="27">
        <v>16</v>
      </c>
      <c r="H47" s="27">
        <v>9</v>
      </c>
      <c r="I47" s="27">
        <v>1.3809029156766532</v>
      </c>
      <c r="J47" s="27">
        <v>327790678.82564938</v>
      </c>
      <c r="K47" s="27">
        <v>165452000</v>
      </c>
      <c r="L47" s="27">
        <v>79925321.023236021</v>
      </c>
      <c r="M47" s="27">
        <v>77221500</v>
      </c>
      <c r="N47" s="27">
        <v>15759732.08</v>
      </c>
      <c r="O47" s="27">
        <v>231.75856099999999</v>
      </c>
      <c r="P47" s="27">
        <v>2.6406871779051762</v>
      </c>
      <c r="Q47" s="27">
        <v>43.781237900000001</v>
      </c>
      <c r="R47" s="27">
        <v>800.89027399999998</v>
      </c>
      <c r="S47" s="27">
        <v>4.1806331399999998E-11</v>
      </c>
      <c r="T47" s="27">
        <v>21.509280313364123</v>
      </c>
      <c r="U47" s="27">
        <v>100.934</v>
      </c>
      <c r="V47" s="27">
        <v>-612.20025245248689</v>
      </c>
      <c r="W47" s="27">
        <v>69.226554399999998</v>
      </c>
      <c r="X47" s="27">
        <v>94.880240000000001</v>
      </c>
      <c r="Y47" s="27">
        <v>121.52199999999999</v>
      </c>
      <c r="Z47" s="27">
        <v>254.39479700000001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2.6406871779051762</v>
      </c>
    </row>
    <row r="48" spans="1:40" x14ac:dyDescent="0.3">
      <c r="A48" s="27">
        <v>34</v>
      </c>
      <c r="B48" s="27">
        <v>15</v>
      </c>
      <c r="C48" s="27">
        <v>1.4940647007691223</v>
      </c>
      <c r="D48" s="27">
        <v>17</v>
      </c>
      <c r="E48" s="27">
        <v>14</v>
      </c>
      <c r="F48" s="27">
        <v>0.34244584906598352</v>
      </c>
      <c r="G48" s="27">
        <v>25</v>
      </c>
      <c r="H48" s="27">
        <v>10</v>
      </c>
      <c r="I48" s="27">
        <v>0.44528918129408152</v>
      </c>
      <c r="J48" s="27">
        <v>326917353.61552835</v>
      </c>
      <c r="K48" s="27">
        <v>165430000</v>
      </c>
      <c r="L48" s="27">
        <v>79928724.800686523</v>
      </c>
      <c r="M48" s="27">
        <v>77454900</v>
      </c>
      <c r="N48" s="27">
        <v>15760617.6</v>
      </c>
      <c r="O48" s="27">
        <v>230.72842800000001</v>
      </c>
      <c r="P48" s="27">
        <v>2.6450211697315078</v>
      </c>
      <c r="Q48" s="27">
        <v>43.758745599999997</v>
      </c>
      <c r="R48" s="27">
        <v>801.87078199999996</v>
      </c>
      <c r="S48" s="27">
        <v>1.7894442400000002E-15</v>
      </c>
      <c r="T48" s="27">
        <v>21.52444602178878</v>
      </c>
      <c r="U48" s="27">
        <v>100.934</v>
      </c>
      <c r="V48" s="27">
        <v>-574.70106143042494</v>
      </c>
      <c r="W48" s="27">
        <v>69.350209599999999</v>
      </c>
      <c r="X48" s="27">
        <v>95.355453299999994</v>
      </c>
      <c r="Y48" s="27">
        <v>121.52199999999999</v>
      </c>
      <c r="Z48" s="27">
        <v>253.942295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2.6450211697315078</v>
      </c>
    </row>
    <row r="49" spans="1:40" x14ac:dyDescent="0.3">
      <c r="A49" s="27">
        <v>27</v>
      </c>
      <c r="B49" s="27">
        <v>16</v>
      </c>
      <c r="C49" s="27">
        <v>6.0772716805760716</v>
      </c>
      <c r="D49" s="27">
        <v>15</v>
      </c>
      <c r="E49" s="27">
        <v>13</v>
      </c>
      <c r="F49" s="27">
        <v>0.33971284331849211</v>
      </c>
      <c r="G49" s="27">
        <v>16</v>
      </c>
      <c r="H49" s="27">
        <v>12</v>
      </c>
      <c r="I49" s="27">
        <v>1.3641885832009519</v>
      </c>
      <c r="J49" s="27">
        <v>327615119.1594643</v>
      </c>
      <c r="K49" s="27">
        <v>165432000</v>
      </c>
      <c r="L49" s="27">
        <v>79924920.607833564</v>
      </c>
      <c r="M49" s="27">
        <v>77086200</v>
      </c>
      <c r="N49" s="27">
        <v>15759606.08</v>
      </c>
      <c r="O49" s="27">
        <v>232.05554100000001</v>
      </c>
      <c r="P49" s="27">
        <v>2.6389874236838242</v>
      </c>
      <c r="Q49" s="27">
        <v>43.733918000000003</v>
      </c>
      <c r="R49" s="27">
        <v>801.80145000000005</v>
      </c>
      <c r="S49" s="27">
        <v>1.32601196E-13</v>
      </c>
      <c r="T49" s="27">
        <v>21.279354543415344</v>
      </c>
      <c r="U49" s="27">
        <v>100.934</v>
      </c>
      <c r="V49" s="27">
        <v>-619.20822199012071</v>
      </c>
      <c r="W49" s="27">
        <v>69.223798299999999</v>
      </c>
      <c r="X49" s="27">
        <v>94.871179100000006</v>
      </c>
      <c r="Y49" s="27">
        <v>121.52199999999999</v>
      </c>
      <c r="Z49" s="27">
        <v>254.88758999999999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2.6389874236838242</v>
      </c>
    </row>
    <row r="50" spans="1:40" x14ac:dyDescent="0.3">
      <c r="A50" s="27">
        <v>29</v>
      </c>
      <c r="B50" s="27">
        <v>11</v>
      </c>
      <c r="C50" s="27">
        <v>1.0186063969466641</v>
      </c>
      <c r="D50" s="27">
        <v>14</v>
      </c>
      <c r="E50" s="27">
        <v>12</v>
      </c>
      <c r="F50" s="27">
        <v>0.36760227328959327</v>
      </c>
      <c r="G50" s="27">
        <v>12</v>
      </c>
      <c r="H50" s="27">
        <v>8</v>
      </c>
      <c r="I50" s="27">
        <v>0.51402011038779172</v>
      </c>
      <c r="J50" s="27">
        <v>326323988.32077396</v>
      </c>
      <c r="K50" s="27">
        <v>165399000</v>
      </c>
      <c r="L50" s="27">
        <v>79934531.072811589</v>
      </c>
      <c r="M50" s="27">
        <v>77825000</v>
      </c>
      <c r="N50" s="27">
        <v>15761915.360000001</v>
      </c>
      <c r="O50" s="27">
        <v>229.336885</v>
      </c>
      <c r="P50" s="27">
        <v>2.6515934208852387</v>
      </c>
      <c r="Q50" s="27">
        <v>43.687136600000002</v>
      </c>
      <c r="R50" s="27">
        <v>803.60989500000005</v>
      </c>
      <c r="S50" s="27">
        <v>6.1882795999999999E-14</v>
      </c>
      <c r="T50" s="27">
        <v>21.27218932087456</v>
      </c>
      <c r="U50" s="27">
        <v>91.850000000000009</v>
      </c>
      <c r="V50" s="27">
        <v>-499.34412688688542</v>
      </c>
      <c r="W50" s="27">
        <v>69.582292100000004</v>
      </c>
      <c r="X50" s="27">
        <v>96.850720100000004</v>
      </c>
      <c r="Y50" s="27">
        <v>100.934</v>
      </c>
      <c r="Z50" s="27">
        <v>256.10671500000001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0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2.6515934208852387</v>
      </c>
    </row>
    <row r="51" spans="1:40" x14ac:dyDescent="0.3">
      <c r="A51" s="27">
        <v>31</v>
      </c>
      <c r="B51" s="27">
        <v>11</v>
      </c>
      <c r="C51" s="27">
        <v>14.256359435953033</v>
      </c>
      <c r="D51" s="27">
        <v>25</v>
      </c>
      <c r="E51" s="27">
        <v>5</v>
      </c>
      <c r="F51" s="27">
        <v>0.33192464693581342</v>
      </c>
      <c r="G51" s="27">
        <v>11</v>
      </c>
      <c r="H51" s="27">
        <v>8</v>
      </c>
      <c r="I51" s="27">
        <v>1.1738135067030582</v>
      </c>
      <c r="J51" s="27">
        <v>329439928.56298399</v>
      </c>
      <c r="K51" s="27">
        <v>165537000</v>
      </c>
      <c r="L51" s="27">
        <v>79929025.068992943</v>
      </c>
      <c r="M51" s="27">
        <v>77318500</v>
      </c>
      <c r="N51" s="27">
        <v>15760571.359999999</v>
      </c>
      <c r="O51" s="27">
        <v>231.72281000000001</v>
      </c>
      <c r="P51" s="27">
        <v>2.645697633087992</v>
      </c>
      <c r="Q51" s="27">
        <v>43.835157299999999</v>
      </c>
      <c r="R51" s="27">
        <v>800.16592200000002</v>
      </c>
      <c r="S51" s="27">
        <v>4.3977317199999999E-8</v>
      </c>
      <c r="T51" s="27">
        <v>21.763421135204208</v>
      </c>
      <c r="U51" s="27">
        <v>100.934</v>
      </c>
      <c r="V51" s="27">
        <v>-598.2446254245848</v>
      </c>
      <c r="W51" s="27">
        <v>69.220224400000006</v>
      </c>
      <c r="X51" s="27">
        <v>94.850027800000007</v>
      </c>
      <c r="Y51" s="27">
        <v>177.97</v>
      </c>
      <c r="Z51" s="27">
        <v>255.811116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2.645697633087992</v>
      </c>
    </row>
    <row r="52" spans="1:40" x14ac:dyDescent="0.3">
      <c r="A52" s="27">
        <v>28</v>
      </c>
      <c r="B52" s="27">
        <v>19</v>
      </c>
      <c r="C52" s="27">
        <v>1.8184500345408205</v>
      </c>
      <c r="D52" s="27">
        <v>17</v>
      </c>
      <c r="E52" s="27">
        <v>11</v>
      </c>
      <c r="F52" s="27">
        <v>0.37394292011394703</v>
      </c>
      <c r="G52" s="27">
        <v>27</v>
      </c>
      <c r="H52" s="27">
        <v>7</v>
      </c>
      <c r="I52" s="27">
        <v>1.0976966858581989</v>
      </c>
      <c r="J52" s="27">
        <v>326982646.66137052</v>
      </c>
      <c r="K52" s="27">
        <v>165429000</v>
      </c>
      <c r="L52" s="27">
        <v>79926322.224862605</v>
      </c>
      <c r="M52" s="27">
        <v>77655300</v>
      </c>
      <c r="N52" s="27">
        <v>15760014.48</v>
      </c>
      <c r="O52" s="27">
        <v>230.087568</v>
      </c>
      <c r="P52" s="27">
        <v>2.6487169999556039</v>
      </c>
      <c r="Q52" s="27">
        <v>43.846537300000001</v>
      </c>
      <c r="R52" s="27">
        <v>801.46596299999999</v>
      </c>
      <c r="S52" s="27">
        <v>4.6152809400000003E-11</v>
      </c>
      <c r="T52" s="27">
        <v>21.782496047711003</v>
      </c>
      <c r="U52" s="27">
        <v>80.72</v>
      </c>
      <c r="V52" s="27">
        <v>-580.59683319431019</v>
      </c>
      <c r="W52" s="27">
        <v>69.3478396</v>
      </c>
      <c r="X52" s="27">
        <v>95.334260099999995</v>
      </c>
      <c r="Y52" s="27">
        <v>144.29</v>
      </c>
      <c r="Z52" s="27">
        <v>253.85545200000001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2.6487169999556039</v>
      </c>
    </row>
    <row r="53" spans="1:40" x14ac:dyDescent="0.3">
      <c r="A53" s="27">
        <v>28</v>
      </c>
      <c r="B53" s="27">
        <v>19</v>
      </c>
      <c r="C53" s="27">
        <v>11.512153859293681</v>
      </c>
      <c r="D53" s="27">
        <v>26</v>
      </c>
      <c r="E53" s="27">
        <v>5</v>
      </c>
      <c r="F53" s="27">
        <v>0.35516757392968595</v>
      </c>
      <c r="G53" s="27">
        <v>13</v>
      </c>
      <c r="H53" s="27">
        <v>11</v>
      </c>
      <c r="I53" s="27">
        <v>1.3935853609576667</v>
      </c>
      <c r="J53" s="27">
        <v>328822894.77823079</v>
      </c>
      <c r="K53" s="27">
        <v>165517000</v>
      </c>
      <c r="L53" s="27">
        <v>79926922.800303891</v>
      </c>
      <c r="M53" s="27">
        <v>77399200</v>
      </c>
      <c r="N53" s="27">
        <v>15759976.08</v>
      </c>
      <c r="O53" s="27">
        <v>231.53232499999999</v>
      </c>
      <c r="P53" s="27">
        <v>2.6441452151638711</v>
      </c>
      <c r="Q53" s="27">
        <v>43.854097899999999</v>
      </c>
      <c r="R53" s="27">
        <v>800.26390300000003</v>
      </c>
      <c r="S53" s="27">
        <v>3.5755840500000003E-8</v>
      </c>
      <c r="T53" s="27">
        <v>21.78727052318964</v>
      </c>
      <c r="U53" s="27">
        <v>100.934</v>
      </c>
      <c r="V53" s="27">
        <v>-599.76798445458223</v>
      </c>
      <c r="W53" s="27">
        <v>69.220645599999997</v>
      </c>
      <c r="X53" s="27">
        <v>94.852926499999995</v>
      </c>
      <c r="Y53" s="27">
        <v>177.97</v>
      </c>
      <c r="Z53" s="27">
        <v>257.45363200000003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2.6441452151638711</v>
      </c>
    </row>
    <row r="54" spans="1:40" x14ac:dyDescent="0.3">
      <c r="A54" s="27">
        <v>28</v>
      </c>
      <c r="B54" s="27">
        <v>13</v>
      </c>
      <c r="C54" s="27">
        <v>7.3640426012703957</v>
      </c>
      <c r="D54" s="27">
        <v>23</v>
      </c>
      <c r="E54" s="27">
        <v>5</v>
      </c>
      <c r="F54" s="27">
        <v>0.30320634645557576</v>
      </c>
      <c r="G54" s="27">
        <v>24</v>
      </c>
      <c r="H54" s="27">
        <v>11</v>
      </c>
      <c r="I54" s="27">
        <v>1.3563816927849408</v>
      </c>
      <c r="J54" s="27">
        <v>328261394.67049301</v>
      </c>
      <c r="K54" s="27">
        <v>165469000</v>
      </c>
      <c r="L54" s="27">
        <v>79924620.307272837</v>
      </c>
      <c r="M54" s="27">
        <v>77231900</v>
      </c>
      <c r="N54" s="27">
        <v>15759569.279999999</v>
      </c>
      <c r="O54" s="27">
        <v>231.94855100000001</v>
      </c>
      <c r="P54" s="27">
        <v>2.6400274555432302</v>
      </c>
      <c r="Q54" s="27">
        <v>43.809618800000003</v>
      </c>
      <c r="R54" s="27">
        <v>800.07187399999998</v>
      </c>
      <c r="S54" s="27">
        <v>5.8285527999999998E-8</v>
      </c>
      <c r="T54" s="27">
        <v>21.734210824249985</v>
      </c>
      <c r="U54" s="27">
        <v>100.934</v>
      </c>
      <c r="V54" s="27">
        <v>-596.1969403139002</v>
      </c>
      <c r="W54" s="27">
        <v>69.222353799999993</v>
      </c>
      <c r="X54" s="27">
        <v>94.863402199999996</v>
      </c>
      <c r="Y54" s="27">
        <v>177.97</v>
      </c>
      <c r="Z54" s="27">
        <v>254.40012999999999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2.6400274555432302</v>
      </c>
    </row>
    <row r="55" spans="1:40" x14ac:dyDescent="0.3">
      <c r="A55" s="27">
        <v>38</v>
      </c>
      <c r="B55" s="27">
        <v>13</v>
      </c>
      <c r="C55" s="27">
        <v>4.8409223132504833</v>
      </c>
      <c r="D55" s="27">
        <v>16</v>
      </c>
      <c r="E55" s="27">
        <v>9</v>
      </c>
      <c r="F55" s="27">
        <v>0.31470980671531767</v>
      </c>
      <c r="G55" s="27">
        <v>16</v>
      </c>
      <c r="H55" s="27">
        <v>13</v>
      </c>
      <c r="I55" s="27">
        <v>1.2626610110734307</v>
      </c>
      <c r="J55" s="27">
        <v>327680862.30939442</v>
      </c>
      <c r="K55" s="27">
        <v>165449000</v>
      </c>
      <c r="L55" s="27">
        <v>79925020.762941808</v>
      </c>
      <c r="M55" s="27">
        <v>77335500</v>
      </c>
      <c r="N55" s="27">
        <v>15759589.760000002</v>
      </c>
      <c r="O55" s="27">
        <v>231.59771000000001</v>
      </c>
      <c r="P55" s="27">
        <v>2.6399692511948176</v>
      </c>
      <c r="Q55" s="27">
        <v>43.8206749</v>
      </c>
      <c r="R55" s="27">
        <v>800.38958700000001</v>
      </c>
      <c r="S55" s="27">
        <v>2.95535308E-11</v>
      </c>
      <c r="T55" s="27">
        <v>21.621197536124466</v>
      </c>
      <c r="U55" s="27">
        <v>100.934</v>
      </c>
      <c r="V55" s="27">
        <v>-609.98552339957143</v>
      </c>
      <c r="W55" s="27">
        <v>69.221724699999996</v>
      </c>
      <c r="X55" s="27">
        <v>94.858043899999998</v>
      </c>
      <c r="Y55" s="27">
        <v>144.29</v>
      </c>
      <c r="Z55" s="27">
        <v>255.62389999999999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2.6399692511948176</v>
      </c>
    </row>
    <row r="56" spans="1:40" x14ac:dyDescent="0.3">
      <c r="A56" s="27">
        <v>35</v>
      </c>
      <c r="B56" s="27">
        <v>15</v>
      </c>
      <c r="C56" s="27">
        <v>5.529654927684696</v>
      </c>
      <c r="D56" s="27">
        <v>13</v>
      </c>
      <c r="E56" s="27">
        <v>11</v>
      </c>
      <c r="F56" s="27">
        <v>0.31056242612708973</v>
      </c>
      <c r="G56" s="27">
        <v>20</v>
      </c>
      <c r="H56" s="27">
        <v>13</v>
      </c>
      <c r="I56" s="27">
        <v>1.283870933499879</v>
      </c>
      <c r="J56" s="27">
        <v>327734140.7438857</v>
      </c>
      <c r="K56" s="27">
        <v>165449000</v>
      </c>
      <c r="L56" s="27">
        <v>79924520.164901972</v>
      </c>
      <c r="M56" s="27">
        <v>77002400</v>
      </c>
      <c r="N56" s="27">
        <v>15759533.359999999</v>
      </c>
      <c r="O56" s="27">
        <v>232.33083199999999</v>
      </c>
      <c r="P56" s="27">
        <v>2.6381234593968061</v>
      </c>
      <c r="Q56" s="27">
        <v>43.710654900000002</v>
      </c>
      <c r="R56" s="27">
        <v>801.77972699999998</v>
      </c>
      <c r="S56" s="27">
        <v>1.88849899E-12</v>
      </c>
      <c r="T56" s="27">
        <v>21.245639711481246</v>
      </c>
      <c r="U56" s="27">
        <v>100.934</v>
      </c>
      <c r="V56" s="27">
        <v>-617.57476940963545</v>
      </c>
      <c r="W56" s="27">
        <v>69.220057400000002</v>
      </c>
      <c r="X56" s="27">
        <v>94.849356700000001</v>
      </c>
      <c r="Y56" s="27">
        <v>121.52199999999999</v>
      </c>
      <c r="Z56" s="27">
        <v>254.445742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2.6381234593968061</v>
      </c>
    </row>
    <row r="57" spans="1:40" x14ac:dyDescent="0.3">
      <c r="A57" s="27">
        <v>38</v>
      </c>
      <c r="B57" s="27">
        <v>11</v>
      </c>
      <c r="C57" s="27">
        <v>14.711006711869864</v>
      </c>
      <c r="D57" s="27">
        <v>18</v>
      </c>
      <c r="E57" s="27">
        <v>11</v>
      </c>
      <c r="F57" s="27">
        <v>0.33796173847913241</v>
      </c>
      <c r="G57" s="27">
        <v>15</v>
      </c>
      <c r="H57" s="27">
        <v>13</v>
      </c>
      <c r="I57" s="27">
        <v>0.61417267864373359</v>
      </c>
      <c r="J57" s="27">
        <v>329686913.50359792</v>
      </c>
      <c r="K57" s="27">
        <v>165574000</v>
      </c>
      <c r="L57" s="27">
        <v>79944942.334491238</v>
      </c>
      <c r="M57" s="27">
        <v>77518400</v>
      </c>
      <c r="N57" s="27">
        <v>15764243.119999999</v>
      </c>
      <c r="O57" s="27">
        <v>231.33390299999999</v>
      </c>
      <c r="P57" s="27">
        <v>2.6477617543918015</v>
      </c>
      <c r="Q57" s="27">
        <v>43.845931800000002</v>
      </c>
      <c r="R57" s="27">
        <v>800.523865</v>
      </c>
      <c r="S57" s="27">
        <v>3.9035294999999998E-13</v>
      </c>
      <c r="T57" s="27">
        <v>21.647493534059905</v>
      </c>
      <c r="U57" s="27">
        <v>100.934</v>
      </c>
      <c r="V57" s="27">
        <v>-614.00957788178937</v>
      </c>
      <c r="W57" s="27">
        <v>69.219644500000001</v>
      </c>
      <c r="X57" s="27">
        <v>94.843877899999995</v>
      </c>
      <c r="Y57" s="27">
        <v>144.29</v>
      </c>
      <c r="Z57" s="27">
        <v>262.16968900000001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2.6477617543918015</v>
      </c>
    </row>
    <row r="58" spans="1:40" x14ac:dyDescent="0.3">
      <c r="A58" s="27">
        <v>29</v>
      </c>
      <c r="B58" s="27">
        <v>16</v>
      </c>
      <c r="C58" s="27">
        <v>8.2052406863413765</v>
      </c>
      <c r="D58" s="27">
        <v>10</v>
      </c>
      <c r="E58" s="27">
        <v>6</v>
      </c>
      <c r="F58" s="27">
        <v>0.30571071337001976</v>
      </c>
      <c r="G58" s="27">
        <v>18</v>
      </c>
      <c r="H58" s="27">
        <v>7</v>
      </c>
      <c r="I58" s="27">
        <v>0.32997934477150376</v>
      </c>
      <c r="J58" s="27">
        <v>327909104.790914</v>
      </c>
      <c r="K58" s="27">
        <v>165466000</v>
      </c>
      <c r="L58" s="27">
        <v>79939736.820239395</v>
      </c>
      <c r="M58" s="27">
        <v>77160400</v>
      </c>
      <c r="N58" s="27">
        <v>15763401.120000001</v>
      </c>
      <c r="O58" s="27">
        <v>231.828959</v>
      </c>
      <c r="P58" s="27">
        <v>2.6416620861204034</v>
      </c>
      <c r="Q58" s="27">
        <v>43.775859199999999</v>
      </c>
      <c r="R58" s="27">
        <v>801.03179399999999</v>
      </c>
      <c r="S58" s="27">
        <v>1.0090162E-8</v>
      </c>
      <c r="T58" s="27">
        <v>21.55476649120293</v>
      </c>
      <c r="U58" s="27">
        <v>100.934</v>
      </c>
      <c r="V58" s="27">
        <v>-613.5978118635071</v>
      </c>
      <c r="W58" s="27">
        <v>69.220518200000001</v>
      </c>
      <c r="X58" s="27">
        <v>94.853345899999994</v>
      </c>
      <c r="Y58" s="27">
        <v>121.52199999999999</v>
      </c>
      <c r="Z58" s="27">
        <v>253.51571200000001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2.6416620861204034</v>
      </c>
    </row>
    <row r="59" spans="1:40" x14ac:dyDescent="0.3">
      <c r="A59" s="27">
        <v>38</v>
      </c>
      <c r="B59" s="27">
        <v>10</v>
      </c>
      <c r="C59" s="27">
        <v>1.6797246131104613</v>
      </c>
      <c r="D59" s="27">
        <v>17</v>
      </c>
      <c r="E59" s="27">
        <v>14</v>
      </c>
      <c r="F59" s="27">
        <v>0.32606999798908237</v>
      </c>
      <c r="G59" s="27">
        <v>25</v>
      </c>
      <c r="H59" s="27">
        <v>10</v>
      </c>
      <c r="I59" s="27">
        <v>0.56554678793807889</v>
      </c>
      <c r="J59" s="27">
        <v>327148799.60128719</v>
      </c>
      <c r="K59" s="27">
        <v>165446000</v>
      </c>
      <c r="L59" s="27">
        <v>79926522.415512189</v>
      </c>
      <c r="M59" s="27">
        <v>77527400</v>
      </c>
      <c r="N59" s="27">
        <v>15760062.239999998</v>
      </c>
      <c r="O59" s="27">
        <v>230.72278299999999</v>
      </c>
      <c r="P59" s="27">
        <v>2.6446858720841866</v>
      </c>
      <c r="Q59" s="27">
        <v>43.8082773</v>
      </c>
      <c r="R59" s="27">
        <v>800.94657700000005</v>
      </c>
      <c r="S59" s="27">
        <v>6.4571871999999996E-9</v>
      </c>
      <c r="T59" s="27">
        <v>21.753095412456553</v>
      </c>
      <c r="U59" s="27">
        <v>100.934</v>
      </c>
      <c r="V59" s="27">
        <v>-563.50644062771835</v>
      </c>
      <c r="W59" s="27">
        <v>69.341798600000004</v>
      </c>
      <c r="X59" s="27">
        <v>95.306692499999997</v>
      </c>
      <c r="Y59" s="27">
        <v>165.7</v>
      </c>
      <c r="Z59" s="27">
        <v>254.16354899999999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0</v>
      </c>
      <c r="AI59" s="27">
        <v>0</v>
      </c>
      <c r="AJ59" s="27">
        <v>0</v>
      </c>
      <c r="AK59" s="27">
        <v>0</v>
      </c>
      <c r="AL59" s="27">
        <v>0</v>
      </c>
      <c r="AM59" s="27">
        <v>0</v>
      </c>
      <c r="AN59" s="27">
        <v>2.6446858720841866</v>
      </c>
    </row>
    <row r="60" spans="1:40" x14ac:dyDescent="0.3">
      <c r="A60" s="27">
        <v>27</v>
      </c>
      <c r="B60" s="27">
        <v>18</v>
      </c>
      <c r="C60" s="27">
        <v>8.3359882399782919</v>
      </c>
      <c r="D60" s="27">
        <v>21</v>
      </c>
      <c r="E60" s="27">
        <v>5</v>
      </c>
      <c r="F60" s="27">
        <v>0.40335202105532209</v>
      </c>
      <c r="G60" s="27">
        <v>10</v>
      </c>
      <c r="H60" s="27">
        <v>7</v>
      </c>
      <c r="I60" s="27">
        <v>1.3069539092572189</v>
      </c>
      <c r="J60" s="27">
        <v>328057264.85871649</v>
      </c>
      <c r="K60" s="27">
        <v>165460000</v>
      </c>
      <c r="L60" s="27">
        <v>79930426.620486185</v>
      </c>
      <c r="M60" s="27">
        <v>77446500</v>
      </c>
      <c r="N60" s="27">
        <v>15760938.319999998</v>
      </c>
      <c r="O60" s="27">
        <v>231.07455300000001</v>
      </c>
      <c r="P60" s="27">
        <v>2.6451416387071056</v>
      </c>
      <c r="Q60" s="27">
        <v>43.886426399999998</v>
      </c>
      <c r="R60" s="27">
        <v>800.65103699999997</v>
      </c>
      <c r="S60" s="27">
        <v>2.4577334300000001E-8</v>
      </c>
      <c r="T60" s="27">
        <v>21.819494916585363</v>
      </c>
      <c r="U60" s="27">
        <v>100.934</v>
      </c>
      <c r="V60" s="27">
        <v>-606.5550998654428</v>
      </c>
      <c r="W60" s="27">
        <v>69.222406399999997</v>
      </c>
      <c r="X60" s="27">
        <v>94.863353799999999</v>
      </c>
      <c r="Y60" s="27">
        <v>177.97</v>
      </c>
      <c r="Z60" s="27">
        <v>255.38194200000001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2.6451416387071056</v>
      </c>
    </row>
    <row r="61" spans="1:40" x14ac:dyDescent="0.3">
      <c r="A61" s="27">
        <v>39</v>
      </c>
      <c r="B61" s="27">
        <v>18</v>
      </c>
      <c r="C61" s="27">
        <v>2.6287396210710492</v>
      </c>
      <c r="D61" s="27">
        <v>28</v>
      </c>
      <c r="E61" s="27">
        <v>5</v>
      </c>
      <c r="F61" s="27">
        <v>0.30619804911215565</v>
      </c>
      <c r="G61" s="27">
        <v>17</v>
      </c>
      <c r="H61" s="27">
        <v>7</v>
      </c>
      <c r="I61" s="27">
        <v>1.1379498330589388</v>
      </c>
      <c r="J61" s="27">
        <v>327509653.29046303</v>
      </c>
      <c r="K61" s="27">
        <v>165463000</v>
      </c>
      <c r="L61" s="27">
        <v>79926422.30334121</v>
      </c>
      <c r="M61" s="27">
        <v>77232700</v>
      </c>
      <c r="N61" s="27">
        <v>15760032.16</v>
      </c>
      <c r="O61" s="27">
        <v>231.95167599999999</v>
      </c>
      <c r="P61" s="27">
        <v>2.6376623461427817</v>
      </c>
      <c r="Q61" s="27">
        <v>43.813786999999998</v>
      </c>
      <c r="R61" s="27">
        <v>800.01054199999999</v>
      </c>
      <c r="S61" s="27">
        <v>5.6300433899999999E-8</v>
      </c>
      <c r="T61" s="27">
        <v>21.749286365377277</v>
      </c>
      <c r="U61" s="27">
        <v>100.934</v>
      </c>
      <c r="V61" s="27">
        <v>-594.05154732618291</v>
      </c>
      <c r="W61" s="27">
        <v>69.222852000000003</v>
      </c>
      <c r="X61" s="27">
        <v>94.867639999999994</v>
      </c>
      <c r="Y61" s="27">
        <v>177.97</v>
      </c>
      <c r="Z61" s="27">
        <v>254.30504999999999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0</v>
      </c>
      <c r="AH61" s="27">
        <v>0</v>
      </c>
      <c r="AI61" s="27">
        <v>0</v>
      </c>
      <c r="AJ61" s="27">
        <v>0</v>
      </c>
      <c r="AK61" s="27">
        <v>0</v>
      </c>
      <c r="AL61" s="27">
        <v>0</v>
      </c>
      <c r="AM61" s="27">
        <v>0</v>
      </c>
      <c r="AN61" s="27">
        <v>2.6376623461427817</v>
      </c>
    </row>
    <row r="62" spans="1:40" x14ac:dyDescent="0.3">
      <c r="A62" s="27">
        <v>38</v>
      </c>
      <c r="B62" s="27">
        <v>10</v>
      </c>
      <c r="C62" s="27">
        <v>2.0191436125510647</v>
      </c>
      <c r="D62" s="27">
        <v>29</v>
      </c>
      <c r="E62" s="27">
        <v>8</v>
      </c>
      <c r="F62" s="27">
        <v>0.33428205518957105</v>
      </c>
      <c r="G62" s="27">
        <v>14</v>
      </c>
      <c r="H62" s="27">
        <v>9</v>
      </c>
      <c r="I62" s="27">
        <v>0.55536412884431408</v>
      </c>
      <c r="J62" s="27">
        <v>327254937.80019891</v>
      </c>
      <c r="K62" s="27">
        <v>165450000</v>
      </c>
      <c r="L62" s="27">
        <v>79930026.246788338</v>
      </c>
      <c r="M62" s="27">
        <v>77491800</v>
      </c>
      <c r="N62" s="27">
        <v>15760867.6</v>
      </c>
      <c r="O62" s="27">
        <v>231.035571</v>
      </c>
      <c r="P62" s="27">
        <v>2.642173853462952</v>
      </c>
      <c r="Q62" s="27">
        <v>43.841510100000001</v>
      </c>
      <c r="R62" s="27">
        <v>800.42178200000001</v>
      </c>
      <c r="S62" s="27">
        <v>1.1931562299999999E-10</v>
      </c>
      <c r="T62" s="27">
        <v>21.759125576596023</v>
      </c>
      <c r="U62" s="27">
        <v>100.934</v>
      </c>
      <c r="V62" s="27">
        <v>-575.71311228850425</v>
      </c>
      <c r="W62" s="27">
        <v>69.291402399999996</v>
      </c>
      <c r="X62" s="27">
        <v>95.105917099999999</v>
      </c>
      <c r="Y62" s="27">
        <v>177.97</v>
      </c>
      <c r="Z62" s="27">
        <v>255.011595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2.642173853462952</v>
      </c>
    </row>
    <row r="63" spans="1:40" x14ac:dyDescent="0.3">
      <c r="A63" s="27">
        <v>38</v>
      </c>
      <c r="B63" s="27">
        <v>18</v>
      </c>
      <c r="C63" s="27">
        <v>9.1563157944990774</v>
      </c>
      <c r="D63" s="27">
        <v>29</v>
      </c>
      <c r="E63" s="27">
        <v>5</v>
      </c>
      <c r="F63" s="27">
        <v>0.3157203316663772</v>
      </c>
      <c r="G63" s="27">
        <v>13</v>
      </c>
      <c r="H63" s="27">
        <v>7</v>
      </c>
      <c r="I63" s="27">
        <v>1.2550496791657544</v>
      </c>
      <c r="J63" s="27">
        <v>328858631.41738808</v>
      </c>
      <c r="K63" s="27">
        <v>165530000</v>
      </c>
      <c r="L63" s="27">
        <v>79927122.995678633</v>
      </c>
      <c r="M63" s="27">
        <v>77247000</v>
      </c>
      <c r="N63" s="27">
        <v>15760181.84</v>
      </c>
      <c r="O63" s="27">
        <v>231.90029200000001</v>
      </c>
      <c r="P63" s="27">
        <v>2.6431989071096105</v>
      </c>
      <c r="Q63" s="27">
        <v>43.823319900000001</v>
      </c>
      <c r="R63" s="27">
        <v>800.02423899999997</v>
      </c>
      <c r="S63" s="27">
        <v>5.1221589200000002E-8</v>
      </c>
      <c r="T63" s="27">
        <v>21.757144401805611</v>
      </c>
      <c r="U63" s="27">
        <v>100.934</v>
      </c>
      <c r="V63" s="27">
        <v>-595.82722130450747</v>
      </c>
      <c r="W63" s="27">
        <v>69.218759000000006</v>
      </c>
      <c r="X63" s="27">
        <v>94.8320097</v>
      </c>
      <c r="Y63" s="27">
        <v>177.97</v>
      </c>
      <c r="Z63" s="27">
        <v>254.41001399999999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2.6431989071096105</v>
      </c>
    </row>
    <row r="64" spans="1:40" x14ac:dyDescent="0.3">
      <c r="A64" s="27">
        <v>30</v>
      </c>
      <c r="B64" s="27">
        <v>15</v>
      </c>
      <c r="C64" s="27">
        <v>13.899208213718371</v>
      </c>
      <c r="D64" s="27">
        <v>11</v>
      </c>
      <c r="E64" s="27">
        <v>8</v>
      </c>
      <c r="F64" s="27">
        <v>0.32081224035963762</v>
      </c>
      <c r="G64" s="27">
        <v>23</v>
      </c>
      <c r="H64" s="27">
        <v>12</v>
      </c>
      <c r="I64" s="27">
        <v>0.55595501748395004</v>
      </c>
      <c r="J64" s="27">
        <v>329200019.26819301</v>
      </c>
      <c r="K64" s="27">
        <v>165515000</v>
      </c>
      <c r="L64" s="27">
        <v>79925621.359954432</v>
      </c>
      <c r="M64" s="27">
        <v>77162400</v>
      </c>
      <c r="N64" s="27">
        <v>15759814.479999999</v>
      </c>
      <c r="O64" s="27">
        <v>231.831177</v>
      </c>
      <c r="P64" s="27">
        <v>2.6463118434258481</v>
      </c>
      <c r="Q64" s="27">
        <v>43.767686099999999</v>
      </c>
      <c r="R64" s="27">
        <v>801.36012499999993</v>
      </c>
      <c r="S64" s="27">
        <v>2.3188468499999999E-10</v>
      </c>
      <c r="T64" s="27">
        <v>21.446523466961477</v>
      </c>
      <c r="U64" s="27">
        <v>100.934</v>
      </c>
      <c r="V64" s="27">
        <v>-617.80180659087989</v>
      </c>
      <c r="W64" s="27">
        <v>69.219501699999995</v>
      </c>
      <c r="X64" s="27">
        <v>94.844480300000001</v>
      </c>
      <c r="Y64" s="27">
        <v>121.52199999999999</v>
      </c>
      <c r="Z64" s="27">
        <v>254.33855299999999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2.6463118434258481</v>
      </c>
    </row>
    <row r="65" spans="1:40" x14ac:dyDescent="0.3">
      <c r="A65" s="27">
        <v>28</v>
      </c>
      <c r="B65" s="27">
        <v>19</v>
      </c>
      <c r="C65" s="27">
        <v>14.848566225826296</v>
      </c>
      <c r="D65" s="27">
        <v>10</v>
      </c>
      <c r="E65" s="27">
        <v>6</v>
      </c>
      <c r="F65" s="27">
        <v>0.34920809445018169</v>
      </c>
      <c r="G65" s="27">
        <v>12</v>
      </c>
      <c r="H65" s="27">
        <v>10</v>
      </c>
      <c r="I65" s="27">
        <v>0.97137219231020033</v>
      </c>
      <c r="J65" s="27">
        <v>329132668.74534988</v>
      </c>
      <c r="K65" s="27">
        <v>165524000</v>
      </c>
      <c r="L65" s="27">
        <v>79931127.353911877</v>
      </c>
      <c r="M65" s="27">
        <v>77383800</v>
      </c>
      <c r="N65" s="27">
        <v>15760943.92</v>
      </c>
      <c r="O65" s="27">
        <v>231.427798</v>
      </c>
      <c r="P65" s="27">
        <v>2.6466754100938665</v>
      </c>
      <c r="Q65" s="27">
        <v>43.810861600000003</v>
      </c>
      <c r="R65" s="27">
        <v>801.24913499999991</v>
      </c>
      <c r="S65" s="27">
        <v>6.0339449600000001E-9</v>
      </c>
      <c r="T65" s="27">
        <v>21.606793477795584</v>
      </c>
      <c r="U65" s="27">
        <v>100.934</v>
      </c>
      <c r="V65" s="27">
        <v>-618.33858598378197</v>
      </c>
      <c r="W65" s="27">
        <v>69.220257599999997</v>
      </c>
      <c r="X65" s="27">
        <v>94.8502273</v>
      </c>
      <c r="Y65" s="27">
        <v>121.52199999999999</v>
      </c>
      <c r="Z65" s="27">
        <v>259.05376899999999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27">
        <v>0</v>
      </c>
      <c r="AM65" s="27">
        <v>0</v>
      </c>
      <c r="AN65" s="27">
        <v>2.6466754100938665</v>
      </c>
    </row>
    <row r="66" spans="1:40" x14ac:dyDescent="0.3">
      <c r="A66" s="27">
        <v>38</v>
      </c>
      <c r="B66" s="27">
        <v>11</v>
      </c>
      <c r="C66" s="27">
        <v>1.586313612391399</v>
      </c>
      <c r="D66" s="27">
        <v>28</v>
      </c>
      <c r="E66" s="27">
        <v>6</v>
      </c>
      <c r="F66" s="27">
        <v>0.38938947213864405</v>
      </c>
      <c r="G66" s="27">
        <v>11</v>
      </c>
      <c r="H66" s="27">
        <v>8</v>
      </c>
      <c r="I66" s="27">
        <v>0.351948961587077</v>
      </c>
      <c r="J66" s="27">
        <v>327044541.04980803</v>
      </c>
      <c r="K66" s="27">
        <v>165477000</v>
      </c>
      <c r="L66" s="27">
        <v>79956655.257164389</v>
      </c>
      <c r="M66" s="27">
        <v>77778200</v>
      </c>
      <c r="N66" s="27">
        <v>15767248.719999999</v>
      </c>
      <c r="O66" s="27">
        <v>230.18197799999999</v>
      </c>
      <c r="P66" s="27">
        <v>2.6463767552277915</v>
      </c>
      <c r="Q66" s="27">
        <v>43.868099600000001</v>
      </c>
      <c r="R66" s="27">
        <v>801.12978199999998</v>
      </c>
      <c r="S66" s="27">
        <v>3.1424539700000001E-9</v>
      </c>
      <c r="T66" s="27">
        <v>21.878779361770881</v>
      </c>
      <c r="U66" s="27">
        <v>100.934</v>
      </c>
      <c r="V66" s="27">
        <v>-559.14782180686086</v>
      </c>
      <c r="W66" s="27">
        <v>69.349232700000002</v>
      </c>
      <c r="X66" s="27">
        <v>95.340108099999995</v>
      </c>
      <c r="Y66" s="27">
        <v>177.97</v>
      </c>
      <c r="Z66" s="27">
        <v>260.40123299999999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2.6463767552277915</v>
      </c>
    </row>
    <row r="67" spans="1:40" x14ac:dyDescent="0.3">
      <c r="A67" s="27">
        <v>34</v>
      </c>
      <c r="B67" s="27">
        <v>10</v>
      </c>
      <c r="C67" s="27">
        <v>11.26316692685366</v>
      </c>
      <c r="D67" s="27">
        <v>11</v>
      </c>
      <c r="E67" s="27">
        <v>8</v>
      </c>
      <c r="F67" s="27">
        <v>0.34187733548930621</v>
      </c>
      <c r="G67" s="27">
        <v>16</v>
      </c>
      <c r="H67" s="27">
        <v>14</v>
      </c>
      <c r="I67" s="27">
        <v>1.1356567228088927</v>
      </c>
      <c r="J67" s="27">
        <v>328798120.14113444</v>
      </c>
      <c r="K67" s="27">
        <v>165516000</v>
      </c>
      <c r="L67" s="27">
        <v>79925821.648804992</v>
      </c>
      <c r="M67" s="27">
        <v>77212200</v>
      </c>
      <c r="N67" s="27">
        <v>15759877.84</v>
      </c>
      <c r="O67" s="27">
        <v>231.61031500000001</v>
      </c>
      <c r="P67" s="27">
        <v>2.6467272766648207</v>
      </c>
      <c r="Q67" s="27">
        <v>43.785058599999999</v>
      </c>
      <c r="R67" s="27">
        <v>801.48169099999996</v>
      </c>
      <c r="S67" s="27">
        <v>1.6376561800000001E-10</v>
      </c>
      <c r="T67" s="27">
        <v>21.480729307893125</v>
      </c>
      <c r="U67" s="27">
        <v>100.934</v>
      </c>
      <c r="V67" s="27">
        <v>-619.40664602780464</v>
      </c>
      <c r="W67" s="27">
        <v>69.221191200000007</v>
      </c>
      <c r="X67" s="27">
        <v>94.854730900000007</v>
      </c>
      <c r="Y67" s="27">
        <v>121.52199999999999</v>
      </c>
      <c r="Z67" s="27">
        <v>254.13243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I67" s="27">
        <v>0</v>
      </c>
      <c r="AJ67" s="27">
        <v>0</v>
      </c>
      <c r="AK67" s="27">
        <v>0</v>
      </c>
      <c r="AL67" s="27">
        <v>0</v>
      </c>
      <c r="AM67" s="27">
        <v>0</v>
      </c>
      <c r="AN67" s="27">
        <v>2.6467272766648207</v>
      </c>
    </row>
    <row r="68" spans="1:40" x14ac:dyDescent="0.3">
      <c r="A68" s="27">
        <v>29</v>
      </c>
      <c r="B68" s="27">
        <v>14</v>
      </c>
      <c r="C68" s="27">
        <v>4.0363160907342541</v>
      </c>
      <c r="D68" s="27">
        <v>29</v>
      </c>
      <c r="E68" s="27">
        <v>5</v>
      </c>
      <c r="F68" s="27">
        <v>0.30236278113815951</v>
      </c>
      <c r="G68" s="27">
        <v>19</v>
      </c>
      <c r="H68" s="27">
        <v>7</v>
      </c>
      <c r="I68" s="27">
        <v>1.0464603483422825</v>
      </c>
      <c r="J68" s="27">
        <v>327624745.11119938</v>
      </c>
      <c r="K68" s="27">
        <v>165447000</v>
      </c>
      <c r="L68" s="27">
        <v>79926522.401953071</v>
      </c>
      <c r="M68" s="27">
        <v>77230200</v>
      </c>
      <c r="N68" s="27">
        <v>15760055.76</v>
      </c>
      <c r="O68" s="27">
        <v>231.96811199999999</v>
      </c>
      <c r="P68" s="27">
        <v>2.6375553678858878</v>
      </c>
      <c r="Q68" s="27">
        <v>43.8099743</v>
      </c>
      <c r="R68" s="27">
        <v>799.99672099999998</v>
      </c>
      <c r="S68" s="27">
        <v>5.8487661999999999E-8</v>
      </c>
      <c r="T68" s="27">
        <v>21.750246945513517</v>
      </c>
      <c r="U68" s="27">
        <v>100.934</v>
      </c>
      <c r="V68" s="27">
        <v>-592.31600058738729</v>
      </c>
      <c r="W68" s="27">
        <v>69.226227499999993</v>
      </c>
      <c r="X68" s="27">
        <v>94.880654100000001</v>
      </c>
      <c r="Y68" s="27">
        <v>177.97</v>
      </c>
      <c r="Z68" s="27">
        <v>254.298182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2.6375553678858878</v>
      </c>
    </row>
    <row r="69" spans="1:40" x14ac:dyDescent="0.3">
      <c r="A69" s="27">
        <v>38</v>
      </c>
      <c r="B69" s="27">
        <v>12</v>
      </c>
      <c r="C69" s="27">
        <v>7.3892019275353196</v>
      </c>
      <c r="D69" s="27">
        <v>21</v>
      </c>
      <c r="E69" s="27">
        <v>5</v>
      </c>
      <c r="F69" s="27">
        <v>0.30163389795163165</v>
      </c>
      <c r="G69" s="27">
        <v>11</v>
      </c>
      <c r="H69" s="27">
        <v>7</v>
      </c>
      <c r="I69" s="27">
        <v>1.1737335857421982</v>
      </c>
      <c r="J69" s="27">
        <v>328233153.54167461</v>
      </c>
      <c r="K69" s="27">
        <v>165474000</v>
      </c>
      <c r="L69" s="27">
        <v>79928924.962163433</v>
      </c>
      <c r="M69" s="27">
        <v>77240900</v>
      </c>
      <c r="N69" s="27">
        <v>15760596.560000001</v>
      </c>
      <c r="O69" s="27">
        <v>231.955162</v>
      </c>
      <c r="P69" s="27">
        <v>2.6397934352332313</v>
      </c>
      <c r="Q69" s="27">
        <v>43.807763100000003</v>
      </c>
      <c r="R69" s="27">
        <v>800.10060499999997</v>
      </c>
      <c r="S69" s="27">
        <v>5.9391184600000002E-8</v>
      </c>
      <c r="T69" s="27">
        <v>21.726116143490344</v>
      </c>
      <c r="U69" s="27">
        <v>100.934</v>
      </c>
      <c r="V69" s="27">
        <v>-597.76484728713217</v>
      </c>
      <c r="W69" s="27">
        <v>69.220624000000001</v>
      </c>
      <c r="X69" s="27">
        <v>94.851260600000003</v>
      </c>
      <c r="Y69" s="27">
        <v>170.55</v>
      </c>
      <c r="Z69" s="27">
        <v>254.97039899999999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I69" s="27">
        <v>0</v>
      </c>
      <c r="AJ69" s="27">
        <v>0</v>
      </c>
      <c r="AK69" s="27">
        <v>0</v>
      </c>
      <c r="AL69" s="27">
        <v>0</v>
      </c>
      <c r="AM69" s="27">
        <v>0</v>
      </c>
      <c r="AN69" s="27">
        <v>2.6397934352332313</v>
      </c>
    </row>
    <row r="70" spans="1:40" x14ac:dyDescent="0.3">
      <c r="A70" s="27">
        <v>38</v>
      </c>
      <c r="B70" s="27">
        <v>11</v>
      </c>
      <c r="C70" s="27">
        <v>4.1343611613502755</v>
      </c>
      <c r="D70" s="27">
        <v>28</v>
      </c>
      <c r="E70" s="27">
        <v>5</v>
      </c>
      <c r="F70" s="27">
        <v>0.33312108304752081</v>
      </c>
      <c r="G70" s="27">
        <v>23</v>
      </c>
      <c r="H70" s="27">
        <v>12</v>
      </c>
      <c r="I70" s="27">
        <v>0.93493269512239596</v>
      </c>
      <c r="J70" s="27">
        <v>327981420.75664604</v>
      </c>
      <c r="K70" s="27">
        <v>165482000</v>
      </c>
      <c r="L70" s="27">
        <v>79924620.374863058</v>
      </c>
      <c r="M70" s="27">
        <v>77297200</v>
      </c>
      <c r="N70" s="27">
        <v>15759585.199999999</v>
      </c>
      <c r="O70" s="27">
        <v>231.68290200000001</v>
      </c>
      <c r="P70" s="27">
        <v>2.641237682589193</v>
      </c>
      <c r="Q70" s="27">
        <v>43.835639</v>
      </c>
      <c r="R70" s="27">
        <v>800.15702899999997</v>
      </c>
      <c r="S70" s="27">
        <v>4.3291688000000001E-8</v>
      </c>
      <c r="T70" s="27">
        <v>21.775584065079684</v>
      </c>
      <c r="U70" s="27">
        <v>100.934</v>
      </c>
      <c r="V70" s="27">
        <v>-594.41477016588715</v>
      </c>
      <c r="W70" s="27">
        <v>69.227480400000005</v>
      </c>
      <c r="X70" s="27">
        <v>94.880606900000004</v>
      </c>
      <c r="Y70" s="27">
        <v>177.97</v>
      </c>
      <c r="Z70" s="27">
        <v>254.34480099999999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27">
        <v>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2.641237682589193</v>
      </c>
    </row>
    <row r="71" spans="1:40" x14ac:dyDescent="0.3">
      <c r="A71" s="27">
        <v>39</v>
      </c>
      <c r="B71" s="27">
        <v>19</v>
      </c>
      <c r="C71" s="27">
        <v>1.7271526311124883</v>
      </c>
      <c r="D71" s="27">
        <v>12</v>
      </c>
      <c r="E71" s="27">
        <v>9</v>
      </c>
      <c r="F71" s="27">
        <v>0.31108777306775698</v>
      </c>
      <c r="G71" s="27">
        <v>14</v>
      </c>
      <c r="H71" s="27">
        <v>11</v>
      </c>
      <c r="I71" s="27">
        <v>0.50212892797277764</v>
      </c>
      <c r="J71" s="27">
        <v>326959894.93084645</v>
      </c>
      <c r="K71" s="27">
        <v>165441000</v>
      </c>
      <c r="L71" s="27">
        <v>79938735.656619474</v>
      </c>
      <c r="M71" s="27">
        <v>77321200</v>
      </c>
      <c r="N71" s="27">
        <v>15762849.76</v>
      </c>
      <c r="O71" s="27">
        <v>231.628355</v>
      </c>
      <c r="P71" s="27">
        <v>2.6376270340220684</v>
      </c>
      <c r="Q71" s="27">
        <v>43.748956300000003</v>
      </c>
      <c r="R71" s="27">
        <v>801.42595100000005</v>
      </c>
      <c r="S71" s="27">
        <v>4.3616027400000001E-11</v>
      </c>
      <c r="T71" s="27">
        <v>21.448378821417986</v>
      </c>
      <c r="U71" s="27">
        <v>100.934</v>
      </c>
      <c r="V71" s="27">
        <v>-600.81606763105538</v>
      </c>
      <c r="W71" s="27">
        <v>69.263361399999994</v>
      </c>
      <c r="X71" s="27">
        <v>95.016980500000003</v>
      </c>
      <c r="Y71" s="27">
        <v>121.52199999999999</v>
      </c>
      <c r="Z71" s="27">
        <v>258.58537200000001</v>
      </c>
      <c r="AA71" s="27">
        <v>0</v>
      </c>
      <c r="AB71" s="27">
        <v>0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2.6376270340220684</v>
      </c>
    </row>
    <row r="72" spans="1:40" x14ac:dyDescent="0.3">
      <c r="A72" s="27">
        <v>38</v>
      </c>
      <c r="B72" s="27">
        <v>19</v>
      </c>
      <c r="C72" s="27">
        <v>3.2721249161514709</v>
      </c>
      <c r="D72" s="27">
        <v>29</v>
      </c>
      <c r="E72" s="27">
        <v>5</v>
      </c>
      <c r="F72" s="27">
        <v>0.34408610300515702</v>
      </c>
      <c r="G72" s="27">
        <v>28</v>
      </c>
      <c r="H72" s="27">
        <v>8</v>
      </c>
      <c r="I72" s="27">
        <v>1.1092835898803326</v>
      </c>
      <c r="J72" s="27">
        <v>328025120.58407289</v>
      </c>
      <c r="K72" s="27">
        <v>165484000</v>
      </c>
      <c r="L72" s="27">
        <v>79925621.434940532</v>
      </c>
      <c r="M72" s="27">
        <v>77301400</v>
      </c>
      <c r="N72" s="27">
        <v>15759830.720000001</v>
      </c>
      <c r="O72" s="27">
        <v>231.64670000000001</v>
      </c>
      <c r="P72" s="27">
        <v>2.6417365992109558</v>
      </c>
      <c r="Q72" s="27">
        <v>43.846378100000003</v>
      </c>
      <c r="R72" s="27">
        <v>800.1631890000001</v>
      </c>
      <c r="S72" s="27">
        <v>3.92677784E-8</v>
      </c>
      <c r="T72" s="27">
        <v>21.783531620663592</v>
      </c>
      <c r="U72" s="27">
        <v>100.934</v>
      </c>
      <c r="V72" s="27">
        <v>-597.50608893111951</v>
      </c>
      <c r="W72" s="27">
        <v>69.220250300000004</v>
      </c>
      <c r="X72" s="27">
        <v>94.852112099999999</v>
      </c>
      <c r="Y72" s="27">
        <v>177.97</v>
      </c>
      <c r="Z72" s="27">
        <v>254.25301999999999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2.6417365992109558</v>
      </c>
    </row>
    <row r="73" spans="1:40" x14ac:dyDescent="0.3">
      <c r="A73" s="27">
        <v>39</v>
      </c>
      <c r="B73" s="27">
        <v>17</v>
      </c>
      <c r="C73" s="27">
        <v>8.8664542347909752</v>
      </c>
      <c r="D73" s="27">
        <v>15</v>
      </c>
      <c r="E73" s="27">
        <v>10</v>
      </c>
      <c r="F73" s="27">
        <v>0.36131403981575239</v>
      </c>
      <c r="G73" s="27">
        <v>29</v>
      </c>
      <c r="H73" s="27">
        <v>13</v>
      </c>
      <c r="I73" s="27">
        <v>0.53849315972153577</v>
      </c>
      <c r="J73" s="27">
        <v>328775076.73647457</v>
      </c>
      <c r="K73" s="27">
        <v>165528000</v>
      </c>
      <c r="L73" s="27">
        <v>79925421.251070499</v>
      </c>
      <c r="M73" s="27">
        <v>77375400</v>
      </c>
      <c r="N73" s="27">
        <v>15759793.199999999</v>
      </c>
      <c r="O73" s="27">
        <v>231.113913</v>
      </c>
      <c r="P73" s="27">
        <v>2.6494564471974038</v>
      </c>
      <c r="Q73" s="27">
        <v>43.851157899999997</v>
      </c>
      <c r="R73" s="27">
        <v>801.02072999999996</v>
      </c>
      <c r="S73" s="27">
        <v>1.7558537400000001E-12</v>
      </c>
      <c r="T73" s="27">
        <v>21.64830131548554</v>
      </c>
      <c r="U73" s="27">
        <v>100.934</v>
      </c>
      <c r="V73" s="27">
        <v>-620.26115589634219</v>
      </c>
      <c r="W73" s="27">
        <v>69.218794099999997</v>
      </c>
      <c r="X73" s="27">
        <v>94.833443399999993</v>
      </c>
      <c r="Y73" s="27">
        <v>144.29</v>
      </c>
      <c r="Z73" s="27">
        <v>253.96317099999999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2.6494564471974038</v>
      </c>
    </row>
    <row r="74" spans="1:40" x14ac:dyDescent="0.3">
      <c r="A74" s="27">
        <v>28</v>
      </c>
      <c r="B74" s="27">
        <v>10</v>
      </c>
      <c r="C74" s="27">
        <v>1.1292846034026192</v>
      </c>
      <c r="D74" s="27">
        <v>28</v>
      </c>
      <c r="E74" s="27">
        <v>6</v>
      </c>
      <c r="F74" s="27">
        <v>0.3089636211367181</v>
      </c>
      <c r="G74" s="27">
        <v>14</v>
      </c>
      <c r="H74" s="27">
        <v>10</v>
      </c>
      <c r="I74" s="27">
        <v>1.275004322434194</v>
      </c>
      <c r="J74" s="27">
        <v>326722399.12107271</v>
      </c>
      <c r="K74" s="27">
        <v>165427000</v>
      </c>
      <c r="L74" s="27">
        <v>79925721.507872224</v>
      </c>
      <c r="M74" s="27">
        <v>77843700</v>
      </c>
      <c r="N74" s="27">
        <v>15759793.199999999</v>
      </c>
      <c r="O74" s="27">
        <v>229.71891299999999</v>
      </c>
      <c r="P74" s="27">
        <v>2.6485398353465439</v>
      </c>
      <c r="Q74" s="27">
        <v>43.767702300000003</v>
      </c>
      <c r="R74" s="27">
        <v>801.41476499999999</v>
      </c>
      <c r="S74" s="27">
        <v>7.2077269999999998E-9</v>
      </c>
      <c r="T74" s="27">
        <v>21.704835682070676</v>
      </c>
      <c r="U74" s="27">
        <v>91.850000000000009</v>
      </c>
      <c r="V74" s="27">
        <v>-489.26047483025422</v>
      </c>
      <c r="W74" s="27">
        <v>69.530690300000003</v>
      </c>
      <c r="X74" s="27">
        <v>96.435762999999994</v>
      </c>
      <c r="Y74" s="27">
        <v>177.97</v>
      </c>
      <c r="Z74" s="27">
        <v>254.962536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2.6485398353465439</v>
      </c>
    </row>
    <row r="75" spans="1:40" x14ac:dyDescent="0.3">
      <c r="A75" s="27">
        <v>38</v>
      </c>
      <c r="B75" s="27">
        <v>11</v>
      </c>
      <c r="C75" s="27">
        <v>14.407151304478901</v>
      </c>
      <c r="D75" s="27">
        <v>29</v>
      </c>
      <c r="E75" s="27">
        <v>11</v>
      </c>
      <c r="F75" s="27">
        <v>0.51545164422852807</v>
      </c>
      <c r="G75" s="27">
        <v>28</v>
      </c>
      <c r="H75" s="27">
        <v>14</v>
      </c>
      <c r="I75" s="27">
        <v>1.0952415828785564</v>
      </c>
      <c r="J75" s="27">
        <v>330355274.98878062</v>
      </c>
      <c r="K75" s="27">
        <v>165591000</v>
      </c>
      <c r="L75" s="27">
        <v>79924420.088477775</v>
      </c>
      <c r="M75" s="27">
        <v>77771000</v>
      </c>
      <c r="N75" s="27">
        <v>15759519.6</v>
      </c>
      <c r="O75" s="27">
        <v>229.266784</v>
      </c>
      <c r="P75" s="27">
        <v>2.6690772738803767</v>
      </c>
      <c r="Q75" s="27">
        <v>44.035326599999998</v>
      </c>
      <c r="R75" s="27">
        <v>802.25079099999994</v>
      </c>
      <c r="S75" s="27">
        <v>1.06896156E-14</v>
      </c>
      <c r="T75" s="27">
        <v>22.059248192132326</v>
      </c>
      <c r="U75" s="27">
        <v>100.934</v>
      </c>
      <c r="V75" s="27">
        <v>-628.32237173720387</v>
      </c>
      <c r="W75" s="27">
        <v>69.219673499999999</v>
      </c>
      <c r="X75" s="27">
        <v>94.844126500000002</v>
      </c>
      <c r="Y75" s="27">
        <v>177.97</v>
      </c>
      <c r="Z75" s="27">
        <v>253.655259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2.6690772738803767</v>
      </c>
    </row>
    <row r="76" spans="1:40" x14ac:dyDescent="0.3">
      <c r="A76" s="27">
        <v>30</v>
      </c>
      <c r="B76" s="27">
        <v>18</v>
      </c>
      <c r="C76" s="27">
        <v>14.39002228564045</v>
      </c>
      <c r="D76" s="27">
        <v>27</v>
      </c>
      <c r="E76" s="27">
        <v>5</v>
      </c>
      <c r="F76" s="27">
        <v>0.35961915289319096</v>
      </c>
      <c r="G76" s="27">
        <v>28</v>
      </c>
      <c r="H76" s="27">
        <v>13</v>
      </c>
      <c r="I76" s="27">
        <v>0.57048316364270968</v>
      </c>
      <c r="J76" s="27">
        <v>329746906.27434957</v>
      </c>
      <c r="K76" s="27">
        <v>165550000</v>
      </c>
      <c r="L76" s="27">
        <v>79925321.009471446</v>
      </c>
      <c r="M76" s="27">
        <v>77329500</v>
      </c>
      <c r="N76" s="27">
        <v>15759736.4</v>
      </c>
      <c r="O76" s="27">
        <v>231.50923499999999</v>
      </c>
      <c r="P76" s="27">
        <v>2.6490766643624246</v>
      </c>
      <c r="Q76" s="27">
        <v>43.858181600000002</v>
      </c>
      <c r="R76" s="27">
        <v>800.26691000000005</v>
      </c>
      <c r="S76" s="27">
        <v>3.4415598200000003E-8</v>
      </c>
      <c r="T76" s="27">
        <v>21.792915925870091</v>
      </c>
      <c r="U76" s="27">
        <v>100.934</v>
      </c>
      <c r="V76" s="27">
        <v>-599.86270201661046</v>
      </c>
      <c r="W76" s="27">
        <v>69.219382999999993</v>
      </c>
      <c r="X76" s="27">
        <v>94.842675900000003</v>
      </c>
      <c r="Y76" s="27">
        <v>177.97</v>
      </c>
      <c r="Z76" s="27">
        <v>254.22467499999999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2.6490766643624246</v>
      </c>
    </row>
    <row r="77" spans="1:40" x14ac:dyDescent="0.3">
      <c r="A77" s="27">
        <v>38</v>
      </c>
      <c r="B77" s="27">
        <v>19</v>
      </c>
      <c r="C77" s="27">
        <v>4.5740249668826829</v>
      </c>
      <c r="D77" s="27">
        <v>10</v>
      </c>
      <c r="E77" s="27">
        <v>6</v>
      </c>
      <c r="F77" s="27">
        <v>0.32508694728509402</v>
      </c>
      <c r="G77" s="27">
        <v>22</v>
      </c>
      <c r="H77" s="27">
        <v>7</v>
      </c>
      <c r="I77" s="27">
        <v>0.7188813374158538</v>
      </c>
      <c r="J77" s="27">
        <v>327559656.44361389</v>
      </c>
      <c r="K77" s="27">
        <v>165449000</v>
      </c>
      <c r="L77" s="27">
        <v>79927723.727460787</v>
      </c>
      <c r="M77" s="27">
        <v>77221700</v>
      </c>
      <c r="N77" s="27">
        <v>15760365.199999999</v>
      </c>
      <c r="O77" s="27">
        <v>231.65491499999999</v>
      </c>
      <c r="P77" s="27">
        <v>2.6411306826138903</v>
      </c>
      <c r="Q77" s="27">
        <v>43.791989100000002</v>
      </c>
      <c r="R77" s="27">
        <v>801.12044500000002</v>
      </c>
      <c r="S77" s="27">
        <v>7.9454685099999996E-9</v>
      </c>
      <c r="T77" s="27">
        <v>21.576367745710577</v>
      </c>
      <c r="U77" s="27">
        <v>100.934</v>
      </c>
      <c r="V77" s="27">
        <v>-616.02562600327633</v>
      </c>
      <c r="W77" s="27">
        <v>69.2192553</v>
      </c>
      <c r="X77" s="27">
        <v>94.841500300000007</v>
      </c>
      <c r="Y77" s="27">
        <v>121.52199999999999</v>
      </c>
      <c r="Z77" s="27">
        <v>254.11537200000001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0</v>
      </c>
      <c r="AI77" s="27">
        <v>0</v>
      </c>
      <c r="AJ77" s="27">
        <v>0</v>
      </c>
      <c r="AK77" s="27">
        <v>0</v>
      </c>
      <c r="AL77" s="27">
        <v>0</v>
      </c>
      <c r="AM77" s="27">
        <v>0</v>
      </c>
      <c r="AN77" s="27">
        <v>2.6411306826138903</v>
      </c>
    </row>
    <row r="78" spans="1:40" x14ac:dyDescent="0.3">
      <c r="A78" s="27">
        <v>38</v>
      </c>
      <c r="B78" s="27">
        <v>16</v>
      </c>
      <c r="C78" s="27">
        <v>9.8212622173650352</v>
      </c>
      <c r="D78" s="27">
        <v>29</v>
      </c>
      <c r="E78" s="27">
        <v>5</v>
      </c>
      <c r="F78" s="27">
        <v>0.31424350700915993</v>
      </c>
      <c r="G78" s="27">
        <v>27</v>
      </c>
      <c r="H78" s="27">
        <v>8</v>
      </c>
      <c r="I78" s="27">
        <v>0.35322707478959664</v>
      </c>
      <c r="J78" s="27">
        <v>329253432.79028696</v>
      </c>
      <c r="K78" s="27">
        <v>165558000</v>
      </c>
      <c r="L78" s="27">
        <v>79937033.812372282</v>
      </c>
      <c r="M78" s="27">
        <v>77217700</v>
      </c>
      <c r="N78" s="27">
        <v>15762714.640000001</v>
      </c>
      <c r="O78" s="27">
        <v>231.912362</v>
      </c>
      <c r="P78" s="27">
        <v>2.645307683184972</v>
      </c>
      <c r="Q78" s="27">
        <v>43.822049100000001</v>
      </c>
      <c r="R78" s="27">
        <v>800.01815099999999</v>
      </c>
      <c r="S78" s="27">
        <v>5.1978631000000003E-8</v>
      </c>
      <c r="T78" s="27">
        <v>21.755926008007179</v>
      </c>
      <c r="U78" s="27">
        <v>100.934</v>
      </c>
      <c r="V78" s="27">
        <v>-595.67359346563228</v>
      </c>
      <c r="W78" s="27">
        <v>69.218852699999999</v>
      </c>
      <c r="X78" s="27">
        <v>94.834812200000002</v>
      </c>
      <c r="Y78" s="27">
        <v>177.97</v>
      </c>
      <c r="Z78" s="27">
        <v>253.59046499999999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2.645307683184972</v>
      </c>
    </row>
    <row r="79" spans="1:40" x14ac:dyDescent="0.3">
      <c r="A79" s="27">
        <v>34</v>
      </c>
      <c r="B79" s="27">
        <v>10</v>
      </c>
      <c r="C79" s="27">
        <v>8.4175061400028035</v>
      </c>
      <c r="D79" s="27">
        <v>28</v>
      </c>
      <c r="E79" s="27">
        <v>5</v>
      </c>
      <c r="F79" s="27">
        <v>0.32386944698170683</v>
      </c>
      <c r="G79" s="27">
        <v>15</v>
      </c>
      <c r="H79" s="27">
        <v>9</v>
      </c>
      <c r="I79" s="27">
        <v>0.52462034676052505</v>
      </c>
      <c r="J79" s="27">
        <v>328464921.26334268</v>
      </c>
      <c r="K79" s="27">
        <v>165493000</v>
      </c>
      <c r="L79" s="27">
        <v>79929625.729281515</v>
      </c>
      <c r="M79" s="27">
        <v>77279700</v>
      </c>
      <c r="N79" s="27">
        <v>15760778.959999999</v>
      </c>
      <c r="O79" s="27">
        <v>231.79743500000001</v>
      </c>
      <c r="P79" s="27">
        <v>2.6418913853703847</v>
      </c>
      <c r="Q79" s="27">
        <v>43.829083400000002</v>
      </c>
      <c r="R79" s="27">
        <v>800.09093700000005</v>
      </c>
      <c r="S79" s="27">
        <v>4.7300067600000002E-8</v>
      </c>
      <c r="T79" s="27">
        <v>21.764271987599258</v>
      </c>
      <c r="U79" s="27">
        <v>100.934</v>
      </c>
      <c r="V79" s="27">
        <v>-595.46625599395657</v>
      </c>
      <c r="W79" s="27">
        <v>69.222525399999995</v>
      </c>
      <c r="X79" s="27">
        <v>94.862134800000007</v>
      </c>
      <c r="Y79" s="27">
        <v>177.97</v>
      </c>
      <c r="Z79" s="27">
        <v>254.76111499999999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2.6418913853703847</v>
      </c>
    </row>
    <row r="80" spans="1:40" x14ac:dyDescent="0.3">
      <c r="A80" s="27">
        <v>32</v>
      </c>
      <c r="B80" s="27">
        <v>17</v>
      </c>
      <c r="C80" s="27">
        <v>5.5480076535016476</v>
      </c>
      <c r="D80" s="27">
        <v>13</v>
      </c>
      <c r="E80" s="27">
        <v>10</v>
      </c>
      <c r="F80" s="27">
        <v>0.31720368255244763</v>
      </c>
      <c r="G80" s="27">
        <v>19</v>
      </c>
      <c r="H80" s="27">
        <v>10</v>
      </c>
      <c r="I80" s="27">
        <v>1.3778470355968719</v>
      </c>
      <c r="J80" s="27">
        <v>327649507.75811619</v>
      </c>
      <c r="K80" s="27">
        <v>165449000</v>
      </c>
      <c r="L80" s="27">
        <v>79924820.535312772</v>
      </c>
      <c r="M80" s="27">
        <v>77161800</v>
      </c>
      <c r="N80" s="27">
        <v>15759622.08</v>
      </c>
      <c r="O80" s="27">
        <v>231.869877</v>
      </c>
      <c r="P80" s="27">
        <v>2.6400855804662018</v>
      </c>
      <c r="Q80" s="27">
        <v>43.766098599999999</v>
      </c>
      <c r="R80" s="27">
        <v>801.252116</v>
      </c>
      <c r="S80" s="27">
        <v>6.42101579E-12</v>
      </c>
      <c r="T80" s="27">
        <v>21.421540420305639</v>
      </c>
      <c r="U80" s="27">
        <v>100.934</v>
      </c>
      <c r="V80" s="27">
        <v>-617.37156599357559</v>
      </c>
      <c r="W80" s="27">
        <v>69.220117400000007</v>
      </c>
      <c r="X80" s="27">
        <v>94.850512899999998</v>
      </c>
      <c r="Y80" s="27">
        <v>121.52199999999999</v>
      </c>
      <c r="Z80" s="27">
        <v>254.24402499999999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2.6400855804662018</v>
      </c>
    </row>
    <row r="81" spans="1:40" x14ac:dyDescent="0.3">
      <c r="A81" s="27">
        <v>27</v>
      </c>
      <c r="B81" s="27">
        <v>15</v>
      </c>
      <c r="C81" s="27">
        <v>1.7672512984818252</v>
      </c>
      <c r="D81" s="27">
        <v>14</v>
      </c>
      <c r="E81" s="27">
        <v>5</v>
      </c>
      <c r="F81" s="27">
        <v>0.35940808911734218</v>
      </c>
      <c r="G81" s="27">
        <v>18</v>
      </c>
      <c r="H81" s="27">
        <v>8</v>
      </c>
      <c r="I81" s="27">
        <v>0.96691070800006074</v>
      </c>
      <c r="J81" s="27">
        <v>326647338.58142793</v>
      </c>
      <c r="K81" s="27">
        <v>165410000</v>
      </c>
      <c r="L81" s="27">
        <v>79926021.84869945</v>
      </c>
      <c r="M81" s="27">
        <v>77536300</v>
      </c>
      <c r="N81" s="27">
        <v>15759926.4</v>
      </c>
      <c r="O81" s="27">
        <v>230.61743100000001</v>
      </c>
      <c r="P81" s="27">
        <v>2.6435584623797723</v>
      </c>
      <c r="Q81" s="27">
        <v>43.822341000000002</v>
      </c>
      <c r="R81" s="27">
        <v>801.13932299999999</v>
      </c>
      <c r="S81" s="27">
        <v>3.3963901300000002E-8</v>
      </c>
      <c r="T81" s="27">
        <v>21.814561760961585</v>
      </c>
      <c r="U81" s="27">
        <v>91.850000000000009</v>
      </c>
      <c r="V81" s="27">
        <v>-574.30822455195926</v>
      </c>
      <c r="W81" s="27">
        <v>69.327573900000004</v>
      </c>
      <c r="X81" s="27">
        <v>95.259435300000007</v>
      </c>
      <c r="Y81" s="27">
        <v>144.29</v>
      </c>
      <c r="Z81" s="27">
        <v>254.14595199999999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2.6435584623797723</v>
      </c>
    </row>
    <row r="82" spans="1:40" x14ac:dyDescent="0.3">
      <c r="A82" s="27">
        <v>27</v>
      </c>
      <c r="B82" s="27">
        <v>17</v>
      </c>
      <c r="C82" s="27">
        <v>11.058269832248101</v>
      </c>
      <c r="D82" s="27">
        <v>16</v>
      </c>
      <c r="E82" s="27">
        <v>14</v>
      </c>
      <c r="F82" s="27">
        <v>0.4133614633367052</v>
      </c>
      <c r="G82" s="27">
        <v>29</v>
      </c>
      <c r="H82" s="27">
        <v>12</v>
      </c>
      <c r="I82" s="27">
        <v>0.44055930108435731</v>
      </c>
      <c r="J82" s="27">
        <v>328832385.01761591</v>
      </c>
      <c r="K82" s="27">
        <v>165516000</v>
      </c>
      <c r="L82" s="27">
        <v>79927323.268299326</v>
      </c>
      <c r="M82" s="27">
        <v>77218400</v>
      </c>
      <c r="N82" s="27">
        <v>15760262.960000001</v>
      </c>
      <c r="O82" s="27">
        <v>231.35375099999999</v>
      </c>
      <c r="P82" s="27">
        <v>2.6496446571235794</v>
      </c>
      <c r="Q82" s="27">
        <v>43.7936409</v>
      </c>
      <c r="R82" s="27">
        <v>802.22271999999998</v>
      </c>
      <c r="S82" s="27">
        <v>1.59515914E-13</v>
      </c>
      <c r="T82" s="27">
        <v>21.408607244307888</v>
      </c>
      <c r="U82" s="27">
        <v>100.934</v>
      </c>
      <c r="V82" s="27">
        <v>-627.36389745625036</v>
      </c>
      <c r="W82" s="27">
        <v>69.2212818</v>
      </c>
      <c r="X82" s="27">
        <v>94.857836500000005</v>
      </c>
      <c r="Y82" s="27">
        <v>121.52199999999999</v>
      </c>
      <c r="Z82" s="27">
        <v>253.972926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2.6496446571235794</v>
      </c>
    </row>
    <row r="83" spans="1:40" x14ac:dyDescent="0.3">
      <c r="A83" s="27">
        <v>29</v>
      </c>
      <c r="B83" s="27">
        <v>19</v>
      </c>
      <c r="C83" s="27">
        <v>4.906242702224727</v>
      </c>
      <c r="D83" s="27">
        <v>10</v>
      </c>
      <c r="E83" s="27">
        <v>8</v>
      </c>
      <c r="F83" s="27">
        <v>0.35581120999448462</v>
      </c>
      <c r="G83" s="27">
        <v>12</v>
      </c>
      <c r="H83" s="27">
        <v>10</v>
      </c>
      <c r="I83" s="27">
        <v>0.32370742216073117</v>
      </c>
      <c r="J83" s="27">
        <v>327107194.6826846</v>
      </c>
      <c r="K83" s="27">
        <v>165481000</v>
      </c>
      <c r="L83" s="27">
        <v>79973273.283822969</v>
      </c>
      <c r="M83" s="27">
        <v>77311800</v>
      </c>
      <c r="N83" s="27">
        <v>15771152.560000001</v>
      </c>
      <c r="O83" s="27">
        <v>231.90218899999999</v>
      </c>
      <c r="P83" s="27">
        <v>2.6358840218240105</v>
      </c>
      <c r="Q83" s="27">
        <v>43.7432911</v>
      </c>
      <c r="R83" s="27">
        <v>802.05573500000003</v>
      </c>
      <c r="S83" s="27">
        <v>1.8242088200000001E-10</v>
      </c>
      <c r="T83" s="27">
        <v>21.33916562502667</v>
      </c>
      <c r="U83" s="27">
        <v>100.934</v>
      </c>
      <c r="V83" s="27">
        <v>-620.96999262569364</v>
      </c>
      <c r="W83" s="27">
        <v>69.223132000000007</v>
      </c>
      <c r="X83" s="27">
        <v>94.867479200000005</v>
      </c>
      <c r="Y83" s="27">
        <v>121.52199999999999</v>
      </c>
      <c r="Z83" s="27">
        <v>274.63305500000001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2.6358840218240105</v>
      </c>
    </row>
    <row r="84" spans="1:40" x14ac:dyDescent="0.3">
      <c r="A84" s="27">
        <v>27</v>
      </c>
      <c r="B84" s="27">
        <v>10</v>
      </c>
      <c r="C84" s="27">
        <v>6.6667200960524298</v>
      </c>
      <c r="D84" s="27">
        <v>15</v>
      </c>
      <c r="E84" s="27">
        <v>13</v>
      </c>
      <c r="F84" s="27">
        <v>0.32555776962834293</v>
      </c>
      <c r="G84" s="27">
        <v>24</v>
      </c>
      <c r="H84" s="27">
        <v>12</v>
      </c>
      <c r="I84" s="27">
        <v>0.80856082382435357</v>
      </c>
      <c r="J84" s="27">
        <v>327830514.60263962</v>
      </c>
      <c r="K84" s="27">
        <v>165449000</v>
      </c>
      <c r="L84" s="27">
        <v>79924820.498744205</v>
      </c>
      <c r="M84" s="27">
        <v>77332800</v>
      </c>
      <c r="N84" s="27">
        <v>15759614.560000001</v>
      </c>
      <c r="O84" s="27">
        <v>231.43187399999999</v>
      </c>
      <c r="P84" s="27">
        <v>2.6423514333759917</v>
      </c>
      <c r="Q84" s="27">
        <v>43.828807500000003</v>
      </c>
      <c r="R84" s="27">
        <v>800.55021399999998</v>
      </c>
      <c r="S84" s="27">
        <v>1.56115594E-10</v>
      </c>
      <c r="T84" s="27">
        <v>21.650967892136713</v>
      </c>
      <c r="U84" s="27">
        <v>100.934</v>
      </c>
      <c r="V84" s="27">
        <v>-609.34198730077696</v>
      </c>
      <c r="W84" s="27">
        <v>69.227569500000001</v>
      </c>
      <c r="X84" s="27">
        <v>94.884250499999993</v>
      </c>
      <c r="Y84" s="27">
        <v>144.29</v>
      </c>
      <c r="Z84" s="27">
        <v>254.275024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2.6423514333759917</v>
      </c>
    </row>
    <row r="85" spans="1:40" x14ac:dyDescent="0.3">
      <c r="A85" s="27">
        <v>28</v>
      </c>
      <c r="B85" s="27">
        <v>14</v>
      </c>
      <c r="C85" s="27">
        <v>14.685216085471179</v>
      </c>
      <c r="D85" s="27">
        <v>14</v>
      </c>
      <c r="E85" s="27">
        <v>12</v>
      </c>
      <c r="F85" s="27">
        <v>0.35716776444141735</v>
      </c>
      <c r="G85" s="27">
        <v>16</v>
      </c>
      <c r="H85" s="27">
        <v>7</v>
      </c>
      <c r="I85" s="27">
        <v>1.2746945225512964</v>
      </c>
      <c r="J85" s="27">
        <v>329402451.19129807</v>
      </c>
      <c r="K85" s="27">
        <v>165538000</v>
      </c>
      <c r="L85" s="27">
        <v>79926222.031131387</v>
      </c>
      <c r="M85" s="27">
        <v>77100800</v>
      </c>
      <c r="N85" s="27">
        <v>15759968.4</v>
      </c>
      <c r="O85" s="27">
        <v>231.908075</v>
      </c>
      <c r="P85" s="27">
        <v>2.6476372784073456</v>
      </c>
      <c r="Q85" s="27">
        <v>43.748560599999998</v>
      </c>
      <c r="R85" s="27">
        <v>801.89220899999998</v>
      </c>
      <c r="S85" s="27">
        <v>1.02835867E-13</v>
      </c>
      <c r="T85" s="27">
        <v>21.309199158655581</v>
      </c>
      <c r="U85" s="27">
        <v>100.934</v>
      </c>
      <c r="V85" s="27">
        <v>-621.94479457499392</v>
      </c>
      <c r="W85" s="27">
        <v>69.2202482</v>
      </c>
      <c r="X85" s="27">
        <v>94.851269599999995</v>
      </c>
      <c r="Y85" s="27">
        <v>121.52199999999999</v>
      </c>
      <c r="Z85" s="27">
        <v>254.221022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2.6476372784073456</v>
      </c>
    </row>
    <row r="86" spans="1:40" x14ac:dyDescent="0.3">
      <c r="A86" s="27">
        <v>39</v>
      </c>
      <c r="B86" s="27">
        <v>19</v>
      </c>
      <c r="C86" s="27">
        <v>10.61379327198417</v>
      </c>
      <c r="D86" s="27">
        <v>13</v>
      </c>
      <c r="E86" s="27">
        <v>10</v>
      </c>
      <c r="F86" s="27">
        <v>0.31150540443581787</v>
      </c>
      <c r="G86" s="27">
        <v>14</v>
      </c>
      <c r="H86" s="27">
        <v>12</v>
      </c>
      <c r="I86" s="27">
        <v>0.84389870586939075</v>
      </c>
      <c r="J86" s="27">
        <v>328748944.17429531</v>
      </c>
      <c r="K86" s="27">
        <v>165520000</v>
      </c>
      <c r="L86" s="27">
        <v>79931027.268242836</v>
      </c>
      <c r="M86" s="27">
        <v>77268300</v>
      </c>
      <c r="N86" s="27">
        <v>15760890.799999999</v>
      </c>
      <c r="O86" s="27">
        <v>231.936004</v>
      </c>
      <c r="P86" s="27">
        <v>2.641875160378051</v>
      </c>
      <c r="Q86" s="27">
        <v>43.761536399999997</v>
      </c>
      <c r="R86" s="27">
        <v>801.22003799999993</v>
      </c>
      <c r="S86" s="27">
        <v>7.3170029600000002E-12</v>
      </c>
      <c r="T86" s="27">
        <v>21.411852593969513</v>
      </c>
      <c r="U86" s="27">
        <v>100.934</v>
      </c>
      <c r="V86" s="27">
        <v>-617.14605474169366</v>
      </c>
      <c r="W86" s="27">
        <v>69.218648700000003</v>
      </c>
      <c r="X86" s="27">
        <v>94.828325800000002</v>
      </c>
      <c r="Y86" s="27">
        <v>121.52199999999999</v>
      </c>
      <c r="Z86" s="27">
        <v>259.949746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2.641875160378051</v>
      </c>
    </row>
    <row r="87" spans="1:40" x14ac:dyDescent="0.3">
      <c r="A87" s="27">
        <v>28</v>
      </c>
      <c r="B87" s="27">
        <v>12</v>
      </c>
      <c r="C87" s="27">
        <v>5.4453814085985108</v>
      </c>
      <c r="D87" s="27">
        <v>16</v>
      </c>
      <c r="E87" s="27">
        <v>6</v>
      </c>
      <c r="F87" s="27">
        <v>0.30853939029532335</v>
      </c>
      <c r="G87" s="27">
        <v>26</v>
      </c>
      <c r="H87" s="27">
        <v>14</v>
      </c>
      <c r="I87" s="27">
        <v>0.57708784439192429</v>
      </c>
      <c r="J87" s="27">
        <v>327719664.18800306</v>
      </c>
      <c r="K87" s="27">
        <v>165447000</v>
      </c>
      <c r="L87" s="27">
        <v>79925020.715484843</v>
      </c>
      <c r="M87" s="27">
        <v>77278100</v>
      </c>
      <c r="N87" s="27">
        <v>15759666.560000001</v>
      </c>
      <c r="O87" s="27">
        <v>231.70415199999999</v>
      </c>
      <c r="P87" s="27">
        <v>2.6399256253753487</v>
      </c>
      <c r="Q87" s="27">
        <v>43.815340599999999</v>
      </c>
      <c r="R87" s="27">
        <v>800.31327999999996</v>
      </c>
      <c r="S87" s="27">
        <v>8.55350119E-9</v>
      </c>
      <c r="T87" s="27">
        <v>21.683252217132477</v>
      </c>
      <c r="U87" s="27">
        <v>100.934</v>
      </c>
      <c r="V87" s="27">
        <v>-603.33700364058325</v>
      </c>
      <c r="W87" s="27">
        <v>69.2255392</v>
      </c>
      <c r="X87" s="27">
        <v>94.876952700000004</v>
      </c>
      <c r="Y87" s="27">
        <v>165.7</v>
      </c>
      <c r="Z87" s="27">
        <v>254.329521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2.6399256253753487</v>
      </c>
    </row>
    <row r="88" spans="1:40" x14ac:dyDescent="0.3">
      <c r="A88" s="27">
        <v>28</v>
      </c>
      <c r="B88" s="27">
        <v>11</v>
      </c>
      <c r="C88" s="27">
        <v>11.857882876604181</v>
      </c>
      <c r="D88" s="27">
        <v>14</v>
      </c>
      <c r="E88" s="27">
        <v>12</v>
      </c>
      <c r="F88" s="27">
        <v>0.3303887888858229</v>
      </c>
      <c r="G88" s="27">
        <v>29</v>
      </c>
      <c r="H88" s="27">
        <v>14</v>
      </c>
      <c r="I88" s="27">
        <v>0.93048408392791226</v>
      </c>
      <c r="J88" s="27">
        <v>329021280.86526918</v>
      </c>
      <c r="K88" s="27">
        <v>165531000</v>
      </c>
      <c r="L88" s="27">
        <v>79924420.106762066</v>
      </c>
      <c r="M88" s="27">
        <v>77048400</v>
      </c>
      <c r="N88" s="27">
        <v>15759523.199999999</v>
      </c>
      <c r="O88" s="27">
        <v>232.147132</v>
      </c>
      <c r="P88" s="27">
        <v>2.6446594919307245</v>
      </c>
      <c r="Q88" s="27">
        <v>43.726670400000003</v>
      </c>
      <c r="R88" s="27">
        <v>801.79784899999993</v>
      </c>
      <c r="S88" s="27">
        <v>1.9348164299999999E-13</v>
      </c>
      <c r="T88" s="27">
        <v>21.268651514187294</v>
      </c>
      <c r="U88" s="27">
        <v>100.934</v>
      </c>
      <c r="V88" s="27">
        <v>-618.88343145350461</v>
      </c>
      <c r="W88" s="27">
        <v>69.221624300000002</v>
      </c>
      <c r="X88" s="27">
        <v>94.859159700000006</v>
      </c>
      <c r="Y88" s="27">
        <v>121.52199999999999</v>
      </c>
      <c r="Z88" s="27">
        <v>254.35833400000001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2.6446594919307245</v>
      </c>
    </row>
    <row r="89" spans="1:40" x14ac:dyDescent="0.3">
      <c r="A89" s="27">
        <v>28</v>
      </c>
      <c r="B89" s="27">
        <v>19</v>
      </c>
      <c r="C89" s="27">
        <v>10.038840113332189</v>
      </c>
      <c r="D89" s="27">
        <v>13</v>
      </c>
      <c r="E89" s="27">
        <v>10</v>
      </c>
      <c r="F89" s="27">
        <v>0.33795278000069906</v>
      </c>
      <c r="G89" s="27">
        <v>10</v>
      </c>
      <c r="H89" s="27">
        <v>7</v>
      </c>
      <c r="I89" s="27">
        <v>0.50369593755187103</v>
      </c>
      <c r="J89" s="27">
        <v>328221983.00725263</v>
      </c>
      <c r="K89" s="27">
        <v>165493000</v>
      </c>
      <c r="L89" s="27">
        <v>79943340.706573814</v>
      </c>
      <c r="M89" s="27">
        <v>77295000</v>
      </c>
      <c r="N89" s="27">
        <v>15764011.439999999</v>
      </c>
      <c r="O89" s="27">
        <v>231.65591599999999</v>
      </c>
      <c r="P89" s="27">
        <v>2.6425018534227878</v>
      </c>
      <c r="Q89" s="27">
        <v>43.784035600000003</v>
      </c>
      <c r="R89" s="27">
        <v>801.36463400000002</v>
      </c>
      <c r="S89" s="27">
        <v>4.9207654599999997E-12</v>
      </c>
      <c r="T89" s="27">
        <v>21.456292190938864</v>
      </c>
      <c r="U89" s="27">
        <v>100.934</v>
      </c>
      <c r="V89" s="27">
        <v>-619.61265999030547</v>
      </c>
      <c r="W89" s="27">
        <v>69.220934799999995</v>
      </c>
      <c r="X89" s="27">
        <v>94.854805200000001</v>
      </c>
      <c r="Y89" s="27">
        <v>121.52199999999999</v>
      </c>
      <c r="Z89" s="27">
        <v>258.35761300000001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0</v>
      </c>
      <c r="AI89" s="27">
        <v>0</v>
      </c>
      <c r="AJ89" s="27">
        <v>0</v>
      </c>
      <c r="AK89" s="27">
        <v>0</v>
      </c>
      <c r="AL89" s="27">
        <v>0</v>
      </c>
      <c r="AM89" s="27">
        <v>0</v>
      </c>
      <c r="AN89" s="27">
        <v>2.6425018534227878</v>
      </c>
    </row>
    <row r="90" spans="1:40" x14ac:dyDescent="0.3">
      <c r="A90" s="27">
        <v>28</v>
      </c>
      <c r="B90" s="27">
        <v>19</v>
      </c>
      <c r="C90" s="27">
        <v>14.703140137884445</v>
      </c>
      <c r="D90" s="27">
        <v>15</v>
      </c>
      <c r="E90" s="27">
        <v>13</v>
      </c>
      <c r="F90" s="27">
        <v>0.36266903784566945</v>
      </c>
      <c r="G90" s="27">
        <v>28</v>
      </c>
      <c r="H90" s="27">
        <v>7</v>
      </c>
      <c r="I90" s="27">
        <v>0.53893645833184989</v>
      </c>
      <c r="J90" s="27">
        <v>329599934.81123656</v>
      </c>
      <c r="K90" s="27">
        <v>165558000</v>
      </c>
      <c r="L90" s="27">
        <v>79929525.605194926</v>
      </c>
      <c r="M90" s="27">
        <v>77105200</v>
      </c>
      <c r="N90" s="27">
        <v>15760803.279999999</v>
      </c>
      <c r="O90" s="27">
        <v>231.86309900000001</v>
      </c>
      <c r="P90" s="27">
        <v>2.6490260574595479</v>
      </c>
      <c r="Q90" s="27">
        <v>43.753309299999998</v>
      </c>
      <c r="R90" s="27">
        <v>801.88583400000005</v>
      </c>
      <c r="S90" s="27">
        <v>4.7033303000000005E-13</v>
      </c>
      <c r="T90" s="27">
        <v>21.313520680150532</v>
      </c>
      <c r="U90" s="27">
        <v>100.934</v>
      </c>
      <c r="V90" s="27">
        <v>-622.64674534632798</v>
      </c>
      <c r="W90" s="27">
        <v>69.220269900000005</v>
      </c>
      <c r="X90" s="27">
        <v>94.850316100000001</v>
      </c>
      <c r="Y90" s="27">
        <v>121.52199999999999</v>
      </c>
      <c r="Z90" s="27">
        <v>253.97224800000001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2.6490260574595479</v>
      </c>
    </row>
    <row r="91" spans="1:40" x14ac:dyDescent="0.3">
      <c r="A91" s="27">
        <v>37</v>
      </c>
      <c r="B91" s="27">
        <v>13</v>
      </c>
      <c r="C91" s="27">
        <v>3.6464396647328092</v>
      </c>
      <c r="D91" s="27">
        <v>29</v>
      </c>
      <c r="E91" s="27">
        <v>5</v>
      </c>
      <c r="F91" s="27">
        <v>0.30399065158315358</v>
      </c>
      <c r="G91" s="27">
        <v>23</v>
      </c>
      <c r="H91" s="27">
        <v>7</v>
      </c>
      <c r="I91" s="27">
        <v>1.2528744199545496</v>
      </c>
      <c r="J91" s="27">
        <v>327872441.86811429</v>
      </c>
      <c r="K91" s="27">
        <v>165465000</v>
      </c>
      <c r="L91" s="27">
        <v>79926121.920193046</v>
      </c>
      <c r="M91" s="27">
        <v>77232000</v>
      </c>
      <c r="N91" s="27">
        <v>15759943.439999999</v>
      </c>
      <c r="O91" s="27">
        <v>231.96146200000001</v>
      </c>
      <c r="P91" s="27">
        <v>2.6386641825626262</v>
      </c>
      <c r="Q91" s="27">
        <v>43.811799499999999</v>
      </c>
      <c r="R91" s="27">
        <v>800.0004429999999</v>
      </c>
      <c r="S91" s="27">
        <v>5.7523051600000002E-8</v>
      </c>
      <c r="T91" s="27">
        <v>21.750721366594572</v>
      </c>
      <c r="U91" s="27">
        <v>100.934</v>
      </c>
      <c r="V91" s="27">
        <v>-592.83248870709224</v>
      </c>
      <c r="W91" s="27">
        <v>69.224834799999996</v>
      </c>
      <c r="X91" s="27">
        <v>94.872404200000005</v>
      </c>
      <c r="Y91" s="27">
        <v>177.97</v>
      </c>
      <c r="Z91" s="27">
        <v>254.31833900000001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0</v>
      </c>
      <c r="AI91" s="27">
        <v>0</v>
      </c>
      <c r="AJ91" s="27">
        <v>0</v>
      </c>
      <c r="AK91" s="27">
        <v>0</v>
      </c>
      <c r="AL91" s="27">
        <v>0</v>
      </c>
      <c r="AM91" s="27">
        <v>0</v>
      </c>
      <c r="AN91" s="27">
        <v>2.6386641825626262</v>
      </c>
    </row>
    <row r="92" spans="1:40" x14ac:dyDescent="0.3">
      <c r="A92" s="27">
        <v>35</v>
      </c>
      <c r="B92" s="27">
        <v>17</v>
      </c>
      <c r="C92" s="27">
        <v>7.5216597004381667</v>
      </c>
      <c r="D92" s="27">
        <v>16</v>
      </c>
      <c r="E92" s="27">
        <v>14</v>
      </c>
      <c r="F92" s="27">
        <v>0.3119566834609801</v>
      </c>
      <c r="G92" s="27">
        <v>29</v>
      </c>
      <c r="H92" s="27">
        <v>7</v>
      </c>
      <c r="I92" s="27">
        <v>1.1900932772349049</v>
      </c>
      <c r="J92" s="27">
        <v>328438397.9616769</v>
      </c>
      <c r="K92" s="27">
        <v>165490000</v>
      </c>
      <c r="L92" s="27">
        <v>79926021.867805496</v>
      </c>
      <c r="M92" s="27">
        <v>77001300</v>
      </c>
      <c r="N92" s="27">
        <v>15759943.439999999</v>
      </c>
      <c r="O92" s="27">
        <v>232.33659</v>
      </c>
      <c r="P92" s="27">
        <v>2.6409157102650656</v>
      </c>
      <c r="Q92" s="27">
        <v>43.712595100000001</v>
      </c>
      <c r="R92" s="27">
        <v>801.71087799999998</v>
      </c>
      <c r="S92" s="27">
        <v>9.3642823299999996E-15</v>
      </c>
      <c r="T92" s="27">
        <v>21.236895632736218</v>
      </c>
      <c r="U92" s="27">
        <v>100.934</v>
      </c>
      <c r="V92" s="27">
        <v>-618.0191163043271</v>
      </c>
      <c r="W92" s="27">
        <v>69.219116299999996</v>
      </c>
      <c r="X92" s="27">
        <v>94.839297299999998</v>
      </c>
      <c r="Y92" s="27">
        <v>121.52199999999999</v>
      </c>
      <c r="Z92" s="27">
        <v>254.29901000000001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2.6409157102650656</v>
      </c>
    </row>
    <row r="93" spans="1:40" x14ac:dyDescent="0.3">
      <c r="A93" s="27">
        <v>39</v>
      </c>
      <c r="B93" s="27">
        <v>16</v>
      </c>
      <c r="C93" s="27">
        <v>2.2133987594560232</v>
      </c>
      <c r="D93" s="27">
        <v>29</v>
      </c>
      <c r="E93" s="27">
        <v>9</v>
      </c>
      <c r="F93" s="27">
        <v>0.30227385756124081</v>
      </c>
      <c r="G93" s="27">
        <v>27</v>
      </c>
      <c r="H93" s="27">
        <v>7</v>
      </c>
      <c r="I93" s="27">
        <v>1.3623509162450527</v>
      </c>
      <c r="J93" s="27">
        <v>327753324.48044187</v>
      </c>
      <c r="K93" s="27">
        <v>165480000</v>
      </c>
      <c r="L93" s="27">
        <v>79925921.753169209</v>
      </c>
      <c r="M93" s="27">
        <v>77287600</v>
      </c>
      <c r="N93" s="27">
        <v>15759904.08</v>
      </c>
      <c r="O93" s="27">
        <v>231.802651</v>
      </c>
      <c r="P93" s="27">
        <v>2.6393499522006327</v>
      </c>
      <c r="Q93" s="27">
        <v>43.821502600000002</v>
      </c>
      <c r="R93" s="27">
        <v>799.86287000000004</v>
      </c>
      <c r="S93" s="27">
        <v>3.5493068500000002E-11</v>
      </c>
      <c r="T93" s="27">
        <v>21.671323958232531</v>
      </c>
      <c r="U93" s="27">
        <v>100.934</v>
      </c>
      <c r="V93" s="27">
        <v>-593.19182084190925</v>
      </c>
      <c r="W93" s="27">
        <v>69.232922099999996</v>
      </c>
      <c r="X93" s="27">
        <v>94.907297200000002</v>
      </c>
      <c r="Y93" s="27">
        <v>177.97</v>
      </c>
      <c r="Z93" s="27">
        <v>254.16378499999999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0</v>
      </c>
      <c r="AI93" s="27">
        <v>0</v>
      </c>
      <c r="AJ93" s="27">
        <v>0</v>
      </c>
      <c r="AK93" s="27">
        <v>0</v>
      </c>
      <c r="AL93" s="27">
        <v>0</v>
      </c>
      <c r="AM93" s="27">
        <v>0</v>
      </c>
      <c r="AN93" s="27">
        <v>2.6393499522006327</v>
      </c>
    </row>
    <row r="94" spans="1:40" x14ac:dyDescent="0.3">
      <c r="A94" s="27">
        <v>27</v>
      </c>
      <c r="B94" s="27">
        <v>18</v>
      </c>
      <c r="C94" s="27">
        <v>14.969985112332729</v>
      </c>
      <c r="D94" s="27">
        <v>29</v>
      </c>
      <c r="E94" s="27">
        <v>14</v>
      </c>
      <c r="F94" s="27">
        <v>0.48558115829467696</v>
      </c>
      <c r="G94" s="27">
        <v>11</v>
      </c>
      <c r="H94" s="27">
        <v>7</v>
      </c>
      <c r="I94" s="27">
        <v>0.93095918440674685</v>
      </c>
      <c r="J94" s="27">
        <v>329593149.42397863</v>
      </c>
      <c r="K94" s="27">
        <v>165543000</v>
      </c>
      <c r="L94" s="27">
        <v>79930226.3702586</v>
      </c>
      <c r="M94" s="27">
        <v>77749900</v>
      </c>
      <c r="N94" s="27">
        <v>15760901.359999999</v>
      </c>
      <c r="O94" s="27">
        <v>229.46068099999999</v>
      </c>
      <c r="P94" s="27">
        <v>2.6640496383052041</v>
      </c>
      <c r="Q94" s="27">
        <v>44.013445900000001</v>
      </c>
      <c r="R94" s="27">
        <v>802.11674400000004</v>
      </c>
      <c r="S94" s="27">
        <v>4.5572974699999997E-13</v>
      </c>
      <c r="T94" s="27">
        <v>22.020599595893035</v>
      </c>
      <c r="U94" s="27">
        <v>100.934</v>
      </c>
      <c r="V94" s="27">
        <v>-627.50579704167524</v>
      </c>
      <c r="W94" s="27">
        <v>69.220834100000005</v>
      </c>
      <c r="X94" s="27">
        <v>94.854671699999997</v>
      </c>
      <c r="Y94" s="27">
        <v>177.97</v>
      </c>
      <c r="Z94" s="27">
        <v>254.47999899999999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2.6640496383052041</v>
      </c>
    </row>
    <row r="95" spans="1:40" x14ac:dyDescent="0.3">
      <c r="A95" s="27">
        <v>37</v>
      </c>
      <c r="B95" s="27">
        <v>10</v>
      </c>
      <c r="C95" s="27">
        <v>4.6522623861042787</v>
      </c>
      <c r="D95" s="27">
        <v>10</v>
      </c>
      <c r="E95" s="27">
        <v>6</v>
      </c>
      <c r="F95" s="27">
        <v>0.38853411455966913</v>
      </c>
      <c r="G95" s="27">
        <v>17</v>
      </c>
      <c r="H95" s="27">
        <v>14</v>
      </c>
      <c r="I95" s="27">
        <v>1.1483066305134517</v>
      </c>
      <c r="J95" s="27">
        <v>327518633.01446056</v>
      </c>
      <c r="K95" s="27">
        <v>165449000</v>
      </c>
      <c r="L95" s="27">
        <v>79926422.266978085</v>
      </c>
      <c r="M95" s="27">
        <v>77366800</v>
      </c>
      <c r="N95" s="27">
        <v>15760023.92</v>
      </c>
      <c r="O95" s="27">
        <v>231.01055600000001</v>
      </c>
      <c r="P95" s="27">
        <v>2.6456043593011498</v>
      </c>
      <c r="Q95" s="27">
        <v>43.838585100000003</v>
      </c>
      <c r="R95" s="27">
        <v>801.529765</v>
      </c>
      <c r="S95" s="27">
        <v>4.0218376699999996E-9</v>
      </c>
      <c r="T95" s="27">
        <v>21.665844275903503</v>
      </c>
      <c r="U95" s="27">
        <v>100.934</v>
      </c>
      <c r="V95" s="27">
        <v>-619.07649384716501</v>
      </c>
      <c r="W95" s="27">
        <v>69.228794399999998</v>
      </c>
      <c r="X95" s="27">
        <v>94.885181299999999</v>
      </c>
      <c r="Y95" s="27">
        <v>121.52199999999999</v>
      </c>
      <c r="Z95" s="27">
        <v>254.057198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2.6456043593011498</v>
      </c>
    </row>
    <row r="96" spans="1:40" x14ac:dyDescent="0.3">
      <c r="A96" s="27">
        <v>38</v>
      </c>
      <c r="B96" s="27">
        <v>19</v>
      </c>
      <c r="C96" s="27">
        <v>4.6707737177250523</v>
      </c>
      <c r="D96" s="27">
        <v>10</v>
      </c>
      <c r="E96" s="27">
        <v>5</v>
      </c>
      <c r="F96" s="27">
        <v>0.3319532334007475</v>
      </c>
      <c r="G96" s="27">
        <v>17</v>
      </c>
      <c r="H96" s="27">
        <v>7</v>
      </c>
      <c r="I96" s="27">
        <v>0.59892188155386306</v>
      </c>
      <c r="J96" s="27">
        <v>327439550.26448739</v>
      </c>
      <c r="K96" s="27">
        <v>165451000</v>
      </c>
      <c r="L96" s="27">
        <v>79929225.346544236</v>
      </c>
      <c r="M96" s="27">
        <v>77246400</v>
      </c>
      <c r="N96" s="27">
        <v>15760737.199999999</v>
      </c>
      <c r="O96" s="27">
        <v>231.60493700000001</v>
      </c>
      <c r="P96" s="27">
        <v>2.6409159125914399</v>
      </c>
      <c r="Q96" s="27">
        <v>43.803527500000001</v>
      </c>
      <c r="R96" s="27">
        <v>800.94988499999999</v>
      </c>
      <c r="S96" s="27">
        <v>4.7391361399999997E-8</v>
      </c>
      <c r="T96" s="27">
        <v>21.657651907517234</v>
      </c>
      <c r="U96" s="27">
        <v>100.934</v>
      </c>
      <c r="V96" s="27">
        <v>-613.75475019297949</v>
      </c>
      <c r="W96" s="27">
        <v>69.219223200000002</v>
      </c>
      <c r="X96" s="27">
        <v>94.841014200000004</v>
      </c>
      <c r="Y96" s="27">
        <v>144.29</v>
      </c>
      <c r="Z96" s="27">
        <v>254.05169900000001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2.6409159125914399</v>
      </c>
    </row>
    <row r="97" spans="1:40" x14ac:dyDescent="0.3">
      <c r="A97" s="27">
        <v>27</v>
      </c>
      <c r="B97" s="27">
        <v>18</v>
      </c>
      <c r="C97" s="27">
        <v>1.8247836694635262</v>
      </c>
      <c r="D97" s="27">
        <v>29</v>
      </c>
      <c r="E97" s="27">
        <v>14</v>
      </c>
      <c r="F97" s="27">
        <v>0.40307989424515533</v>
      </c>
      <c r="G97" s="27">
        <v>15</v>
      </c>
      <c r="H97" s="27">
        <v>7</v>
      </c>
      <c r="I97" s="27">
        <v>0.72099477302613035</v>
      </c>
      <c r="J97" s="27">
        <v>326895750.1924091</v>
      </c>
      <c r="K97" s="27">
        <v>165430000</v>
      </c>
      <c r="L97" s="27">
        <v>79928424.486155778</v>
      </c>
      <c r="M97" s="27">
        <v>77629500</v>
      </c>
      <c r="N97" s="27">
        <v>15760531.039999999</v>
      </c>
      <c r="O97" s="27">
        <v>230.34462400000001</v>
      </c>
      <c r="P97" s="27">
        <v>2.6460186327380333</v>
      </c>
      <c r="Q97" s="27">
        <v>43.862090000000002</v>
      </c>
      <c r="R97" s="27">
        <v>800.920704</v>
      </c>
      <c r="S97" s="27">
        <v>2.34564153E-8</v>
      </c>
      <c r="T97" s="27">
        <v>21.913223774099126</v>
      </c>
      <c r="U97" s="27">
        <v>80.72</v>
      </c>
      <c r="V97" s="27">
        <v>-560.96892267132284</v>
      </c>
      <c r="W97" s="27">
        <v>69.351592499999995</v>
      </c>
      <c r="X97" s="27">
        <v>95.347014799999997</v>
      </c>
      <c r="Y97" s="27">
        <v>177.97</v>
      </c>
      <c r="Z97" s="27">
        <v>254.06195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0</v>
      </c>
      <c r="AI97" s="27">
        <v>0</v>
      </c>
      <c r="AJ97" s="27">
        <v>0</v>
      </c>
      <c r="AK97" s="27">
        <v>0</v>
      </c>
      <c r="AL97" s="27">
        <v>0</v>
      </c>
      <c r="AM97" s="27">
        <v>0</v>
      </c>
      <c r="AN97" s="27">
        <v>2.6460186327380333</v>
      </c>
    </row>
    <row r="98" spans="1:40" x14ac:dyDescent="0.3">
      <c r="A98" s="27">
        <v>28</v>
      </c>
      <c r="B98" s="27">
        <v>17</v>
      </c>
      <c r="C98" s="27">
        <v>5.7403258014201164</v>
      </c>
      <c r="D98" s="27">
        <v>29</v>
      </c>
      <c r="E98" s="27">
        <v>14</v>
      </c>
      <c r="F98" s="27">
        <v>0.37608344572574881</v>
      </c>
      <c r="G98" s="27">
        <v>28</v>
      </c>
      <c r="H98" s="27">
        <v>9</v>
      </c>
      <c r="I98" s="27">
        <v>1.1656610448597473</v>
      </c>
      <c r="J98" s="27">
        <v>328181771.81714493</v>
      </c>
      <c r="K98" s="27">
        <v>165485000</v>
      </c>
      <c r="L98" s="27">
        <v>79925220.900382087</v>
      </c>
      <c r="M98" s="27">
        <v>77464100</v>
      </c>
      <c r="N98" s="27">
        <v>15759706.560000001</v>
      </c>
      <c r="O98" s="27">
        <v>230.924027</v>
      </c>
      <c r="P98" s="27">
        <v>2.6473733289479253</v>
      </c>
      <c r="Q98" s="27">
        <v>43.900632799999997</v>
      </c>
      <c r="R98" s="27">
        <v>800.54244799999992</v>
      </c>
      <c r="S98" s="27">
        <v>1.1866674500000001E-13</v>
      </c>
      <c r="T98" s="27">
        <v>21.7649673177438</v>
      </c>
      <c r="U98" s="27">
        <v>100.934</v>
      </c>
      <c r="V98" s="27">
        <v>-609.93513467733396</v>
      </c>
      <c r="W98" s="27">
        <v>69.222764999999995</v>
      </c>
      <c r="X98" s="27">
        <v>94.8671954</v>
      </c>
      <c r="Y98" s="27">
        <v>177.97</v>
      </c>
      <c r="Z98" s="27">
        <v>253.98227399999999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2.6473733289479253</v>
      </c>
    </row>
    <row r="99" spans="1:40" x14ac:dyDescent="0.3">
      <c r="A99" s="27">
        <v>39</v>
      </c>
      <c r="B99" s="27">
        <v>12</v>
      </c>
      <c r="C99" s="27">
        <v>1.5589422921268505</v>
      </c>
      <c r="D99" s="27">
        <v>26</v>
      </c>
      <c r="E99" s="27">
        <v>14</v>
      </c>
      <c r="F99" s="27">
        <v>0.30553782200269358</v>
      </c>
      <c r="G99" s="27">
        <v>18</v>
      </c>
      <c r="H99" s="27">
        <v>9</v>
      </c>
      <c r="I99" s="27">
        <v>0.6652465793678346</v>
      </c>
      <c r="J99" s="27">
        <v>327200563.37227148</v>
      </c>
      <c r="K99" s="27">
        <v>165464000</v>
      </c>
      <c r="L99" s="27">
        <v>79926622.44838281</v>
      </c>
      <c r="M99" s="27">
        <v>77519300</v>
      </c>
      <c r="N99" s="27">
        <v>15760062.16</v>
      </c>
      <c r="O99" s="27">
        <v>230.89405500000001</v>
      </c>
      <c r="P99" s="27">
        <v>2.6433752872456817</v>
      </c>
      <c r="Q99" s="27">
        <v>43.798144200000003</v>
      </c>
      <c r="R99" s="27">
        <v>800.51129300000002</v>
      </c>
      <c r="S99" s="27">
        <v>2.95855396E-15</v>
      </c>
      <c r="T99" s="27">
        <v>21.687149215034026</v>
      </c>
      <c r="U99" s="27">
        <v>100.934</v>
      </c>
      <c r="V99" s="27">
        <v>-559.80016285472936</v>
      </c>
      <c r="W99" s="27">
        <v>69.345918400000002</v>
      </c>
      <c r="X99" s="27">
        <v>95.327190999999999</v>
      </c>
      <c r="Y99" s="27">
        <v>170.55</v>
      </c>
      <c r="Z99" s="27">
        <v>254.186857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2.6433752872456817</v>
      </c>
    </row>
    <row r="100" spans="1:40" x14ac:dyDescent="0.3">
      <c r="A100" s="27">
        <v>38</v>
      </c>
      <c r="B100" s="27">
        <v>13</v>
      </c>
      <c r="C100" s="27">
        <v>1.8877385472393688</v>
      </c>
      <c r="D100" s="27">
        <v>29</v>
      </c>
      <c r="E100" s="27">
        <v>14</v>
      </c>
      <c r="F100" s="27">
        <v>0.49708401343903685</v>
      </c>
      <c r="G100" s="27">
        <v>29</v>
      </c>
      <c r="H100" s="27">
        <v>14</v>
      </c>
      <c r="I100" s="27">
        <v>0.67272846690449029</v>
      </c>
      <c r="J100" s="27">
        <v>327709532.26413858</v>
      </c>
      <c r="K100" s="27">
        <v>165481000</v>
      </c>
      <c r="L100" s="27">
        <v>79924720.431975752</v>
      </c>
      <c r="M100" s="27">
        <v>77853000</v>
      </c>
      <c r="N100" s="27">
        <v>15759601.68</v>
      </c>
      <c r="O100" s="27">
        <v>228.94215700000001</v>
      </c>
      <c r="P100" s="27">
        <v>2.6613147242682222</v>
      </c>
      <c r="Q100" s="27">
        <v>44.013590299999997</v>
      </c>
      <c r="R100" s="27">
        <v>802.5411489999999</v>
      </c>
      <c r="S100" s="27">
        <v>1.6539682999999999E-17</v>
      </c>
      <c r="T100" s="27">
        <v>22.079337665726747</v>
      </c>
      <c r="U100" s="27">
        <v>100.934</v>
      </c>
      <c r="V100" s="27">
        <v>-611.20567073103314</v>
      </c>
      <c r="W100" s="27">
        <v>69.271806400000003</v>
      </c>
      <c r="X100" s="27">
        <v>95.036372799999995</v>
      </c>
      <c r="Y100" s="27">
        <v>177.97</v>
      </c>
      <c r="Z100" s="27">
        <v>253.63663199999999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2.6613147242682222</v>
      </c>
    </row>
    <row r="101" spans="1:40" x14ac:dyDescent="0.3">
      <c r="A101" s="27">
        <v>37</v>
      </c>
      <c r="B101" s="27">
        <v>10</v>
      </c>
      <c r="C101" s="27">
        <v>3.4300894433835403</v>
      </c>
      <c r="D101" s="27">
        <v>27</v>
      </c>
      <c r="E101" s="27">
        <v>14</v>
      </c>
      <c r="F101" s="27">
        <v>0.38382258675375591</v>
      </c>
      <c r="G101" s="27">
        <v>24</v>
      </c>
      <c r="H101" s="27">
        <v>7</v>
      </c>
      <c r="I101" s="27">
        <v>1.1403192500860726</v>
      </c>
      <c r="J101" s="27">
        <v>327753604.46208805</v>
      </c>
      <c r="K101" s="27">
        <v>165467000</v>
      </c>
      <c r="L101" s="27">
        <v>79926322.159121364</v>
      </c>
      <c r="M101" s="27">
        <v>77512300</v>
      </c>
      <c r="N101" s="27">
        <v>15759999.279999999</v>
      </c>
      <c r="O101" s="27">
        <v>230.68055000000001</v>
      </c>
      <c r="P101" s="27">
        <v>2.6476407184843413</v>
      </c>
      <c r="Q101" s="27">
        <v>43.903968900000002</v>
      </c>
      <c r="R101" s="27">
        <v>800.79447000000005</v>
      </c>
      <c r="S101" s="27">
        <v>2.7235393800000002E-16</v>
      </c>
      <c r="T101" s="27">
        <v>21.783229802980916</v>
      </c>
      <c r="U101" s="27">
        <v>100.934</v>
      </c>
      <c r="V101" s="27">
        <v>-607.4647654648104</v>
      </c>
      <c r="W101" s="27">
        <v>69.237636699999996</v>
      </c>
      <c r="X101" s="27">
        <v>94.919085300000006</v>
      </c>
      <c r="Y101" s="27">
        <v>170.55</v>
      </c>
      <c r="Z101" s="27">
        <v>253.862067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I101" s="27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2.6476407184843413</v>
      </c>
    </row>
    <row r="102" spans="1:40" x14ac:dyDescent="0.3">
      <c r="A102" s="27">
        <v>29</v>
      </c>
      <c r="B102" s="27">
        <v>18</v>
      </c>
      <c r="C102" s="27">
        <v>1.0664820968714661</v>
      </c>
      <c r="D102" s="27">
        <v>12</v>
      </c>
      <c r="E102" s="27">
        <v>8</v>
      </c>
      <c r="F102" s="27">
        <v>0.31690741392555616</v>
      </c>
      <c r="G102" s="27">
        <v>16</v>
      </c>
      <c r="H102" s="27">
        <v>10</v>
      </c>
      <c r="I102" s="27">
        <v>0.45114450138194673</v>
      </c>
      <c r="J102" s="27">
        <v>326323455.77628583</v>
      </c>
      <c r="K102" s="27">
        <v>165396000</v>
      </c>
      <c r="L102" s="27">
        <v>79931127.33953099</v>
      </c>
      <c r="M102" s="27">
        <v>77879200</v>
      </c>
      <c r="N102" s="27">
        <v>15761140.32</v>
      </c>
      <c r="O102" s="27">
        <v>229.235625</v>
      </c>
      <c r="P102" s="27">
        <v>2.6516616412882703</v>
      </c>
      <c r="Q102" s="27">
        <v>43.716535399999998</v>
      </c>
      <c r="R102" s="27">
        <v>802.77153300000009</v>
      </c>
      <c r="S102" s="27">
        <v>2.0055636600000001E-10</v>
      </c>
      <c r="T102" s="27">
        <v>21.725896508089079</v>
      </c>
      <c r="U102" s="27">
        <v>80.72</v>
      </c>
      <c r="V102" s="27">
        <v>-501.85454513665348</v>
      </c>
      <c r="W102" s="27">
        <v>69.603540600000002</v>
      </c>
      <c r="X102" s="27">
        <v>96.642863199999994</v>
      </c>
      <c r="Y102" s="27">
        <v>121.52199999999999</v>
      </c>
      <c r="Z102" s="27">
        <v>254.79353499999999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0</v>
      </c>
      <c r="AH102" s="27">
        <v>0</v>
      </c>
      <c r="AI102" s="27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2.6516616412882703</v>
      </c>
    </row>
    <row r="103" spans="1:40" x14ac:dyDescent="0.3">
      <c r="A103" s="27">
        <v>27</v>
      </c>
      <c r="B103" s="27">
        <v>10</v>
      </c>
      <c r="C103" s="27">
        <v>8.88905482136731</v>
      </c>
      <c r="D103" s="27">
        <v>18</v>
      </c>
      <c r="E103" s="27">
        <v>6</v>
      </c>
      <c r="F103" s="27">
        <v>0.33189342413734851</v>
      </c>
      <c r="G103" s="27">
        <v>27</v>
      </c>
      <c r="H103" s="27">
        <v>7</v>
      </c>
      <c r="I103" s="27">
        <v>1.3977875154315866</v>
      </c>
      <c r="J103" s="27">
        <v>328467299.20930076</v>
      </c>
      <c r="K103" s="27">
        <v>165473000</v>
      </c>
      <c r="L103" s="27">
        <v>79925921.715778887</v>
      </c>
      <c r="M103" s="27">
        <v>77325200</v>
      </c>
      <c r="N103" s="27">
        <v>15759895.360000001</v>
      </c>
      <c r="O103" s="27">
        <v>231.49741599999999</v>
      </c>
      <c r="P103" s="27">
        <v>2.6440732351359055</v>
      </c>
      <c r="Q103" s="27">
        <v>43.839219399999998</v>
      </c>
      <c r="R103" s="27">
        <v>800.38326299999994</v>
      </c>
      <c r="S103" s="27">
        <v>6.3289292100000004E-9</v>
      </c>
      <c r="T103" s="27">
        <v>21.720657398770914</v>
      </c>
      <c r="U103" s="27">
        <v>100.934</v>
      </c>
      <c r="V103" s="27">
        <v>-604.07512520645423</v>
      </c>
      <c r="W103" s="27">
        <v>69.224771899999993</v>
      </c>
      <c r="X103" s="27">
        <v>94.873246300000005</v>
      </c>
      <c r="Y103" s="27">
        <v>170.55</v>
      </c>
      <c r="Z103" s="27">
        <v>254.211681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0</v>
      </c>
      <c r="AI103" s="27">
        <v>0</v>
      </c>
      <c r="AJ103" s="27">
        <v>0</v>
      </c>
      <c r="AK103" s="27">
        <v>0</v>
      </c>
      <c r="AL103" s="27">
        <v>0</v>
      </c>
      <c r="AM103" s="27">
        <v>0</v>
      </c>
      <c r="AN103" s="27">
        <v>2.6440732351359055</v>
      </c>
    </row>
    <row r="104" spans="1:40" x14ac:dyDescent="0.3">
      <c r="A104" s="27">
        <v>28</v>
      </c>
      <c r="B104" s="27">
        <v>12</v>
      </c>
      <c r="C104" s="27">
        <v>1.4514616599005263</v>
      </c>
      <c r="D104" s="27">
        <v>25</v>
      </c>
      <c r="E104" s="27">
        <v>14</v>
      </c>
      <c r="F104" s="27">
        <v>0.30535108101321412</v>
      </c>
      <c r="G104" s="27">
        <v>28</v>
      </c>
      <c r="H104" s="27">
        <v>8</v>
      </c>
      <c r="I104" s="27">
        <v>1.0035724594486655</v>
      </c>
      <c r="J104" s="27">
        <v>326993245.29887635</v>
      </c>
      <c r="K104" s="27">
        <v>165428000</v>
      </c>
      <c r="L104" s="27">
        <v>79925821.618605122</v>
      </c>
      <c r="M104" s="27">
        <v>77608100</v>
      </c>
      <c r="N104" s="27">
        <v>15759873.68</v>
      </c>
      <c r="O104" s="27">
        <v>230.53965500000001</v>
      </c>
      <c r="P104" s="27">
        <v>2.6444387205979578</v>
      </c>
      <c r="Q104" s="27">
        <v>43.786571500000001</v>
      </c>
      <c r="R104" s="27">
        <v>800.79466300000001</v>
      </c>
      <c r="S104" s="27">
        <v>2.8439158199999998E-15</v>
      </c>
      <c r="T104" s="27">
        <v>21.702300325347995</v>
      </c>
      <c r="U104" s="27">
        <v>91.850000000000009</v>
      </c>
      <c r="V104" s="27">
        <v>-544.45660684373922</v>
      </c>
      <c r="W104" s="27">
        <v>69.397013299999998</v>
      </c>
      <c r="X104" s="27">
        <v>95.563302899999996</v>
      </c>
      <c r="Y104" s="27">
        <v>165.7</v>
      </c>
      <c r="Z104" s="27">
        <v>254.15025700000001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0</v>
      </c>
      <c r="AJ104" s="27">
        <v>0</v>
      </c>
      <c r="AK104" s="27">
        <v>0</v>
      </c>
      <c r="AL104" s="27">
        <v>0</v>
      </c>
      <c r="AM104" s="27">
        <v>0</v>
      </c>
      <c r="AN104" s="27">
        <v>2.6444387205979578</v>
      </c>
    </row>
    <row r="105" spans="1:40" x14ac:dyDescent="0.3">
      <c r="A105" s="27">
        <v>39</v>
      </c>
      <c r="B105" s="27">
        <v>17</v>
      </c>
      <c r="C105" s="27">
        <v>2.9754198706140218</v>
      </c>
      <c r="D105" s="27">
        <v>15</v>
      </c>
      <c r="E105" s="27">
        <v>13</v>
      </c>
      <c r="F105" s="27">
        <v>0.3467918022208672</v>
      </c>
      <c r="G105" s="27">
        <v>27</v>
      </c>
      <c r="H105" s="27">
        <v>13</v>
      </c>
      <c r="I105" s="27">
        <v>1.1147250776522972</v>
      </c>
      <c r="J105" s="27">
        <v>327555280.91700739</v>
      </c>
      <c r="K105" s="27">
        <v>165465000</v>
      </c>
      <c r="L105" s="27">
        <v>79924520.127306208</v>
      </c>
      <c r="M105" s="27">
        <v>77085300</v>
      </c>
      <c r="N105" s="27">
        <v>15759527.52</v>
      </c>
      <c r="O105" s="27">
        <v>231.99945199999999</v>
      </c>
      <c r="P105" s="27">
        <v>2.640095369467184</v>
      </c>
      <c r="Q105" s="27">
        <v>43.740025899999999</v>
      </c>
      <c r="R105" s="27">
        <v>801.82406700000001</v>
      </c>
      <c r="S105" s="27">
        <v>2.0750924900000001E-14</v>
      </c>
      <c r="T105" s="27">
        <v>21.289153437315086</v>
      </c>
      <c r="U105" s="27">
        <v>100.934</v>
      </c>
      <c r="V105" s="27">
        <v>-620.32049217672829</v>
      </c>
      <c r="W105" s="27">
        <v>69.221950000000007</v>
      </c>
      <c r="X105" s="27">
        <v>94.8617141</v>
      </c>
      <c r="Y105" s="27">
        <v>121.52199999999999</v>
      </c>
      <c r="Z105" s="27">
        <v>254.33879099999999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2.640095369467184</v>
      </c>
    </row>
    <row r="106" spans="1:40" x14ac:dyDescent="0.3">
      <c r="A106" s="27">
        <v>37</v>
      </c>
      <c r="B106" s="27">
        <v>16</v>
      </c>
      <c r="C106" s="27">
        <v>7.8545368590013647</v>
      </c>
      <c r="D106" s="27">
        <v>11</v>
      </c>
      <c r="E106" s="27">
        <v>9</v>
      </c>
      <c r="F106" s="27">
        <v>0.38611987031520262</v>
      </c>
      <c r="G106" s="27">
        <v>11</v>
      </c>
      <c r="H106" s="27">
        <v>7</v>
      </c>
      <c r="I106" s="27">
        <v>1.1452460651800027</v>
      </c>
      <c r="J106" s="27">
        <v>328029117.24762207</v>
      </c>
      <c r="K106" s="27">
        <v>165458000</v>
      </c>
      <c r="L106" s="27">
        <v>79928824.891491607</v>
      </c>
      <c r="M106" s="27">
        <v>77168200</v>
      </c>
      <c r="N106" s="27">
        <v>15760580.48</v>
      </c>
      <c r="O106" s="27">
        <v>231.63307800000001</v>
      </c>
      <c r="P106" s="27">
        <v>2.6439466298706216</v>
      </c>
      <c r="Q106" s="27">
        <v>43.769471299999999</v>
      </c>
      <c r="R106" s="27">
        <v>802.16215099999999</v>
      </c>
      <c r="S106" s="27">
        <v>1.74744178E-11</v>
      </c>
      <c r="T106" s="27">
        <v>21.379325980994111</v>
      </c>
      <c r="U106" s="27">
        <v>100.934</v>
      </c>
      <c r="V106" s="27">
        <v>-624.97676250099494</v>
      </c>
      <c r="W106" s="27">
        <v>69.2190595</v>
      </c>
      <c r="X106" s="27">
        <v>94.838467800000004</v>
      </c>
      <c r="Y106" s="27">
        <v>121.52199999999999</v>
      </c>
      <c r="Z106" s="27">
        <v>254.756608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I106" s="27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2.6439466298706216</v>
      </c>
    </row>
    <row r="107" spans="1:40" x14ac:dyDescent="0.3">
      <c r="A107" s="27">
        <v>39</v>
      </c>
      <c r="B107" s="27">
        <v>16</v>
      </c>
      <c r="C107" s="27">
        <v>14.464317769473674</v>
      </c>
      <c r="D107" s="27">
        <v>29</v>
      </c>
      <c r="E107" s="27">
        <v>11</v>
      </c>
      <c r="F107" s="27">
        <v>0.31038877454940489</v>
      </c>
      <c r="G107" s="27">
        <v>13</v>
      </c>
      <c r="H107" s="27">
        <v>8</v>
      </c>
      <c r="I107" s="27">
        <v>0.56914059185541976</v>
      </c>
      <c r="J107" s="27">
        <v>329897700.14131975</v>
      </c>
      <c r="K107" s="27">
        <v>165576000</v>
      </c>
      <c r="L107" s="27">
        <v>79931027.297826394</v>
      </c>
      <c r="M107" s="27">
        <v>77307200</v>
      </c>
      <c r="N107" s="27">
        <v>15761112.719999999</v>
      </c>
      <c r="O107" s="27">
        <v>231.79745600000001</v>
      </c>
      <c r="P107" s="27">
        <v>2.6471442027527856</v>
      </c>
      <c r="Q107" s="27">
        <v>43.833791900000001</v>
      </c>
      <c r="R107" s="27">
        <v>799.83061600000008</v>
      </c>
      <c r="S107" s="27">
        <v>7.2837368200000004E-13</v>
      </c>
      <c r="T107" s="27">
        <v>21.656813262426375</v>
      </c>
      <c r="U107" s="27">
        <v>100.934</v>
      </c>
      <c r="V107" s="27">
        <v>-600.2385387190476</v>
      </c>
      <c r="W107" s="27">
        <v>69.218660299999996</v>
      </c>
      <c r="X107" s="27">
        <v>94.830427200000003</v>
      </c>
      <c r="Y107" s="27">
        <v>177.97</v>
      </c>
      <c r="Z107" s="27">
        <v>255.02774500000001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0</v>
      </c>
      <c r="AI107" s="27">
        <v>0</v>
      </c>
      <c r="AJ107" s="27">
        <v>0</v>
      </c>
      <c r="AK107" s="27">
        <v>0</v>
      </c>
      <c r="AL107" s="27">
        <v>0</v>
      </c>
      <c r="AM107" s="27">
        <v>0</v>
      </c>
      <c r="AN107" s="27">
        <v>2.6471442027527856</v>
      </c>
    </row>
    <row r="108" spans="1:40" x14ac:dyDescent="0.3">
      <c r="A108" s="27">
        <v>36</v>
      </c>
      <c r="B108" s="27">
        <v>19</v>
      </c>
      <c r="C108" s="27">
        <v>2.5029829176715168</v>
      </c>
      <c r="D108" s="27">
        <v>21</v>
      </c>
      <c r="E108" s="27">
        <v>5</v>
      </c>
      <c r="F108" s="27">
        <v>0.34810307950770492</v>
      </c>
      <c r="G108" s="27">
        <v>24</v>
      </c>
      <c r="H108" s="27">
        <v>9</v>
      </c>
      <c r="I108" s="27">
        <v>0.80511407924059242</v>
      </c>
      <c r="J108" s="27">
        <v>327277205.08320928</v>
      </c>
      <c r="K108" s="27">
        <v>165445000</v>
      </c>
      <c r="L108" s="27">
        <v>79925721.53766121</v>
      </c>
      <c r="M108" s="27">
        <v>77322600</v>
      </c>
      <c r="N108" s="27">
        <v>15759856.16</v>
      </c>
      <c r="O108" s="27">
        <v>231.51624799999999</v>
      </c>
      <c r="P108" s="27">
        <v>2.6398842464928483</v>
      </c>
      <c r="Q108" s="27">
        <v>43.844671900000002</v>
      </c>
      <c r="R108" s="27">
        <v>800.35174899999993</v>
      </c>
      <c r="S108" s="27">
        <v>3.8112864499999997E-8</v>
      </c>
      <c r="T108" s="27">
        <v>21.770048980120183</v>
      </c>
      <c r="U108" s="27">
        <v>100.934</v>
      </c>
      <c r="V108" s="27">
        <v>-600.53519676840301</v>
      </c>
      <c r="W108" s="27">
        <v>69.224689100000006</v>
      </c>
      <c r="X108" s="27">
        <v>94.876306600000007</v>
      </c>
      <c r="Y108" s="27">
        <v>177.97</v>
      </c>
      <c r="Z108" s="27">
        <v>254.21201500000001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2.6398842464928483</v>
      </c>
    </row>
    <row r="109" spans="1:40" x14ac:dyDescent="0.3">
      <c r="A109" s="27">
        <v>38</v>
      </c>
      <c r="B109" s="27">
        <v>10</v>
      </c>
      <c r="C109" s="27">
        <v>6.2740002677666382</v>
      </c>
      <c r="D109" s="27">
        <v>27</v>
      </c>
      <c r="E109" s="27">
        <v>12</v>
      </c>
      <c r="F109" s="27">
        <v>0.34208271694780651</v>
      </c>
      <c r="G109" s="27">
        <v>11</v>
      </c>
      <c r="H109" s="27">
        <v>7</v>
      </c>
      <c r="I109" s="27">
        <v>1.1544471150715436</v>
      </c>
      <c r="J109" s="27">
        <v>328124134.65347761</v>
      </c>
      <c r="K109" s="27">
        <v>165471000</v>
      </c>
      <c r="L109" s="27">
        <v>79929025.072074562</v>
      </c>
      <c r="M109" s="27">
        <v>77396200</v>
      </c>
      <c r="N109" s="27">
        <v>15760620</v>
      </c>
      <c r="O109" s="27">
        <v>231.346048</v>
      </c>
      <c r="P109" s="27">
        <v>2.6434033390866984</v>
      </c>
      <c r="Q109" s="27">
        <v>43.864193800000002</v>
      </c>
      <c r="R109" s="27">
        <v>800.18703900000003</v>
      </c>
      <c r="S109" s="27">
        <v>4.5913948500000002E-14</v>
      </c>
      <c r="T109" s="27">
        <v>21.702556280865306</v>
      </c>
      <c r="U109" s="27">
        <v>100.934</v>
      </c>
      <c r="V109" s="27">
        <v>-604.18607891258762</v>
      </c>
      <c r="W109" s="27">
        <v>69.224464100000006</v>
      </c>
      <c r="X109" s="27">
        <v>94.868015</v>
      </c>
      <c r="Y109" s="27">
        <v>170.55</v>
      </c>
      <c r="Z109" s="27">
        <v>254.72416000000001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7">
        <v>0</v>
      </c>
      <c r="AH109" s="27">
        <v>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2.6434033390866984</v>
      </c>
    </row>
    <row r="110" spans="1:40" x14ac:dyDescent="0.3">
      <c r="A110" s="27">
        <v>27</v>
      </c>
      <c r="B110" s="27">
        <v>19</v>
      </c>
      <c r="C110" s="27">
        <v>8.6141304958082436</v>
      </c>
      <c r="D110" s="27">
        <v>16</v>
      </c>
      <c r="E110" s="27">
        <v>14</v>
      </c>
      <c r="F110" s="27">
        <v>0.33041569534429266</v>
      </c>
      <c r="G110" s="27">
        <v>17</v>
      </c>
      <c r="H110" s="27">
        <v>8</v>
      </c>
      <c r="I110" s="27">
        <v>1.0263553875915932</v>
      </c>
      <c r="J110" s="27">
        <v>328190182.01249075</v>
      </c>
      <c r="K110" s="27">
        <v>165454000</v>
      </c>
      <c r="L110" s="27">
        <v>79925821.658460736</v>
      </c>
      <c r="M110" s="27">
        <v>77048600</v>
      </c>
      <c r="N110" s="27">
        <v>15759881.359999999</v>
      </c>
      <c r="O110" s="27">
        <v>232.15549100000001</v>
      </c>
      <c r="P110" s="27">
        <v>2.6406660928785919</v>
      </c>
      <c r="Q110" s="27">
        <v>43.727029600000002</v>
      </c>
      <c r="R110" s="27">
        <v>801.74398700000006</v>
      </c>
      <c r="S110" s="27">
        <v>4.86847409E-12</v>
      </c>
      <c r="T110" s="27">
        <v>21.262309531075562</v>
      </c>
      <c r="U110" s="27">
        <v>100.934</v>
      </c>
      <c r="V110" s="27">
        <v>-619.06505898800253</v>
      </c>
      <c r="W110" s="27">
        <v>69.222797400000005</v>
      </c>
      <c r="X110" s="27">
        <v>94.864205900000002</v>
      </c>
      <c r="Y110" s="27">
        <v>121.52199999999999</v>
      </c>
      <c r="Z110" s="27">
        <v>254.31679700000001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0</v>
      </c>
      <c r="AI110" s="27">
        <v>0</v>
      </c>
      <c r="AJ110" s="27">
        <v>0</v>
      </c>
      <c r="AK110" s="27">
        <v>0</v>
      </c>
      <c r="AL110" s="27">
        <v>0</v>
      </c>
      <c r="AM110" s="27">
        <v>0</v>
      </c>
      <c r="AN110" s="27">
        <v>2.6406660928785919</v>
      </c>
    </row>
    <row r="111" spans="1:40" x14ac:dyDescent="0.3">
      <c r="A111" s="27">
        <v>35</v>
      </c>
      <c r="B111" s="27">
        <v>17</v>
      </c>
      <c r="C111" s="27">
        <v>2.8972563153834048</v>
      </c>
      <c r="D111" s="27">
        <v>29</v>
      </c>
      <c r="E111" s="27">
        <v>14</v>
      </c>
      <c r="F111" s="27">
        <v>0.35331187487014992</v>
      </c>
      <c r="G111" s="27">
        <v>26</v>
      </c>
      <c r="H111" s="27">
        <v>7</v>
      </c>
      <c r="I111" s="27">
        <v>0.46255502971347051</v>
      </c>
      <c r="J111" s="27">
        <v>327679040.75583833</v>
      </c>
      <c r="K111" s="27">
        <v>165472000</v>
      </c>
      <c r="L111" s="27">
        <v>79932328.72276774</v>
      </c>
      <c r="M111" s="27">
        <v>77393400</v>
      </c>
      <c r="N111" s="27">
        <v>15761529.920000002</v>
      </c>
      <c r="O111" s="27">
        <v>231.216779</v>
      </c>
      <c r="P111" s="27">
        <v>2.6436469646915608</v>
      </c>
      <c r="Q111" s="27">
        <v>43.8762866</v>
      </c>
      <c r="R111" s="27">
        <v>800.26162299999999</v>
      </c>
      <c r="S111" s="27">
        <v>6.6613017899999999E-16</v>
      </c>
      <c r="T111" s="27">
        <v>21.717674032353436</v>
      </c>
      <c r="U111" s="27">
        <v>100.934</v>
      </c>
      <c r="V111" s="27">
        <v>-606.08478191130234</v>
      </c>
      <c r="W111" s="27">
        <v>69.223726099999993</v>
      </c>
      <c r="X111" s="27">
        <v>94.871364700000001</v>
      </c>
      <c r="Y111" s="27">
        <v>170.55</v>
      </c>
      <c r="Z111" s="27">
        <v>253.60476399999999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0</v>
      </c>
      <c r="AI111" s="27">
        <v>0</v>
      </c>
      <c r="AJ111" s="27">
        <v>0</v>
      </c>
      <c r="AK111" s="27">
        <v>0</v>
      </c>
      <c r="AL111" s="27">
        <v>0</v>
      </c>
      <c r="AM111" s="27">
        <v>0</v>
      </c>
      <c r="AN111" s="27">
        <v>2.6436469646915608</v>
      </c>
    </row>
    <row r="112" spans="1:40" x14ac:dyDescent="0.3">
      <c r="A112" s="27">
        <v>36</v>
      </c>
      <c r="B112" s="27">
        <v>10</v>
      </c>
      <c r="C112" s="27">
        <v>13.416032134130546</v>
      </c>
      <c r="D112" s="27">
        <v>28</v>
      </c>
      <c r="E112" s="27">
        <v>6</v>
      </c>
      <c r="F112" s="27">
        <v>0.32801776058208199</v>
      </c>
      <c r="G112" s="27">
        <v>12</v>
      </c>
      <c r="H112" s="27">
        <v>9</v>
      </c>
      <c r="I112" s="27">
        <v>1.2634484543612132</v>
      </c>
      <c r="J112" s="27">
        <v>329592321.90178859</v>
      </c>
      <c r="K112" s="27">
        <v>165553000</v>
      </c>
      <c r="L112" s="27">
        <v>79927423.322124973</v>
      </c>
      <c r="M112" s="27">
        <v>77335300</v>
      </c>
      <c r="N112" s="27">
        <v>15760178.560000001</v>
      </c>
      <c r="O112" s="27">
        <v>231.67381800000001</v>
      </c>
      <c r="P112" s="27">
        <v>2.6466884206823305</v>
      </c>
      <c r="Q112" s="27">
        <v>43.842596</v>
      </c>
      <c r="R112" s="27">
        <v>800.08951200000001</v>
      </c>
      <c r="S112" s="27">
        <v>6.5483664600000002E-9</v>
      </c>
      <c r="T112" s="27">
        <v>21.743650757509968</v>
      </c>
      <c r="U112" s="27">
        <v>100.934</v>
      </c>
      <c r="V112" s="27">
        <v>-598.31568724729459</v>
      </c>
      <c r="W112" s="27">
        <v>69.220532800000001</v>
      </c>
      <c r="X112" s="27">
        <v>94.850362000000004</v>
      </c>
      <c r="Y112" s="27">
        <v>177.97</v>
      </c>
      <c r="Z112" s="27">
        <v>255.707899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2.6466884206823305</v>
      </c>
    </row>
    <row r="113" spans="1:40" x14ac:dyDescent="0.3">
      <c r="A113" s="27">
        <v>27</v>
      </c>
      <c r="B113" s="27">
        <v>10</v>
      </c>
      <c r="C113" s="27">
        <v>12.340974875508381</v>
      </c>
      <c r="D113" s="27">
        <v>10</v>
      </c>
      <c r="E113" s="27">
        <v>8</v>
      </c>
      <c r="F113" s="27">
        <v>0.38016769126963224</v>
      </c>
      <c r="G113" s="27">
        <v>24</v>
      </c>
      <c r="H113" s="27">
        <v>7</v>
      </c>
      <c r="I113" s="27">
        <v>0.30504105973423601</v>
      </c>
      <c r="J113" s="27">
        <v>328826245.33577734</v>
      </c>
      <c r="K113" s="27">
        <v>165530000</v>
      </c>
      <c r="L113" s="27">
        <v>79940637.818068132</v>
      </c>
      <c r="M113" s="27">
        <v>77108400</v>
      </c>
      <c r="N113" s="27">
        <v>15763646.880000001</v>
      </c>
      <c r="O113" s="27">
        <v>231.671582</v>
      </c>
      <c r="P113" s="27">
        <v>2.6483543437926027</v>
      </c>
      <c r="Q113" s="27">
        <v>43.7619659</v>
      </c>
      <c r="R113" s="27">
        <v>802.18814400000008</v>
      </c>
      <c r="S113" s="27">
        <v>1.30188988E-10</v>
      </c>
      <c r="T113" s="27">
        <v>21.379755706238644</v>
      </c>
      <c r="U113" s="27">
        <v>100.934</v>
      </c>
      <c r="V113" s="27">
        <v>-622.90354434632957</v>
      </c>
      <c r="W113" s="27">
        <v>69.222894299999993</v>
      </c>
      <c r="X113" s="27">
        <v>94.865957499999993</v>
      </c>
      <c r="Y113" s="27">
        <v>121.52199999999999</v>
      </c>
      <c r="Z113" s="27">
        <v>253.15078600000001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7">
        <v>0</v>
      </c>
      <c r="AH113" s="27">
        <v>0</v>
      </c>
      <c r="AI113" s="27">
        <v>0</v>
      </c>
      <c r="AJ113" s="27">
        <v>0</v>
      </c>
      <c r="AK113" s="27">
        <v>0</v>
      </c>
      <c r="AL113" s="27">
        <v>0</v>
      </c>
      <c r="AM113" s="27">
        <v>0</v>
      </c>
      <c r="AN113" s="27">
        <v>2.6483543437926027</v>
      </c>
    </row>
    <row r="114" spans="1:40" x14ac:dyDescent="0.3">
      <c r="A114" s="27">
        <v>37</v>
      </c>
      <c r="B114" s="27">
        <v>17</v>
      </c>
      <c r="C114" s="27">
        <v>5.2112784520382398</v>
      </c>
      <c r="D114" s="27">
        <v>12</v>
      </c>
      <c r="E114" s="27">
        <v>5</v>
      </c>
      <c r="F114" s="27">
        <v>0.32799939848760529</v>
      </c>
      <c r="G114" s="27">
        <v>23</v>
      </c>
      <c r="H114" s="27">
        <v>14</v>
      </c>
      <c r="I114" s="27">
        <v>1.2626982849057493</v>
      </c>
      <c r="J114" s="27">
        <v>327760208.79990953</v>
      </c>
      <c r="K114" s="27">
        <v>165449000</v>
      </c>
      <c r="L114" s="27">
        <v>79924420.068344533</v>
      </c>
      <c r="M114" s="27">
        <v>77277200</v>
      </c>
      <c r="N114" s="27">
        <v>15759513.84</v>
      </c>
      <c r="O114" s="27">
        <v>231.60709800000001</v>
      </c>
      <c r="P114" s="27">
        <v>2.6412059870286959</v>
      </c>
      <c r="Q114" s="27">
        <v>43.815845299999999</v>
      </c>
      <c r="R114" s="27">
        <v>800.649945</v>
      </c>
      <c r="S114" s="27">
        <v>4.7322960199999997E-8</v>
      </c>
      <c r="T114" s="27">
        <v>21.700146919064235</v>
      </c>
      <c r="U114" s="27">
        <v>100.934</v>
      </c>
      <c r="V114" s="27">
        <v>-610.10941270342028</v>
      </c>
      <c r="W114" s="27">
        <v>69.219423399999997</v>
      </c>
      <c r="X114" s="27">
        <v>94.843569599999995</v>
      </c>
      <c r="Y114" s="27">
        <v>144.29</v>
      </c>
      <c r="Z114" s="27">
        <v>254.321619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2.6412059870286959</v>
      </c>
    </row>
    <row r="115" spans="1:40" x14ac:dyDescent="0.3">
      <c r="A115" s="27">
        <v>28</v>
      </c>
      <c r="B115" s="27">
        <v>10</v>
      </c>
      <c r="C115" s="27">
        <v>1.3069832987264789</v>
      </c>
      <c r="D115" s="27">
        <v>20</v>
      </c>
      <c r="E115" s="27">
        <v>5</v>
      </c>
      <c r="F115" s="27">
        <v>0.31170880013475299</v>
      </c>
      <c r="G115" s="27">
        <v>23</v>
      </c>
      <c r="H115" s="27">
        <v>7</v>
      </c>
      <c r="I115" s="27">
        <v>1.312028305226129</v>
      </c>
      <c r="J115" s="27">
        <v>326784385.40936381</v>
      </c>
      <c r="K115" s="27">
        <v>165429000</v>
      </c>
      <c r="L115" s="27">
        <v>79926021.835551202</v>
      </c>
      <c r="M115" s="27">
        <v>77679900</v>
      </c>
      <c r="N115" s="27">
        <v>15759923.68</v>
      </c>
      <c r="O115" s="27">
        <v>230.20513600000001</v>
      </c>
      <c r="P115" s="27">
        <v>2.6463078972940886</v>
      </c>
      <c r="Q115" s="27">
        <v>43.768339599999997</v>
      </c>
      <c r="R115" s="27">
        <v>801.30543499999999</v>
      </c>
      <c r="S115" s="27">
        <v>4.9111449099999998E-8</v>
      </c>
      <c r="T115" s="27">
        <v>21.773213770729043</v>
      </c>
      <c r="U115" s="27">
        <v>100.934</v>
      </c>
      <c r="V115" s="27">
        <v>-517.21223067053177</v>
      </c>
      <c r="W115" s="27">
        <v>69.458470700000007</v>
      </c>
      <c r="X115" s="27">
        <v>96.0990951</v>
      </c>
      <c r="Y115" s="27">
        <v>170.55</v>
      </c>
      <c r="Z115" s="27">
        <v>254.26613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0</v>
      </c>
      <c r="AJ115" s="27">
        <v>0</v>
      </c>
      <c r="AK115" s="27">
        <v>0</v>
      </c>
      <c r="AL115" s="27">
        <v>0</v>
      </c>
      <c r="AM115" s="27">
        <v>0</v>
      </c>
      <c r="AN115" s="27">
        <v>2.6463078972940886</v>
      </c>
    </row>
    <row r="116" spans="1:40" x14ac:dyDescent="0.3">
      <c r="A116" s="27">
        <v>39</v>
      </c>
      <c r="B116" s="27">
        <v>15</v>
      </c>
      <c r="C116" s="27">
        <v>1.1642787264409942</v>
      </c>
      <c r="D116" s="27">
        <v>15</v>
      </c>
      <c r="E116" s="27">
        <v>9</v>
      </c>
      <c r="F116" s="27">
        <v>0.31448243458355496</v>
      </c>
      <c r="G116" s="27">
        <v>29</v>
      </c>
      <c r="H116" s="27">
        <v>13</v>
      </c>
      <c r="I116" s="27">
        <v>1.1268173340222984</v>
      </c>
      <c r="J116" s="27">
        <v>327203291.22991914</v>
      </c>
      <c r="K116" s="27">
        <v>165461000</v>
      </c>
      <c r="L116" s="27">
        <v>79924520.139221802</v>
      </c>
      <c r="M116" s="27">
        <v>77785000</v>
      </c>
      <c r="N116" s="27">
        <v>15759530.32</v>
      </c>
      <c r="O116" s="27">
        <v>229.69081399999999</v>
      </c>
      <c r="P116" s="27">
        <v>2.6520666928322907</v>
      </c>
      <c r="Q116" s="27">
        <v>43.755559300000002</v>
      </c>
      <c r="R116" s="27">
        <v>801.91216299999996</v>
      </c>
      <c r="S116" s="27">
        <v>2.5075645299999999E-11</v>
      </c>
      <c r="T116" s="27">
        <v>21.746081625957654</v>
      </c>
      <c r="U116" s="27">
        <v>100.934</v>
      </c>
      <c r="V116" s="27">
        <v>-517.67255111944996</v>
      </c>
      <c r="W116" s="27">
        <v>69.495350200000004</v>
      </c>
      <c r="X116" s="27">
        <v>96.253569100000007</v>
      </c>
      <c r="Y116" s="27">
        <v>144.29</v>
      </c>
      <c r="Z116" s="27">
        <v>254.14897999999999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2.6520666928322907</v>
      </c>
    </row>
    <row r="117" spans="1:40" x14ac:dyDescent="0.3">
      <c r="A117" s="27">
        <v>27</v>
      </c>
      <c r="B117" s="27">
        <v>16</v>
      </c>
      <c r="C117" s="27">
        <v>14.742950714457788</v>
      </c>
      <c r="D117" s="27">
        <v>29</v>
      </c>
      <c r="E117" s="27">
        <v>6</v>
      </c>
      <c r="F117" s="27">
        <v>0.37547445723053019</v>
      </c>
      <c r="G117" s="27">
        <v>28</v>
      </c>
      <c r="H117" s="27">
        <v>7</v>
      </c>
      <c r="I117" s="27">
        <v>0.99522851246106758</v>
      </c>
      <c r="J117" s="27">
        <v>329897832.21884435</v>
      </c>
      <c r="K117" s="27">
        <v>165573000</v>
      </c>
      <c r="L117" s="27">
        <v>79926622.499126837</v>
      </c>
      <c r="M117" s="27">
        <v>77394100</v>
      </c>
      <c r="N117" s="27">
        <v>15760078.48</v>
      </c>
      <c r="O117" s="27">
        <v>231.22141400000001</v>
      </c>
      <c r="P117" s="27">
        <v>2.6520231050247682</v>
      </c>
      <c r="Q117" s="27">
        <v>43.884411</v>
      </c>
      <c r="R117" s="27">
        <v>800.38732300000004</v>
      </c>
      <c r="S117" s="27">
        <v>3.8316091899999997E-9</v>
      </c>
      <c r="T117" s="27">
        <v>21.804192192713316</v>
      </c>
      <c r="U117" s="27">
        <v>100.934</v>
      </c>
      <c r="V117" s="27">
        <v>-602.43038214720889</v>
      </c>
      <c r="W117" s="27">
        <v>69.220712000000006</v>
      </c>
      <c r="X117" s="27">
        <v>94.854517400000006</v>
      </c>
      <c r="Y117" s="27">
        <v>177.97</v>
      </c>
      <c r="Z117" s="27">
        <v>254.08225999999999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0</v>
      </c>
      <c r="AI117" s="27">
        <v>0</v>
      </c>
      <c r="AJ117" s="27">
        <v>0</v>
      </c>
      <c r="AK117" s="27">
        <v>0</v>
      </c>
      <c r="AL117" s="27">
        <v>0</v>
      </c>
      <c r="AM117" s="27">
        <v>0</v>
      </c>
      <c r="AN117" s="27">
        <v>2.6520231050247682</v>
      </c>
    </row>
    <row r="118" spans="1:40" x14ac:dyDescent="0.3">
      <c r="A118" s="27">
        <v>27</v>
      </c>
      <c r="B118" s="27">
        <v>12</v>
      </c>
      <c r="C118" s="27">
        <v>8.2000922346393672</v>
      </c>
      <c r="D118" s="27">
        <v>18</v>
      </c>
      <c r="E118" s="27">
        <v>5</v>
      </c>
      <c r="F118" s="27">
        <v>0.3118593891069682</v>
      </c>
      <c r="G118" s="27">
        <v>16</v>
      </c>
      <c r="H118" s="27">
        <v>9</v>
      </c>
      <c r="I118" s="27">
        <v>1.3377099249257827</v>
      </c>
      <c r="J118" s="27">
        <v>328116698.90527058</v>
      </c>
      <c r="K118" s="27">
        <v>165454000</v>
      </c>
      <c r="L118" s="27">
        <v>79925321.075829014</v>
      </c>
      <c r="M118" s="27">
        <v>77256100</v>
      </c>
      <c r="N118" s="27">
        <v>15759744</v>
      </c>
      <c r="O118" s="27">
        <v>231.80967999999999</v>
      </c>
      <c r="P118" s="27">
        <v>2.6404388000545498</v>
      </c>
      <c r="Q118" s="27">
        <v>43.813550800000002</v>
      </c>
      <c r="R118" s="27">
        <v>800.24463199999991</v>
      </c>
      <c r="S118" s="27">
        <v>5.3650246600000003E-8</v>
      </c>
      <c r="T118" s="27">
        <v>21.725972414972951</v>
      </c>
      <c r="U118" s="27">
        <v>100.934</v>
      </c>
      <c r="V118" s="27">
        <v>-600.12959584159898</v>
      </c>
      <c r="W118" s="27">
        <v>69.223292400000005</v>
      </c>
      <c r="X118" s="27">
        <v>94.868170399999997</v>
      </c>
      <c r="Y118" s="27">
        <v>170.55</v>
      </c>
      <c r="Z118" s="27">
        <v>254.38713100000001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2.6404388000545498</v>
      </c>
    </row>
    <row r="119" spans="1:40" x14ac:dyDescent="0.3">
      <c r="A119" s="27">
        <v>39</v>
      </c>
      <c r="B119" s="27">
        <v>10</v>
      </c>
      <c r="C119" s="27">
        <v>8.1498507112829017</v>
      </c>
      <c r="D119" s="27">
        <v>14</v>
      </c>
      <c r="E119" s="27">
        <v>12</v>
      </c>
      <c r="F119" s="27">
        <v>0.36874602329071987</v>
      </c>
      <c r="G119" s="27">
        <v>27</v>
      </c>
      <c r="H119" s="27">
        <v>13</v>
      </c>
      <c r="I119" s="27">
        <v>0.36014323144737725</v>
      </c>
      <c r="J119" s="27">
        <v>328657530.07477975</v>
      </c>
      <c r="K119" s="27">
        <v>165495000</v>
      </c>
      <c r="L119" s="27">
        <v>79931928.302845582</v>
      </c>
      <c r="M119" s="27">
        <v>77118800</v>
      </c>
      <c r="N119" s="27">
        <v>15761430.399999999</v>
      </c>
      <c r="O119" s="27">
        <v>231.780047</v>
      </c>
      <c r="P119" s="27">
        <v>2.6457561993688334</v>
      </c>
      <c r="Q119" s="27">
        <v>43.757502500000001</v>
      </c>
      <c r="R119" s="27">
        <v>801.96420899999998</v>
      </c>
      <c r="S119" s="27">
        <v>7.9479753000000006E-14</v>
      </c>
      <c r="T119" s="27">
        <v>21.330290993165001</v>
      </c>
      <c r="U119" s="27">
        <v>100.934</v>
      </c>
      <c r="V119" s="27">
        <v>-622.22925691653734</v>
      </c>
      <c r="W119" s="27">
        <v>69.222427100000004</v>
      </c>
      <c r="X119" s="27">
        <v>94.859880799999999</v>
      </c>
      <c r="Y119" s="27">
        <v>121.52199999999999</v>
      </c>
      <c r="Z119" s="27">
        <v>253.81480500000001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2.6457561993688334</v>
      </c>
    </row>
    <row r="120" spans="1:40" x14ac:dyDescent="0.3">
      <c r="A120" s="27">
        <v>27</v>
      </c>
      <c r="B120" s="27">
        <v>18</v>
      </c>
      <c r="C120" s="27">
        <v>14.244652429789106</v>
      </c>
      <c r="D120" s="27">
        <v>10</v>
      </c>
      <c r="E120" s="27">
        <v>5</v>
      </c>
      <c r="F120" s="27">
        <v>0.33690654564839473</v>
      </c>
      <c r="G120" s="27">
        <v>26</v>
      </c>
      <c r="H120" s="27">
        <v>12</v>
      </c>
      <c r="I120" s="27">
        <v>1.2050923777664737</v>
      </c>
      <c r="J120" s="27">
        <v>329247340.69519258</v>
      </c>
      <c r="K120" s="27">
        <v>165514000</v>
      </c>
      <c r="L120" s="27">
        <v>79924520.217494965</v>
      </c>
      <c r="M120" s="27">
        <v>77266200</v>
      </c>
      <c r="N120" s="27">
        <v>15759548.640000001</v>
      </c>
      <c r="O120" s="27">
        <v>231.55405500000001</v>
      </c>
      <c r="P120" s="27">
        <v>2.6476197571594517</v>
      </c>
      <c r="Q120" s="27">
        <v>43.806813699999999</v>
      </c>
      <c r="R120" s="27">
        <v>800.97607500000004</v>
      </c>
      <c r="S120" s="27">
        <v>4.5311506099999999E-8</v>
      </c>
      <c r="T120" s="27">
        <v>21.663149989780134</v>
      </c>
      <c r="U120" s="27">
        <v>100.934</v>
      </c>
      <c r="V120" s="27">
        <v>-613.81968337471062</v>
      </c>
      <c r="W120" s="27">
        <v>69.2209146</v>
      </c>
      <c r="X120" s="27">
        <v>94.855169000000004</v>
      </c>
      <c r="Y120" s="27">
        <v>144.29</v>
      </c>
      <c r="Z120" s="27">
        <v>254.28187800000001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</v>
      </c>
      <c r="AH120" s="27">
        <v>0</v>
      </c>
      <c r="AI120" s="27">
        <v>0</v>
      </c>
      <c r="AJ120" s="27">
        <v>0</v>
      </c>
      <c r="AK120" s="27">
        <v>0</v>
      </c>
      <c r="AL120" s="27">
        <v>0</v>
      </c>
      <c r="AM120" s="27">
        <v>0</v>
      </c>
      <c r="AN120" s="27">
        <v>2.6476197571594517</v>
      </c>
    </row>
    <row r="121" spans="1:40" x14ac:dyDescent="0.3">
      <c r="A121" s="27">
        <v>38</v>
      </c>
      <c r="B121" s="27">
        <v>11</v>
      </c>
      <c r="C121" s="27">
        <v>1.2537683432654978</v>
      </c>
      <c r="D121" s="27">
        <v>25</v>
      </c>
      <c r="E121" s="27">
        <v>14</v>
      </c>
      <c r="F121" s="27">
        <v>0.32712541510957843</v>
      </c>
      <c r="G121" s="27">
        <v>11</v>
      </c>
      <c r="H121" s="27">
        <v>8</v>
      </c>
      <c r="I121" s="27">
        <v>0.7365256863080889</v>
      </c>
      <c r="J121" s="27">
        <v>326912178.2148487</v>
      </c>
      <c r="K121" s="27">
        <v>165451000</v>
      </c>
      <c r="L121" s="27">
        <v>79933129.559735894</v>
      </c>
      <c r="M121" s="27">
        <v>77779600</v>
      </c>
      <c r="N121" s="27">
        <v>15761529.280000001</v>
      </c>
      <c r="O121" s="27">
        <v>230.07558800000001</v>
      </c>
      <c r="P121" s="27">
        <v>2.6466842189721302</v>
      </c>
      <c r="Q121" s="27">
        <v>43.781686100000002</v>
      </c>
      <c r="R121" s="27">
        <v>801.32326899999998</v>
      </c>
      <c r="S121" s="27">
        <v>4.20862839E-8</v>
      </c>
      <c r="T121" s="27">
        <v>21.826720115521251</v>
      </c>
      <c r="U121" s="27">
        <v>100.934</v>
      </c>
      <c r="V121" s="27">
        <v>-513.10807084676571</v>
      </c>
      <c r="W121" s="27">
        <v>69.462490399999993</v>
      </c>
      <c r="X121" s="27">
        <v>96.111312299999994</v>
      </c>
      <c r="Y121" s="27">
        <v>177.97</v>
      </c>
      <c r="Z121" s="27">
        <v>257.102306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0</v>
      </c>
      <c r="AI121" s="27">
        <v>0</v>
      </c>
      <c r="AJ121" s="27">
        <v>0</v>
      </c>
      <c r="AK121" s="27">
        <v>0</v>
      </c>
      <c r="AL121" s="27">
        <v>0</v>
      </c>
      <c r="AM121" s="27">
        <v>0</v>
      </c>
      <c r="AN121" s="27">
        <v>2.6466842189721302</v>
      </c>
    </row>
    <row r="122" spans="1:40" x14ac:dyDescent="0.3">
      <c r="A122" s="27">
        <v>27</v>
      </c>
      <c r="B122" s="27">
        <v>19</v>
      </c>
      <c r="C122" s="27">
        <v>6.6200418719982315</v>
      </c>
      <c r="D122" s="27">
        <v>12</v>
      </c>
      <c r="E122" s="27">
        <v>5</v>
      </c>
      <c r="F122" s="27">
        <v>0.34159354395588959</v>
      </c>
      <c r="G122" s="27">
        <v>28</v>
      </c>
      <c r="H122" s="27">
        <v>10</v>
      </c>
      <c r="I122" s="27">
        <v>1.1246338870193842</v>
      </c>
      <c r="J122" s="27">
        <v>327981586.30253309</v>
      </c>
      <c r="K122" s="27">
        <v>165467000</v>
      </c>
      <c r="L122" s="27">
        <v>79924920.60927166</v>
      </c>
      <c r="M122" s="27">
        <v>77309300</v>
      </c>
      <c r="N122" s="27">
        <v>15759639.119999999</v>
      </c>
      <c r="O122" s="27">
        <v>231.46164400000001</v>
      </c>
      <c r="P122" s="27">
        <v>2.6432461307729191</v>
      </c>
      <c r="Q122" s="27">
        <v>43.825392100000002</v>
      </c>
      <c r="R122" s="27">
        <v>800.73284699999999</v>
      </c>
      <c r="S122" s="27">
        <v>4.1788112100000001E-8</v>
      </c>
      <c r="T122" s="27">
        <v>21.715135205038774</v>
      </c>
      <c r="U122" s="27">
        <v>100.934</v>
      </c>
      <c r="V122" s="27">
        <v>-610.49363044208269</v>
      </c>
      <c r="W122" s="27">
        <v>69.224615400000005</v>
      </c>
      <c r="X122" s="27">
        <v>94.872905900000006</v>
      </c>
      <c r="Y122" s="27">
        <v>144.29</v>
      </c>
      <c r="Z122" s="27">
        <v>254.24163999999999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I122" s="27">
        <v>0</v>
      </c>
      <c r="AJ122" s="27">
        <v>0</v>
      </c>
      <c r="AK122" s="27">
        <v>0</v>
      </c>
      <c r="AL122" s="27">
        <v>0</v>
      </c>
      <c r="AM122" s="27">
        <v>0</v>
      </c>
      <c r="AN122" s="27">
        <v>2.6432461307729191</v>
      </c>
    </row>
    <row r="123" spans="1:40" x14ac:dyDescent="0.3">
      <c r="A123" s="27">
        <v>39</v>
      </c>
      <c r="B123" s="27">
        <v>10</v>
      </c>
      <c r="C123" s="27">
        <v>8.9055462936813754</v>
      </c>
      <c r="D123" s="27">
        <v>28</v>
      </c>
      <c r="E123" s="27">
        <v>7</v>
      </c>
      <c r="F123" s="27">
        <v>0.30506884591725714</v>
      </c>
      <c r="G123" s="27">
        <v>16</v>
      </c>
      <c r="H123" s="27">
        <v>7</v>
      </c>
      <c r="I123" s="27">
        <v>0.43877908166769769</v>
      </c>
      <c r="J123" s="27">
        <v>328712414.46621537</v>
      </c>
      <c r="K123" s="27">
        <v>165535000</v>
      </c>
      <c r="L123" s="27">
        <v>79933730.265632436</v>
      </c>
      <c r="M123" s="27">
        <v>77253300</v>
      </c>
      <c r="N123" s="27">
        <v>15761869.76</v>
      </c>
      <c r="O123" s="27">
        <v>231.86051499999999</v>
      </c>
      <c r="P123" s="27">
        <v>2.6431995098585648</v>
      </c>
      <c r="Q123" s="27">
        <v>43.824533799999998</v>
      </c>
      <c r="R123" s="27">
        <v>799.917778</v>
      </c>
      <c r="S123" s="27">
        <v>1.36574737E-9</v>
      </c>
      <c r="T123" s="27">
        <v>21.695166574184956</v>
      </c>
      <c r="U123" s="27">
        <v>100.934</v>
      </c>
      <c r="V123" s="27">
        <v>-596.60841533606947</v>
      </c>
      <c r="W123" s="27">
        <v>69.221939800000001</v>
      </c>
      <c r="X123" s="27">
        <v>94.856740200000004</v>
      </c>
      <c r="Y123" s="27">
        <v>177.97</v>
      </c>
      <c r="Z123" s="27">
        <v>254.004841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2.6431995098585648</v>
      </c>
    </row>
    <row r="124" spans="1:40" x14ac:dyDescent="0.3">
      <c r="A124" s="27">
        <v>31</v>
      </c>
      <c r="B124" s="27">
        <v>14</v>
      </c>
      <c r="C124" s="27">
        <v>1.1695204009036666</v>
      </c>
      <c r="D124" s="27">
        <v>25</v>
      </c>
      <c r="E124" s="27">
        <v>7</v>
      </c>
      <c r="F124" s="27">
        <v>0.3099799594101752</v>
      </c>
      <c r="G124" s="27">
        <v>11</v>
      </c>
      <c r="H124" s="27">
        <v>7</v>
      </c>
      <c r="I124" s="27">
        <v>1.3722038751040695</v>
      </c>
      <c r="J124" s="27">
        <v>326717223.49424666</v>
      </c>
      <c r="K124" s="27">
        <v>165429000</v>
      </c>
      <c r="L124" s="27">
        <v>79928424.443013087</v>
      </c>
      <c r="M124" s="27">
        <v>77796200</v>
      </c>
      <c r="N124" s="27">
        <v>15760486.16</v>
      </c>
      <c r="O124" s="27">
        <v>229.83897899999999</v>
      </c>
      <c r="P124" s="27">
        <v>2.6480916814901514</v>
      </c>
      <c r="Q124" s="27">
        <v>43.770143300000001</v>
      </c>
      <c r="R124" s="27">
        <v>801.40975800000001</v>
      </c>
      <c r="S124" s="27">
        <v>1.08743622E-9</v>
      </c>
      <c r="T124" s="27">
        <v>21.826366478793155</v>
      </c>
      <c r="U124" s="27">
        <v>91.850000000000009</v>
      </c>
      <c r="V124" s="27">
        <v>-503.38368874256514</v>
      </c>
      <c r="W124" s="27">
        <v>69.503677699999997</v>
      </c>
      <c r="X124" s="27">
        <v>96.287408299999996</v>
      </c>
      <c r="Y124" s="27">
        <v>177.97</v>
      </c>
      <c r="Z124" s="27">
        <v>254.79365799999999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2.6480916814901514</v>
      </c>
    </row>
    <row r="125" spans="1:40" x14ac:dyDescent="0.3">
      <c r="A125" s="27">
        <v>39</v>
      </c>
      <c r="B125" s="27">
        <v>17</v>
      </c>
      <c r="C125" s="27">
        <v>3.852802650176459</v>
      </c>
      <c r="D125" s="27">
        <v>24</v>
      </c>
      <c r="E125" s="27">
        <v>5</v>
      </c>
      <c r="F125" s="27">
        <v>0.31931530638847</v>
      </c>
      <c r="G125" s="27">
        <v>23</v>
      </c>
      <c r="H125" s="27">
        <v>10</v>
      </c>
      <c r="I125" s="27">
        <v>0.32161358548754487</v>
      </c>
      <c r="J125" s="27">
        <v>327745847.56649709</v>
      </c>
      <c r="K125" s="27">
        <v>165479000</v>
      </c>
      <c r="L125" s="27">
        <v>79939436.398262814</v>
      </c>
      <c r="M125" s="27">
        <v>77230700</v>
      </c>
      <c r="N125" s="27">
        <v>15763308.32</v>
      </c>
      <c r="O125" s="27">
        <v>231.826819</v>
      </c>
      <c r="P125" s="27">
        <v>2.6401173271295382</v>
      </c>
      <c r="Q125" s="27">
        <v>43.824296599999997</v>
      </c>
      <c r="R125" s="27">
        <v>800.12136599999997</v>
      </c>
      <c r="S125" s="27">
        <v>4.9605745999999999E-8</v>
      </c>
      <c r="T125" s="27">
        <v>21.749561382103948</v>
      </c>
      <c r="U125" s="27">
        <v>100.934</v>
      </c>
      <c r="V125" s="27">
        <v>-597.78136383200899</v>
      </c>
      <c r="W125" s="27">
        <v>69.220101400000004</v>
      </c>
      <c r="X125" s="27">
        <v>94.850015499999998</v>
      </c>
      <c r="Y125" s="27">
        <v>177.97</v>
      </c>
      <c r="Z125" s="27">
        <v>253.48813999999999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2.6401173271295382</v>
      </c>
    </row>
    <row r="126" spans="1:40" x14ac:dyDescent="0.3">
      <c r="A126" s="27">
        <v>39</v>
      </c>
      <c r="B126" s="27">
        <v>19</v>
      </c>
      <c r="C126" s="27">
        <v>14.206772337193531</v>
      </c>
      <c r="D126" s="27">
        <v>25</v>
      </c>
      <c r="E126" s="27">
        <v>13</v>
      </c>
      <c r="F126" s="27">
        <v>0.46793206792372899</v>
      </c>
      <c r="G126" s="27">
        <v>28</v>
      </c>
      <c r="H126" s="27">
        <v>7</v>
      </c>
      <c r="I126" s="27">
        <v>0.89805070801780107</v>
      </c>
      <c r="J126" s="27">
        <v>330148123.56239015</v>
      </c>
      <c r="K126" s="27">
        <v>165589000</v>
      </c>
      <c r="L126" s="27">
        <v>79927022.920281649</v>
      </c>
      <c r="M126" s="27">
        <v>77680200</v>
      </c>
      <c r="N126" s="27">
        <v>15760177.120000001</v>
      </c>
      <c r="O126" s="27">
        <v>229.679847</v>
      </c>
      <c r="P126" s="27">
        <v>2.6653715529010351</v>
      </c>
      <c r="Q126" s="27">
        <v>43.991886200000003</v>
      </c>
      <c r="R126" s="27">
        <v>801.94030699999996</v>
      </c>
      <c r="S126" s="27">
        <v>3.0589167099999999E-16</v>
      </c>
      <c r="T126" s="27">
        <v>21.968620988889452</v>
      </c>
      <c r="U126" s="27">
        <v>100.934</v>
      </c>
      <c r="V126" s="27">
        <v>-627.98109862720219</v>
      </c>
      <c r="W126" s="27">
        <v>69.218582499999997</v>
      </c>
      <c r="X126" s="27">
        <v>94.825939000000005</v>
      </c>
      <c r="Y126" s="27">
        <v>170.55</v>
      </c>
      <c r="Z126" s="27">
        <v>253.61790400000001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2.6653715529010351</v>
      </c>
    </row>
    <row r="127" spans="1:40" x14ac:dyDescent="0.3">
      <c r="A127" s="27">
        <v>27</v>
      </c>
      <c r="B127" s="27">
        <v>10</v>
      </c>
      <c r="C127" s="27">
        <v>12.843420114327889</v>
      </c>
      <c r="D127" s="27">
        <v>16</v>
      </c>
      <c r="E127" s="27">
        <v>14</v>
      </c>
      <c r="F127" s="27">
        <v>0.3549388056143411</v>
      </c>
      <c r="G127" s="27">
        <v>28</v>
      </c>
      <c r="H127" s="27">
        <v>9</v>
      </c>
      <c r="I127" s="27">
        <v>1.1859806292463928</v>
      </c>
      <c r="J127" s="27">
        <v>329264700.62895572</v>
      </c>
      <c r="K127" s="27">
        <v>165533000</v>
      </c>
      <c r="L127" s="27">
        <v>79925120.802797437</v>
      </c>
      <c r="M127" s="27">
        <v>77104000</v>
      </c>
      <c r="N127" s="27">
        <v>15759683.520000001</v>
      </c>
      <c r="O127" s="27">
        <v>231.92312200000001</v>
      </c>
      <c r="P127" s="27">
        <v>2.6469062203539737</v>
      </c>
      <c r="Q127" s="27">
        <v>43.746607099999999</v>
      </c>
      <c r="R127" s="27">
        <v>801.8336579999999</v>
      </c>
      <c r="S127" s="27">
        <v>2.6350446099999999E-15</v>
      </c>
      <c r="T127" s="27">
        <v>21.298068036526701</v>
      </c>
      <c r="U127" s="27">
        <v>100.934</v>
      </c>
      <c r="V127" s="27">
        <v>-620.81965075547032</v>
      </c>
      <c r="W127" s="27">
        <v>69.222727000000006</v>
      </c>
      <c r="X127" s="27">
        <v>94.865312099999997</v>
      </c>
      <c r="Y127" s="27">
        <v>121.52199999999999</v>
      </c>
      <c r="Z127" s="27">
        <v>254.29514900000001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0</v>
      </c>
      <c r="AJ127" s="27">
        <v>0</v>
      </c>
      <c r="AK127" s="27">
        <v>0</v>
      </c>
      <c r="AL127" s="27">
        <v>0</v>
      </c>
      <c r="AM127" s="27">
        <v>0</v>
      </c>
      <c r="AN127" s="27">
        <v>2.6469062203539737</v>
      </c>
    </row>
    <row r="128" spans="1:40" x14ac:dyDescent="0.3">
      <c r="A128" s="27">
        <v>27</v>
      </c>
      <c r="B128" s="27">
        <v>19</v>
      </c>
      <c r="C128" s="27">
        <v>5.3632684119471508</v>
      </c>
      <c r="D128" s="27">
        <v>29</v>
      </c>
      <c r="E128" s="27">
        <v>5</v>
      </c>
      <c r="F128" s="27">
        <v>0.36815108011671477</v>
      </c>
      <c r="G128" s="27">
        <v>22</v>
      </c>
      <c r="H128" s="27">
        <v>8</v>
      </c>
      <c r="I128" s="27">
        <v>1.2194227270474496</v>
      </c>
      <c r="J128" s="27">
        <v>327954037.90562868</v>
      </c>
      <c r="K128" s="27">
        <v>165468000</v>
      </c>
      <c r="L128" s="27">
        <v>79925521.311264828</v>
      </c>
      <c r="M128" s="27">
        <v>77354900</v>
      </c>
      <c r="N128" s="27">
        <v>15759802.32</v>
      </c>
      <c r="O128" s="27">
        <v>231.41370699999999</v>
      </c>
      <c r="P128" s="27">
        <v>2.6428620927110389</v>
      </c>
      <c r="Q128" s="27">
        <v>43.8638999</v>
      </c>
      <c r="R128" s="27">
        <v>800.29235899999992</v>
      </c>
      <c r="S128" s="27">
        <v>3.1950216199999998E-8</v>
      </c>
      <c r="T128" s="27">
        <v>21.808386628513823</v>
      </c>
      <c r="U128" s="27">
        <v>100.934</v>
      </c>
      <c r="V128" s="27">
        <v>-597.87014297346218</v>
      </c>
      <c r="W128" s="27">
        <v>69.227290100000005</v>
      </c>
      <c r="X128" s="27">
        <v>94.883231600000002</v>
      </c>
      <c r="Y128" s="27">
        <v>177.97</v>
      </c>
      <c r="Z128" s="27">
        <v>254.20506700000001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2.6428620927110389</v>
      </c>
    </row>
    <row r="129" spans="1:40" x14ac:dyDescent="0.3">
      <c r="A129" s="27">
        <v>28</v>
      </c>
      <c r="B129" s="27">
        <v>11</v>
      </c>
      <c r="C129" s="27">
        <v>7.8761090649752044</v>
      </c>
      <c r="D129" s="27">
        <v>13</v>
      </c>
      <c r="E129" s="27">
        <v>5</v>
      </c>
      <c r="F129" s="27">
        <v>0.32506224766044778</v>
      </c>
      <c r="G129" s="27">
        <v>18</v>
      </c>
      <c r="H129" s="27">
        <v>14</v>
      </c>
      <c r="I129" s="27">
        <v>0.52163111383208804</v>
      </c>
      <c r="J129" s="27">
        <v>327906751.33482546</v>
      </c>
      <c r="K129" s="27">
        <v>165457000</v>
      </c>
      <c r="L129" s="27">
        <v>79929825.938420832</v>
      </c>
      <c r="M129" s="27">
        <v>77334000</v>
      </c>
      <c r="N129" s="27">
        <v>15760729.68</v>
      </c>
      <c r="O129" s="27">
        <v>231.608689</v>
      </c>
      <c r="P129" s="27">
        <v>2.6406872637025556</v>
      </c>
      <c r="Q129" s="27">
        <v>43.816595800000002</v>
      </c>
      <c r="R129" s="27">
        <v>800.57112399999994</v>
      </c>
      <c r="S129" s="27">
        <v>4.8052501000000003E-8</v>
      </c>
      <c r="T129" s="27">
        <v>21.711249211619347</v>
      </c>
      <c r="U129" s="27">
        <v>100.934</v>
      </c>
      <c r="V129" s="27">
        <v>-607.03988511577825</v>
      </c>
      <c r="W129" s="27">
        <v>69.2235242</v>
      </c>
      <c r="X129" s="27">
        <v>94.868491800000001</v>
      </c>
      <c r="Y129" s="27">
        <v>144.29</v>
      </c>
      <c r="Z129" s="27">
        <v>256.43710399999998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0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2.6406872637025556</v>
      </c>
    </row>
    <row r="130" spans="1:40" x14ac:dyDescent="0.3">
      <c r="A130" s="27">
        <v>39</v>
      </c>
      <c r="B130" s="27">
        <v>10</v>
      </c>
      <c r="C130" s="27">
        <v>14.636234008516004</v>
      </c>
      <c r="D130" s="27">
        <v>14</v>
      </c>
      <c r="E130" s="27">
        <v>11</v>
      </c>
      <c r="F130" s="27">
        <v>0.37429263875107588</v>
      </c>
      <c r="G130" s="27">
        <v>29</v>
      </c>
      <c r="H130" s="27">
        <v>9</v>
      </c>
      <c r="I130" s="27">
        <v>0.51758150120328861</v>
      </c>
      <c r="J130" s="27">
        <v>330009701.06103033</v>
      </c>
      <c r="K130" s="27">
        <v>165574000</v>
      </c>
      <c r="L130" s="27">
        <v>79927823.761974946</v>
      </c>
      <c r="M130" s="27">
        <v>77285800</v>
      </c>
      <c r="N130" s="27">
        <v>15760375.84</v>
      </c>
      <c r="O130" s="27">
        <v>231.272593</v>
      </c>
      <c r="P130" s="27">
        <v>2.6538508281832791</v>
      </c>
      <c r="Q130" s="27">
        <v>43.816282399999999</v>
      </c>
      <c r="R130" s="27">
        <v>801.60158999999999</v>
      </c>
      <c r="S130" s="27">
        <v>2.89847296E-13</v>
      </c>
      <c r="T130" s="27">
        <v>21.519559929998046</v>
      </c>
      <c r="U130" s="27">
        <v>100.934</v>
      </c>
      <c r="V130" s="27">
        <v>-623.62305265286182</v>
      </c>
      <c r="W130" s="27">
        <v>69.220220499999996</v>
      </c>
      <c r="X130" s="27">
        <v>94.847518800000003</v>
      </c>
      <c r="Y130" s="27">
        <v>121.52199999999999</v>
      </c>
      <c r="Z130" s="27">
        <v>253.88708800000001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2.6538508281832791</v>
      </c>
    </row>
    <row r="131" spans="1:40" x14ac:dyDescent="0.3">
      <c r="A131" s="27">
        <v>38</v>
      </c>
      <c r="B131" s="27">
        <v>10</v>
      </c>
      <c r="C131" s="27">
        <v>6.4179326775822947</v>
      </c>
      <c r="D131" s="27">
        <v>11</v>
      </c>
      <c r="E131" s="27">
        <v>9</v>
      </c>
      <c r="F131" s="27">
        <v>0.30360197062672362</v>
      </c>
      <c r="G131" s="27">
        <v>11</v>
      </c>
      <c r="H131" s="27">
        <v>9</v>
      </c>
      <c r="I131" s="27">
        <v>1.3379648512804665</v>
      </c>
      <c r="J131" s="27">
        <v>327771302.69293129</v>
      </c>
      <c r="K131" s="27">
        <v>165452000</v>
      </c>
      <c r="L131" s="27">
        <v>79929325.390508696</v>
      </c>
      <c r="M131" s="27">
        <v>77062200</v>
      </c>
      <c r="N131" s="27">
        <v>15760569.68</v>
      </c>
      <c r="O131" s="27">
        <v>232.34909300000001</v>
      </c>
      <c r="P131" s="27">
        <v>2.6369455691123109</v>
      </c>
      <c r="Q131" s="27">
        <v>43.703458400000002</v>
      </c>
      <c r="R131" s="27">
        <v>801.86872899999992</v>
      </c>
      <c r="S131" s="27">
        <v>7.3378247700000003E-11</v>
      </c>
      <c r="T131" s="27">
        <v>21.255831413001932</v>
      </c>
      <c r="U131" s="27">
        <v>100.934</v>
      </c>
      <c r="V131" s="27">
        <v>-615.42209481637337</v>
      </c>
      <c r="W131" s="27">
        <v>69.224245499999995</v>
      </c>
      <c r="X131" s="27">
        <v>94.867179699999994</v>
      </c>
      <c r="Y131" s="27">
        <v>121.52199999999999</v>
      </c>
      <c r="Z131" s="27">
        <v>257.67413499999998</v>
      </c>
      <c r="AA131" s="27">
        <v>0</v>
      </c>
      <c r="AB131" s="27">
        <v>0</v>
      </c>
      <c r="AC131" s="27">
        <v>0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I131" s="27">
        <v>0</v>
      </c>
      <c r="AJ131" s="27">
        <v>0</v>
      </c>
      <c r="AK131" s="27">
        <v>0</v>
      </c>
      <c r="AL131" s="27">
        <v>0</v>
      </c>
      <c r="AM131" s="27">
        <v>0</v>
      </c>
      <c r="AN131" s="27">
        <v>2.6369455691123109</v>
      </c>
    </row>
    <row r="132" spans="1:40" x14ac:dyDescent="0.3">
      <c r="A132" s="27">
        <v>32</v>
      </c>
      <c r="B132" s="27">
        <v>19</v>
      </c>
      <c r="C132" s="27">
        <v>3.63427121288733</v>
      </c>
      <c r="D132" s="27">
        <v>29</v>
      </c>
      <c r="E132" s="27">
        <v>5</v>
      </c>
      <c r="F132" s="27">
        <v>0.3890321160429081</v>
      </c>
      <c r="G132" s="27">
        <v>11</v>
      </c>
      <c r="H132" s="27">
        <v>8</v>
      </c>
      <c r="I132" s="27">
        <v>0.53656058390059491</v>
      </c>
      <c r="J132" s="27">
        <v>327409542.5529148</v>
      </c>
      <c r="K132" s="27">
        <v>165463000</v>
      </c>
      <c r="L132" s="27">
        <v>79940537.647346362</v>
      </c>
      <c r="M132" s="27">
        <v>77471100</v>
      </c>
      <c r="N132" s="27">
        <v>15763316.559999999</v>
      </c>
      <c r="O132" s="27">
        <v>231.267866</v>
      </c>
      <c r="P132" s="27">
        <v>2.6406170169051237</v>
      </c>
      <c r="Q132" s="27">
        <v>43.880367900000003</v>
      </c>
      <c r="R132" s="27">
        <v>800.39691000000005</v>
      </c>
      <c r="S132" s="27">
        <v>2.7144772900000001E-8</v>
      </c>
      <c r="T132" s="27">
        <v>21.824666911718353</v>
      </c>
      <c r="U132" s="27">
        <v>100.934</v>
      </c>
      <c r="V132" s="27">
        <v>-600.47572039086629</v>
      </c>
      <c r="W132" s="27">
        <v>69.222130500000006</v>
      </c>
      <c r="X132" s="27">
        <v>94.8638215</v>
      </c>
      <c r="Y132" s="27">
        <v>177.97</v>
      </c>
      <c r="Z132" s="27">
        <v>258.255943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2.6406170169051237</v>
      </c>
    </row>
    <row r="133" spans="1:40" x14ac:dyDescent="0.3">
      <c r="A133" s="27">
        <v>27</v>
      </c>
      <c r="B133" s="27">
        <v>11</v>
      </c>
      <c r="C133" s="27">
        <v>8.4990329566676301</v>
      </c>
      <c r="D133" s="27">
        <v>15</v>
      </c>
      <c r="E133" s="27">
        <v>5</v>
      </c>
      <c r="F133" s="27">
        <v>0.31660020392382016</v>
      </c>
      <c r="G133" s="27">
        <v>29</v>
      </c>
      <c r="H133" s="27">
        <v>11</v>
      </c>
      <c r="I133" s="27">
        <v>0.31749546615651847</v>
      </c>
      <c r="J133" s="27">
        <v>328313056.7909351</v>
      </c>
      <c r="K133" s="27">
        <v>165486000</v>
      </c>
      <c r="L133" s="27">
        <v>79939436.486397162</v>
      </c>
      <c r="M133" s="27">
        <v>77239400</v>
      </c>
      <c r="N133" s="27">
        <v>15763334.48</v>
      </c>
      <c r="O133" s="27">
        <v>231.711555</v>
      </c>
      <c r="P133" s="27">
        <v>2.6430600331708112</v>
      </c>
      <c r="Q133" s="27">
        <v>43.8141672</v>
      </c>
      <c r="R133" s="27">
        <v>800.40294700000004</v>
      </c>
      <c r="S133" s="27">
        <v>5.1560327199999998E-8</v>
      </c>
      <c r="T133" s="27">
        <v>21.717632587135157</v>
      </c>
      <c r="U133" s="27">
        <v>100.934</v>
      </c>
      <c r="V133" s="27">
        <v>-603.51305738330279</v>
      </c>
      <c r="W133" s="27">
        <v>69.223914800000003</v>
      </c>
      <c r="X133" s="27">
        <v>94.870276399999995</v>
      </c>
      <c r="Y133" s="27">
        <v>165.7</v>
      </c>
      <c r="Z133" s="27">
        <v>253.40347199999999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0</v>
      </c>
      <c r="AG133" s="27">
        <v>0</v>
      </c>
      <c r="AH133" s="27">
        <v>0</v>
      </c>
      <c r="AI133" s="27">
        <v>0</v>
      </c>
      <c r="AJ133" s="27">
        <v>0</v>
      </c>
      <c r="AK133" s="27">
        <v>0</v>
      </c>
      <c r="AL133" s="27">
        <v>0</v>
      </c>
      <c r="AM133" s="27">
        <v>0</v>
      </c>
      <c r="AN133" s="27">
        <v>2.6430600331708112</v>
      </c>
    </row>
    <row r="134" spans="1:40" x14ac:dyDescent="0.3">
      <c r="A134" s="27">
        <v>27</v>
      </c>
      <c r="B134" s="27">
        <v>12</v>
      </c>
      <c r="C134" s="27">
        <v>9.3528464132062687</v>
      </c>
      <c r="D134" s="27">
        <v>28</v>
      </c>
      <c r="E134" s="27">
        <v>5</v>
      </c>
      <c r="F134" s="27">
        <v>0.33456770637318528</v>
      </c>
      <c r="G134" s="27">
        <v>18</v>
      </c>
      <c r="H134" s="27">
        <v>7</v>
      </c>
      <c r="I134" s="27">
        <v>0.54962259341498187</v>
      </c>
      <c r="J134" s="27">
        <v>328433211.84616578</v>
      </c>
      <c r="K134" s="27">
        <v>165497000</v>
      </c>
      <c r="L134" s="27">
        <v>79930026.252540693</v>
      </c>
      <c r="M134" s="27">
        <v>77280500</v>
      </c>
      <c r="N134" s="27">
        <v>15760949.68</v>
      </c>
      <c r="O134" s="27">
        <v>231.705321</v>
      </c>
      <c r="P134" s="27">
        <v>2.6429097261303975</v>
      </c>
      <c r="Q134" s="27">
        <v>43.837777099999997</v>
      </c>
      <c r="R134" s="27">
        <v>800.14005899999995</v>
      </c>
      <c r="S134" s="27">
        <v>4.2796506799999998E-8</v>
      </c>
      <c r="T134" s="27">
        <v>21.77429772644777</v>
      </c>
      <c r="U134" s="27">
        <v>100.934</v>
      </c>
      <c r="V134" s="27">
        <v>-596.2923549579898</v>
      </c>
      <c r="W134" s="27">
        <v>69.222649099999998</v>
      </c>
      <c r="X134" s="27">
        <v>94.865614600000001</v>
      </c>
      <c r="Y134" s="27">
        <v>177.97</v>
      </c>
      <c r="Z134" s="27">
        <v>254.02872300000001</v>
      </c>
      <c r="AA134" s="27">
        <v>0</v>
      </c>
      <c r="AB134" s="27">
        <v>0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2.6429097261303975</v>
      </c>
    </row>
    <row r="135" spans="1:40" x14ac:dyDescent="0.3">
      <c r="A135" s="27">
        <v>35</v>
      </c>
      <c r="B135" s="27">
        <v>14</v>
      </c>
      <c r="C135" s="27">
        <v>14.430122099079616</v>
      </c>
      <c r="D135" s="27">
        <v>12</v>
      </c>
      <c r="E135" s="27">
        <v>5</v>
      </c>
      <c r="F135" s="27">
        <v>0.37095780487910629</v>
      </c>
      <c r="G135" s="27">
        <v>29</v>
      </c>
      <c r="H135" s="27">
        <v>7</v>
      </c>
      <c r="I135" s="27">
        <v>1.3980904720006648</v>
      </c>
      <c r="J135" s="27">
        <v>329814298.59094566</v>
      </c>
      <c r="K135" s="27">
        <v>165555000</v>
      </c>
      <c r="L135" s="27">
        <v>79925921.716395214</v>
      </c>
      <c r="M135" s="27">
        <v>77353300</v>
      </c>
      <c r="N135" s="27">
        <v>15759895.52</v>
      </c>
      <c r="O135" s="27">
        <v>231.235342</v>
      </c>
      <c r="P135" s="27">
        <v>2.6520533874054784</v>
      </c>
      <c r="Q135" s="27">
        <v>43.848286899999998</v>
      </c>
      <c r="R135" s="27">
        <v>800.89078599999993</v>
      </c>
      <c r="S135" s="27">
        <v>3.2631899499999997E-8</v>
      </c>
      <c r="T135" s="27">
        <v>21.741197246090916</v>
      </c>
      <c r="U135" s="27">
        <v>100.934</v>
      </c>
      <c r="V135" s="27">
        <v>-614.50105991374096</v>
      </c>
      <c r="W135" s="27">
        <v>69.2189908</v>
      </c>
      <c r="X135" s="27">
        <v>94.837351100000006</v>
      </c>
      <c r="Y135" s="27">
        <v>144.29</v>
      </c>
      <c r="Z135" s="27">
        <v>254.11229900000001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I135" s="27">
        <v>0</v>
      </c>
      <c r="AJ135" s="27">
        <v>0</v>
      </c>
      <c r="AK135" s="27">
        <v>0</v>
      </c>
      <c r="AL135" s="27">
        <v>0</v>
      </c>
      <c r="AM135" s="27">
        <v>0</v>
      </c>
      <c r="AN135" s="27">
        <v>2.6520533874054784</v>
      </c>
    </row>
    <row r="136" spans="1:40" x14ac:dyDescent="0.3">
      <c r="A136" s="27">
        <v>27</v>
      </c>
      <c r="B136" s="27">
        <v>17</v>
      </c>
      <c r="C136" s="27">
        <v>5.8147004845075205</v>
      </c>
      <c r="D136" s="27">
        <v>28</v>
      </c>
      <c r="E136" s="27">
        <v>5</v>
      </c>
      <c r="F136" s="27">
        <v>0.34049472630651539</v>
      </c>
      <c r="G136" s="27">
        <v>14</v>
      </c>
      <c r="H136" s="27">
        <v>10</v>
      </c>
      <c r="I136" s="27">
        <v>0.30991928113780609</v>
      </c>
      <c r="J136" s="27">
        <v>327725664.75089639</v>
      </c>
      <c r="K136" s="27">
        <v>165477000</v>
      </c>
      <c r="L136" s="27">
        <v>79952550.71608831</v>
      </c>
      <c r="M136" s="27">
        <v>77369700</v>
      </c>
      <c r="N136" s="27">
        <v>15766320.879999999</v>
      </c>
      <c r="O136" s="27">
        <v>231.64736099999999</v>
      </c>
      <c r="P136" s="27">
        <v>2.6394165504970144</v>
      </c>
      <c r="Q136" s="27">
        <v>43.842297000000002</v>
      </c>
      <c r="R136" s="27">
        <v>800.16956699999992</v>
      </c>
      <c r="S136" s="27">
        <v>4.0554422599999999E-8</v>
      </c>
      <c r="T136" s="27">
        <v>21.780495837647202</v>
      </c>
      <c r="U136" s="27">
        <v>100.934</v>
      </c>
      <c r="V136" s="27">
        <v>-596.50277848523967</v>
      </c>
      <c r="W136" s="27">
        <v>69.224340299999994</v>
      </c>
      <c r="X136" s="27">
        <v>94.873263899999998</v>
      </c>
      <c r="Y136" s="27">
        <v>177.97</v>
      </c>
      <c r="Z136" s="27">
        <v>257.79525100000001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I136" s="27">
        <v>0</v>
      </c>
      <c r="AJ136" s="27">
        <v>0</v>
      </c>
      <c r="AK136" s="27">
        <v>0</v>
      </c>
      <c r="AL136" s="27">
        <v>0</v>
      </c>
      <c r="AM136" s="27">
        <v>0</v>
      </c>
      <c r="AN136" s="27">
        <v>2.6394165504970144</v>
      </c>
    </row>
    <row r="137" spans="1:40" x14ac:dyDescent="0.3">
      <c r="A137" s="27">
        <v>28</v>
      </c>
      <c r="B137" s="27">
        <v>18</v>
      </c>
      <c r="C137" s="27">
        <v>14.859640877956036</v>
      </c>
      <c r="D137" s="27">
        <v>29</v>
      </c>
      <c r="E137" s="27">
        <v>5</v>
      </c>
      <c r="F137" s="27">
        <v>0.31932084192758459</v>
      </c>
      <c r="G137" s="27">
        <v>17</v>
      </c>
      <c r="H137" s="27">
        <v>14</v>
      </c>
      <c r="I137" s="27">
        <v>0.30488463843408908</v>
      </c>
      <c r="J137" s="27">
        <v>329531835.19193119</v>
      </c>
      <c r="K137" s="27">
        <v>165591000</v>
      </c>
      <c r="L137" s="27">
        <v>79961660.596380189</v>
      </c>
      <c r="M137" s="27">
        <v>77383100</v>
      </c>
      <c r="N137" s="27">
        <v>15768436.16</v>
      </c>
      <c r="O137" s="27">
        <v>231.86187699999999</v>
      </c>
      <c r="P137" s="27">
        <v>2.6441780647926669</v>
      </c>
      <c r="Q137" s="27">
        <v>43.825994299999998</v>
      </c>
      <c r="R137" s="27">
        <v>800.04346599999997</v>
      </c>
      <c r="S137" s="27">
        <v>4.9440623400000002E-8</v>
      </c>
      <c r="T137" s="27">
        <v>21.761086267233683</v>
      </c>
      <c r="U137" s="27">
        <v>100.934</v>
      </c>
      <c r="V137" s="27">
        <v>-595.75828293548261</v>
      </c>
      <c r="W137" s="27">
        <v>69.220138899999995</v>
      </c>
      <c r="X137" s="27">
        <v>94.849912799999998</v>
      </c>
      <c r="Y137" s="27">
        <v>177.97</v>
      </c>
      <c r="Z137" s="27">
        <v>261.60547300000002</v>
      </c>
      <c r="AA137" s="27">
        <v>0</v>
      </c>
      <c r="AB137" s="27">
        <v>0</v>
      </c>
      <c r="AC137" s="27">
        <v>0</v>
      </c>
      <c r="AD137" s="27">
        <v>0</v>
      </c>
      <c r="AE137" s="27">
        <v>0</v>
      </c>
      <c r="AF137" s="27">
        <v>0</v>
      </c>
      <c r="AG137" s="27">
        <v>0</v>
      </c>
      <c r="AH137" s="27">
        <v>0</v>
      </c>
      <c r="AI137" s="27">
        <v>0</v>
      </c>
      <c r="AJ137" s="27">
        <v>0</v>
      </c>
      <c r="AK137" s="27">
        <v>0</v>
      </c>
      <c r="AL137" s="27">
        <v>0</v>
      </c>
      <c r="AM137" s="27">
        <v>0</v>
      </c>
      <c r="AN137" s="27">
        <v>2.6441780647926669</v>
      </c>
    </row>
    <row r="138" spans="1:40" x14ac:dyDescent="0.3">
      <c r="A138" s="27">
        <v>28</v>
      </c>
      <c r="B138" s="27">
        <v>11</v>
      </c>
      <c r="C138" s="27">
        <v>4.5942826575965832</v>
      </c>
      <c r="D138" s="27">
        <v>10</v>
      </c>
      <c r="E138" s="27">
        <v>6</v>
      </c>
      <c r="F138" s="27">
        <v>0.33570017630536009</v>
      </c>
      <c r="G138" s="27">
        <v>23</v>
      </c>
      <c r="H138" s="27">
        <v>7</v>
      </c>
      <c r="I138" s="27">
        <v>0.54949110598033046</v>
      </c>
      <c r="J138" s="27">
        <v>327302082.65313154</v>
      </c>
      <c r="K138" s="27">
        <v>165434000</v>
      </c>
      <c r="L138" s="27">
        <v>79929725.841452509</v>
      </c>
      <c r="M138" s="27">
        <v>77258900</v>
      </c>
      <c r="N138" s="27">
        <v>15760858.16</v>
      </c>
      <c r="O138" s="27">
        <v>231.48258000000001</v>
      </c>
      <c r="P138" s="27">
        <v>2.6413461432732355</v>
      </c>
      <c r="Q138" s="27">
        <v>43.797923099999998</v>
      </c>
      <c r="R138" s="27">
        <v>801.22283299999992</v>
      </c>
      <c r="S138" s="27">
        <v>6.9867006899999998E-9</v>
      </c>
      <c r="T138" s="27">
        <v>21.595708949416615</v>
      </c>
      <c r="U138" s="27">
        <v>100.934</v>
      </c>
      <c r="V138" s="27">
        <v>-613.37939790615758</v>
      </c>
      <c r="W138" s="27">
        <v>69.229997299999994</v>
      </c>
      <c r="X138" s="27">
        <v>94.894230800000003</v>
      </c>
      <c r="Y138" s="27">
        <v>121.52199999999999</v>
      </c>
      <c r="Z138" s="27">
        <v>253.960814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I138" s="27">
        <v>0</v>
      </c>
      <c r="AJ138" s="27">
        <v>0</v>
      </c>
      <c r="AK138" s="27">
        <v>0</v>
      </c>
      <c r="AL138" s="27">
        <v>0</v>
      </c>
      <c r="AM138" s="27">
        <v>0</v>
      </c>
      <c r="AN138" s="27">
        <v>2.6413461432732355</v>
      </c>
    </row>
    <row r="139" spans="1:40" x14ac:dyDescent="0.3">
      <c r="A139" s="27">
        <v>39</v>
      </c>
      <c r="B139" s="27">
        <v>18</v>
      </c>
      <c r="C139" s="27">
        <v>2.3703860914595962</v>
      </c>
      <c r="D139" s="27">
        <v>10</v>
      </c>
      <c r="E139" s="27">
        <v>8</v>
      </c>
      <c r="F139" s="27">
        <v>0.32540080509995695</v>
      </c>
      <c r="G139" s="27">
        <v>16</v>
      </c>
      <c r="H139" s="27">
        <v>13</v>
      </c>
      <c r="I139" s="27">
        <v>0.81561532308198714</v>
      </c>
      <c r="J139" s="27">
        <v>326936934.02470523</v>
      </c>
      <c r="K139" s="27">
        <v>165428000</v>
      </c>
      <c r="L139" s="27">
        <v>79926021.797749996</v>
      </c>
      <c r="M139" s="27">
        <v>77095000</v>
      </c>
      <c r="N139" s="27">
        <v>15759770.640000001</v>
      </c>
      <c r="O139" s="27">
        <v>232.15074000000001</v>
      </c>
      <c r="P139" s="27">
        <v>2.6356787029063162</v>
      </c>
      <c r="Q139" s="27">
        <v>43.719178200000002</v>
      </c>
      <c r="R139" s="27">
        <v>801.96376399999997</v>
      </c>
      <c r="S139" s="27">
        <v>2.88990686E-10</v>
      </c>
      <c r="T139" s="27">
        <v>21.296922394822975</v>
      </c>
      <c r="U139" s="27">
        <v>100.934</v>
      </c>
      <c r="V139" s="27">
        <v>-616.92029350616815</v>
      </c>
      <c r="W139" s="27">
        <v>69.225401300000001</v>
      </c>
      <c r="X139" s="27">
        <v>94.878112700000003</v>
      </c>
      <c r="Y139" s="27">
        <v>121.52199999999999</v>
      </c>
      <c r="Z139" s="27">
        <v>256.854489</v>
      </c>
      <c r="AA139" s="27">
        <v>0</v>
      </c>
      <c r="AB139" s="27">
        <v>0</v>
      </c>
      <c r="AC139" s="27">
        <v>0</v>
      </c>
      <c r="AD139" s="27">
        <v>0</v>
      </c>
      <c r="AE139" s="27">
        <v>0</v>
      </c>
      <c r="AF139" s="27">
        <v>0</v>
      </c>
      <c r="AG139" s="27">
        <v>0</v>
      </c>
      <c r="AH139" s="27">
        <v>0</v>
      </c>
      <c r="AI139" s="27">
        <v>0</v>
      </c>
      <c r="AJ139" s="27">
        <v>0</v>
      </c>
      <c r="AK139" s="27">
        <v>0</v>
      </c>
      <c r="AL139" s="27">
        <v>0</v>
      </c>
      <c r="AM139" s="27">
        <v>0</v>
      </c>
      <c r="AN139" s="27">
        <v>2.6356787029063162</v>
      </c>
    </row>
    <row r="140" spans="1:40" x14ac:dyDescent="0.3">
      <c r="A140" s="27">
        <v>39</v>
      </c>
      <c r="B140" s="27">
        <v>10</v>
      </c>
      <c r="C140" s="27">
        <v>9.8416298901633432</v>
      </c>
      <c r="D140" s="27">
        <v>10</v>
      </c>
      <c r="E140" s="27">
        <v>5</v>
      </c>
      <c r="F140" s="27">
        <v>0.4206923219161931</v>
      </c>
      <c r="G140" s="27">
        <v>10</v>
      </c>
      <c r="H140" s="27">
        <v>8</v>
      </c>
      <c r="I140" s="27">
        <v>0.33518438931121858</v>
      </c>
      <c r="J140" s="27">
        <v>328494660.33202428</v>
      </c>
      <c r="K140" s="27">
        <v>165561000</v>
      </c>
      <c r="L140" s="27">
        <v>79974174.293567315</v>
      </c>
      <c r="M140" s="27">
        <v>77629400</v>
      </c>
      <c r="N140" s="27">
        <v>15771383.279999999</v>
      </c>
      <c r="O140" s="27">
        <v>230.87849900000001</v>
      </c>
      <c r="P140" s="27">
        <v>2.6471079727896325</v>
      </c>
      <c r="Q140" s="27">
        <v>43.863658800000003</v>
      </c>
      <c r="R140" s="27">
        <v>801.4140440000001</v>
      </c>
      <c r="S140" s="27">
        <v>2.3733131899999999E-8</v>
      </c>
      <c r="T140" s="27">
        <v>21.748317675379123</v>
      </c>
      <c r="U140" s="27">
        <v>100.934</v>
      </c>
      <c r="V140" s="27">
        <v>-621.00013518411765</v>
      </c>
      <c r="W140" s="27">
        <v>69.2214709</v>
      </c>
      <c r="X140" s="27">
        <v>94.854512700000001</v>
      </c>
      <c r="Y140" s="27">
        <v>144.29</v>
      </c>
      <c r="Z140" s="27">
        <v>274.58634499999999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I140" s="27">
        <v>0</v>
      </c>
      <c r="AJ140" s="27">
        <v>0</v>
      </c>
      <c r="AK140" s="27">
        <v>0</v>
      </c>
      <c r="AL140" s="27">
        <v>0</v>
      </c>
      <c r="AM140" s="27">
        <v>0</v>
      </c>
      <c r="AN140" s="27">
        <v>2.6471079727896325</v>
      </c>
    </row>
    <row r="141" spans="1:40" x14ac:dyDescent="0.3">
      <c r="A141" s="27">
        <v>38</v>
      </c>
      <c r="B141" s="27">
        <v>11</v>
      </c>
      <c r="C141" s="27">
        <v>14.835447948921516</v>
      </c>
      <c r="D141" s="27">
        <v>29</v>
      </c>
      <c r="E141" s="27">
        <v>13</v>
      </c>
      <c r="F141" s="27">
        <v>0.39541756004097306</v>
      </c>
      <c r="G141" s="27">
        <v>11</v>
      </c>
      <c r="H141" s="27">
        <v>9</v>
      </c>
      <c r="I141" s="27">
        <v>0.34206228442710918</v>
      </c>
      <c r="J141" s="27">
        <v>329875274.43032467</v>
      </c>
      <c r="K141" s="27">
        <v>165622000</v>
      </c>
      <c r="L141" s="27">
        <v>79973573.603695184</v>
      </c>
      <c r="M141" s="27">
        <v>77612200</v>
      </c>
      <c r="N141" s="27">
        <v>15771226.08</v>
      </c>
      <c r="O141" s="27">
        <v>231.229635</v>
      </c>
      <c r="P141" s="27">
        <v>2.648634349304487</v>
      </c>
      <c r="Q141" s="27">
        <v>43.885761700000003</v>
      </c>
      <c r="R141" s="27">
        <v>800.42479900000001</v>
      </c>
      <c r="S141" s="27">
        <v>2.58780668E-8</v>
      </c>
      <c r="T141" s="27">
        <v>21.828592453842159</v>
      </c>
      <c r="U141" s="27">
        <v>100.934</v>
      </c>
      <c r="V141" s="27">
        <v>-601.5858006011307</v>
      </c>
      <c r="W141" s="27">
        <v>69.219631699999994</v>
      </c>
      <c r="X141" s="27">
        <v>94.843769699999996</v>
      </c>
      <c r="Y141" s="27">
        <v>177.97</v>
      </c>
      <c r="Z141" s="27">
        <v>274.64118999999999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0</v>
      </c>
      <c r="AI141" s="27">
        <v>0</v>
      </c>
      <c r="AJ141" s="27">
        <v>0</v>
      </c>
      <c r="AK141" s="27">
        <v>0</v>
      </c>
      <c r="AL141" s="27">
        <v>0</v>
      </c>
      <c r="AM141" s="27">
        <v>0</v>
      </c>
      <c r="AN141" s="27">
        <v>2.648634349304487</v>
      </c>
    </row>
    <row r="142" spans="1:40" x14ac:dyDescent="0.3">
      <c r="A142" s="27">
        <v>39</v>
      </c>
      <c r="B142" s="27">
        <v>10</v>
      </c>
      <c r="C142" s="27">
        <v>11.681365772028478</v>
      </c>
      <c r="D142" s="27">
        <v>15</v>
      </c>
      <c r="E142" s="27">
        <v>6</v>
      </c>
      <c r="F142" s="27">
        <v>0.31407204769807656</v>
      </c>
      <c r="G142" s="27">
        <v>16</v>
      </c>
      <c r="H142" s="27">
        <v>14</v>
      </c>
      <c r="I142" s="27">
        <v>0.93487193233424826</v>
      </c>
      <c r="J142" s="27">
        <v>329024850.02157325</v>
      </c>
      <c r="K142" s="27">
        <v>165532000</v>
      </c>
      <c r="L142" s="27">
        <v>79925821.610182017</v>
      </c>
      <c r="M142" s="27">
        <v>77283800</v>
      </c>
      <c r="N142" s="27">
        <v>15759863.040000001</v>
      </c>
      <c r="O142" s="27">
        <v>231.66433599999999</v>
      </c>
      <c r="P142" s="27">
        <v>2.6457150386362795</v>
      </c>
      <c r="Q142" s="27">
        <v>43.8196352</v>
      </c>
      <c r="R142" s="27">
        <v>800.38252299999999</v>
      </c>
      <c r="S142" s="27">
        <v>8.0104397400000008E-9</v>
      </c>
      <c r="T142" s="27">
        <v>21.681286422550858</v>
      </c>
      <c r="U142" s="27">
        <v>100.934</v>
      </c>
      <c r="V142" s="27">
        <v>-606.66404368859287</v>
      </c>
      <c r="W142" s="27">
        <v>69.220832099999996</v>
      </c>
      <c r="X142" s="27">
        <v>94.851176199999998</v>
      </c>
      <c r="Y142" s="27">
        <v>144.29</v>
      </c>
      <c r="Z142" s="27">
        <v>254.388453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I142" s="27">
        <v>0</v>
      </c>
      <c r="AJ142" s="27">
        <v>0</v>
      </c>
      <c r="AK142" s="27">
        <v>0</v>
      </c>
      <c r="AL142" s="27">
        <v>0</v>
      </c>
      <c r="AM142" s="27">
        <v>0</v>
      </c>
      <c r="AN142" s="27">
        <v>2.6457150386362795</v>
      </c>
    </row>
    <row r="143" spans="1:40" x14ac:dyDescent="0.3">
      <c r="A143" s="27">
        <v>39</v>
      </c>
      <c r="B143" s="27">
        <v>15</v>
      </c>
      <c r="C143" s="27">
        <v>3.7221226698689307</v>
      </c>
      <c r="D143" s="27">
        <v>13</v>
      </c>
      <c r="E143" s="27">
        <v>11</v>
      </c>
      <c r="F143" s="27">
        <v>0.30801414940615945</v>
      </c>
      <c r="G143" s="27">
        <v>21</v>
      </c>
      <c r="H143" s="27">
        <v>14</v>
      </c>
      <c r="I143" s="27">
        <v>0.65551413414659687</v>
      </c>
      <c r="J143" s="27">
        <v>327433893.04000157</v>
      </c>
      <c r="K143" s="27">
        <v>165445000</v>
      </c>
      <c r="L143" s="27">
        <v>79924820.488883018</v>
      </c>
      <c r="M143" s="27">
        <v>77003500</v>
      </c>
      <c r="N143" s="27">
        <v>15759596.879999999</v>
      </c>
      <c r="O143" s="27">
        <v>232.34283500000001</v>
      </c>
      <c r="P143" s="27">
        <v>2.6370130174712281</v>
      </c>
      <c r="Q143" s="27">
        <v>43.708205100000001</v>
      </c>
      <c r="R143" s="27">
        <v>801.78227199999992</v>
      </c>
      <c r="S143" s="27">
        <v>2.00921484E-12</v>
      </c>
      <c r="T143" s="27">
        <v>21.243317245383704</v>
      </c>
      <c r="U143" s="27">
        <v>100.934</v>
      </c>
      <c r="V143" s="27">
        <v>-616.7905452159473</v>
      </c>
      <c r="W143" s="27">
        <v>69.221572600000002</v>
      </c>
      <c r="X143" s="27">
        <v>94.858399199999994</v>
      </c>
      <c r="Y143" s="27">
        <v>121.52199999999999</v>
      </c>
      <c r="Z143" s="27">
        <v>254.59613300000001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0</v>
      </c>
      <c r="AG143" s="27">
        <v>0</v>
      </c>
      <c r="AH143" s="27">
        <v>0</v>
      </c>
      <c r="AI143" s="27">
        <v>0</v>
      </c>
      <c r="AJ143" s="27">
        <v>0</v>
      </c>
      <c r="AK143" s="27">
        <v>0</v>
      </c>
      <c r="AL143" s="27">
        <v>0</v>
      </c>
      <c r="AM143" s="27">
        <v>0</v>
      </c>
      <c r="AN143" s="27">
        <v>2.6370130174712281</v>
      </c>
    </row>
    <row r="144" spans="1:40" x14ac:dyDescent="0.3">
      <c r="A144" s="27">
        <v>39</v>
      </c>
      <c r="B144" s="27">
        <v>10</v>
      </c>
      <c r="C144" s="27">
        <v>1.3602322203230197</v>
      </c>
      <c r="D144" s="27">
        <v>22</v>
      </c>
      <c r="E144" s="27">
        <v>5</v>
      </c>
      <c r="F144" s="27">
        <v>0.34917994628706334</v>
      </c>
      <c r="G144" s="27">
        <v>21</v>
      </c>
      <c r="H144" s="27">
        <v>14</v>
      </c>
      <c r="I144" s="27">
        <v>0.78064807707122996</v>
      </c>
      <c r="J144" s="27">
        <v>327074927.09202105</v>
      </c>
      <c r="K144" s="27">
        <v>165444000</v>
      </c>
      <c r="L144" s="27">
        <v>79924620.344868615</v>
      </c>
      <c r="M144" s="27">
        <v>77708900</v>
      </c>
      <c r="N144" s="27">
        <v>15759566.800000001</v>
      </c>
      <c r="O144" s="27">
        <v>230.077855</v>
      </c>
      <c r="P144" s="27">
        <v>2.6483605053424308</v>
      </c>
      <c r="Q144" s="27">
        <v>43.804701600000001</v>
      </c>
      <c r="R144" s="27">
        <v>801.33476199999996</v>
      </c>
      <c r="S144" s="27">
        <v>3.5000394999999999E-8</v>
      </c>
      <c r="T144" s="27">
        <v>21.81945036453531</v>
      </c>
      <c r="U144" s="27">
        <v>100.934</v>
      </c>
      <c r="V144" s="27">
        <v>-527.76852842747508</v>
      </c>
      <c r="W144" s="27">
        <v>69.430445399999996</v>
      </c>
      <c r="X144" s="27">
        <v>95.965994800000004</v>
      </c>
      <c r="Y144" s="27">
        <v>177.97</v>
      </c>
      <c r="Z144" s="27">
        <v>254.44701499999999</v>
      </c>
      <c r="AA144" s="27">
        <v>0</v>
      </c>
      <c r="AB144" s="27">
        <v>0</v>
      </c>
      <c r="AC144" s="27">
        <v>0</v>
      </c>
      <c r="AD144" s="27">
        <v>0</v>
      </c>
      <c r="AE144" s="27">
        <v>0</v>
      </c>
      <c r="AF144" s="27">
        <v>0</v>
      </c>
      <c r="AG144" s="27">
        <v>0</v>
      </c>
      <c r="AH144" s="27">
        <v>0</v>
      </c>
      <c r="AI144" s="27">
        <v>0</v>
      </c>
      <c r="AJ144" s="27">
        <v>0</v>
      </c>
      <c r="AK144" s="27">
        <v>0</v>
      </c>
      <c r="AL144" s="27">
        <v>0</v>
      </c>
      <c r="AM144" s="27">
        <v>0</v>
      </c>
      <c r="AN144" s="27">
        <v>2.6483605053424308</v>
      </c>
    </row>
    <row r="145" spans="1:40" x14ac:dyDescent="0.3">
      <c r="A145" s="27">
        <v>39</v>
      </c>
      <c r="B145" s="27">
        <v>10</v>
      </c>
      <c r="C145" s="27">
        <v>2.9921770292531491</v>
      </c>
      <c r="D145" s="27">
        <v>24</v>
      </c>
      <c r="E145" s="27">
        <v>5</v>
      </c>
      <c r="F145" s="27">
        <v>0.31768533433616958</v>
      </c>
      <c r="G145" s="27">
        <v>18</v>
      </c>
      <c r="H145" s="27">
        <v>8</v>
      </c>
      <c r="I145" s="27">
        <v>1.0189719996960191</v>
      </c>
      <c r="J145" s="27">
        <v>327458266.91944563</v>
      </c>
      <c r="K145" s="27">
        <v>165465000</v>
      </c>
      <c r="L145" s="27">
        <v>79925921.727078155</v>
      </c>
      <c r="M145" s="27">
        <v>77298900</v>
      </c>
      <c r="N145" s="27">
        <v>15759898.32</v>
      </c>
      <c r="O145" s="27">
        <v>231.67226199999999</v>
      </c>
      <c r="P145" s="27">
        <v>2.6394697063126182</v>
      </c>
      <c r="Q145" s="27">
        <v>43.817766900000002</v>
      </c>
      <c r="R145" s="27">
        <v>800.22463099999993</v>
      </c>
      <c r="S145" s="27">
        <v>4.9946341300000001E-8</v>
      </c>
      <c r="T145" s="27">
        <v>21.75994457308364</v>
      </c>
      <c r="U145" s="27">
        <v>100.934</v>
      </c>
      <c r="V145" s="27">
        <v>-589.07690010584417</v>
      </c>
      <c r="W145" s="27">
        <v>69.244281999999998</v>
      </c>
      <c r="X145" s="27">
        <v>94.940893200000005</v>
      </c>
      <c r="Y145" s="27">
        <v>177.97</v>
      </c>
      <c r="Z145" s="27">
        <v>254.302819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I145" s="27">
        <v>0</v>
      </c>
      <c r="AJ145" s="27">
        <v>0</v>
      </c>
      <c r="AK145" s="27">
        <v>0</v>
      </c>
      <c r="AL145" s="27">
        <v>0</v>
      </c>
      <c r="AM145" s="27">
        <v>0</v>
      </c>
      <c r="AN145" s="27">
        <v>2.6394697063126182</v>
      </c>
    </row>
    <row r="146" spans="1:40" x14ac:dyDescent="0.3">
      <c r="A146" s="27">
        <v>37</v>
      </c>
      <c r="B146" s="27">
        <v>19</v>
      </c>
      <c r="C146" s="27">
        <v>3.7758641016518073</v>
      </c>
      <c r="D146" s="27">
        <v>10</v>
      </c>
      <c r="E146" s="27">
        <v>7</v>
      </c>
      <c r="F146" s="27">
        <v>0.39705778463371666</v>
      </c>
      <c r="G146" s="27">
        <v>11</v>
      </c>
      <c r="H146" s="27">
        <v>8</v>
      </c>
      <c r="I146" s="27">
        <v>1.1653251752989124</v>
      </c>
      <c r="J146" s="27">
        <v>327167929.16057479</v>
      </c>
      <c r="K146" s="27">
        <v>165434000</v>
      </c>
      <c r="L146" s="27">
        <v>79929025.032218948</v>
      </c>
      <c r="M146" s="27">
        <v>77347600</v>
      </c>
      <c r="N146" s="27">
        <v>15760563.52</v>
      </c>
      <c r="O146" s="27">
        <v>231.123694</v>
      </c>
      <c r="P146" s="27">
        <v>2.6433594347130867</v>
      </c>
      <c r="Q146" s="27">
        <v>43.825130000000001</v>
      </c>
      <c r="R146" s="27">
        <v>801.85166900000002</v>
      </c>
      <c r="S146" s="27">
        <v>5.5597096999999997E-10</v>
      </c>
      <c r="T146" s="27">
        <v>21.580519986267142</v>
      </c>
      <c r="U146" s="27">
        <v>100.934</v>
      </c>
      <c r="V146" s="27">
        <v>-625.17988974130196</v>
      </c>
      <c r="W146" s="27">
        <v>69.219824599999995</v>
      </c>
      <c r="X146" s="27">
        <v>94.848319500000002</v>
      </c>
      <c r="Y146" s="27">
        <v>121.52199999999999</v>
      </c>
      <c r="Z146" s="27">
        <v>255.457201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I146" s="27">
        <v>0</v>
      </c>
      <c r="AJ146" s="27">
        <v>0</v>
      </c>
      <c r="AK146" s="27">
        <v>0</v>
      </c>
      <c r="AL146" s="27">
        <v>0</v>
      </c>
      <c r="AM146" s="27">
        <v>0</v>
      </c>
      <c r="AN146" s="27">
        <v>2.6433594347130867</v>
      </c>
    </row>
    <row r="147" spans="1:40" x14ac:dyDescent="0.3">
      <c r="A147" s="27">
        <v>34</v>
      </c>
      <c r="B147" s="27">
        <v>10</v>
      </c>
      <c r="C147" s="27">
        <v>6.9314713593357293</v>
      </c>
      <c r="D147" s="27">
        <v>11</v>
      </c>
      <c r="E147" s="27">
        <v>8</v>
      </c>
      <c r="F147" s="27">
        <v>0.3255957354514008</v>
      </c>
      <c r="G147" s="27">
        <v>26</v>
      </c>
      <c r="H147" s="27">
        <v>11</v>
      </c>
      <c r="I147" s="27">
        <v>1.0837084479890469</v>
      </c>
      <c r="J147" s="27">
        <v>328138452.25650853</v>
      </c>
      <c r="K147" s="27">
        <v>165471000</v>
      </c>
      <c r="L147" s="27">
        <v>79924720.396023512</v>
      </c>
      <c r="M147" s="27">
        <v>77182400</v>
      </c>
      <c r="N147" s="27">
        <v>15759589.92</v>
      </c>
      <c r="O147" s="27">
        <v>231.75295499999999</v>
      </c>
      <c r="P147" s="27">
        <v>2.6428764257478661</v>
      </c>
      <c r="Q147" s="27">
        <v>43.770771199999999</v>
      </c>
      <c r="R147" s="27">
        <v>801.40463099999999</v>
      </c>
      <c r="S147" s="27">
        <v>2.1340113E-10</v>
      </c>
      <c r="T147" s="27">
        <v>21.456072336365452</v>
      </c>
      <c r="U147" s="27">
        <v>100.934</v>
      </c>
      <c r="V147" s="27">
        <v>-616.73504451082397</v>
      </c>
      <c r="W147" s="27">
        <v>69.223895600000006</v>
      </c>
      <c r="X147" s="27">
        <v>94.867384200000004</v>
      </c>
      <c r="Y147" s="27">
        <v>121.52199999999999</v>
      </c>
      <c r="Z147" s="27">
        <v>254.356604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I147" s="27">
        <v>0</v>
      </c>
      <c r="AJ147" s="27">
        <v>0</v>
      </c>
      <c r="AK147" s="27">
        <v>0</v>
      </c>
      <c r="AL147" s="27">
        <v>0</v>
      </c>
      <c r="AM147" s="27">
        <v>0</v>
      </c>
      <c r="AN147" s="27">
        <v>2.6428764257478661</v>
      </c>
    </row>
    <row r="148" spans="1:40" x14ac:dyDescent="0.3">
      <c r="A148" s="27">
        <v>39</v>
      </c>
      <c r="B148" s="27">
        <v>11</v>
      </c>
      <c r="C148" s="27">
        <v>6.6547841383874893</v>
      </c>
      <c r="D148" s="27">
        <v>14</v>
      </c>
      <c r="E148" s="27">
        <v>12</v>
      </c>
      <c r="F148" s="27">
        <v>0.3403691274050058</v>
      </c>
      <c r="G148" s="27">
        <v>17</v>
      </c>
      <c r="H148" s="27">
        <v>11</v>
      </c>
      <c r="I148" s="27">
        <v>0.72658023361582091</v>
      </c>
      <c r="J148" s="27">
        <v>328086001.98771882</v>
      </c>
      <c r="K148" s="27">
        <v>165467000</v>
      </c>
      <c r="L148" s="27">
        <v>79925521.276956111</v>
      </c>
      <c r="M148" s="27">
        <v>77079100</v>
      </c>
      <c r="N148" s="27">
        <v>15759770.16</v>
      </c>
      <c r="O148" s="27">
        <v>232.050735</v>
      </c>
      <c r="P148" s="27">
        <v>2.6412205040209309</v>
      </c>
      <c r="Q148" s="27">
        <v>43.734749100000002</v>
      </c>
      <c r="R148" s="27">
        <v>801.83236099999999</v>
      </c>
      <c r="S148" s="27">
        <v>1.5151313299999999E-13</v>
      </c>
      <c r="T148" s="27">
        <v>21.28354476531657</v>
      </c>
      <c r="U148" s="27">
        <v>100.934</v>
      </c>
      <c r="V148" s="27">
        <v>-619.57433115287381</v>
      </c>
      <c r="W148" s="27">
        <v>69.222168800000006</v>
      </c>
      <c r="X148" s="27">
        <v>94.859604399999995</v>
      </c>
      <c r="Y148" s="27">
        <v>121.52199999999999</v>
      </c>
      <c r="Z148" s="27">
        <v>254.645678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0</v>
      </c>
      <c r="AI148" s="27">
        <v>0</v>
      </c>
      <c r="AJ148" s="27">
        <v>0</v>
      </c>
      <c r="AK148" s="27">
        <v>0</v>
      </c>
      <c r="AL148" s="27">
        <v>0</v>
      </c>
      <c r="AM148" s="27">
        <v>0</v>
      </c>
      <c r="AN148" s="27">
        <v>2.6412205040209309</v>
      </c>
    </row>
    <row r="149" spans="1:40" x14ac:dyDescent="0.3">
      <c r="A149" s="27">
        <v>28</v>
      </c>
      <c r="B149" s="27">
        <v>18</v>
      </c>
      <c r="C149" s="27">
        <v>3.3109199451058431</v>
      </c>
      <c r="D149" s="27">
        <v>14</v>
      </c>
      <c r="E149" s="27">
        <v>5</v>
      </c>
      <c r="F149" s="27">
        <v>0.33514775426646048</v>
      </c>
      <c r="G149" s="27">
        <v>14</v>
      </c>
      <c r="H149" s="27">
        <v>12</v>
      </c>
      <c r="I149" s="27">
        <v>0.95508047858090972</v>
      </c>
      <c r="J149" s="27">
        <v>326956071.33429164</v>
      </c>
      <c r="K149" s="27">
        <v>165415000</v>
      </c>
      <c r="L149" s="27">
        <v>79929024.997088462</v>
      </c>
      <c r="M149" s="27">
        <v>77433500</v>
      </c>
      <c r="N149" s="27">
        <v>15760397.199999999</v>
      </c>
      <c r="O149" s="27">
        <v>231.466508</v>
      </c>
      <c r="P149" s="27">
        <v>2.6368225679565289</v>
      </c>
      <c r="Q149" s="27">
        <v>43.8250691</v>
      </c>
      <c r="R149" s="27">
        <v>800.58810800000003</v>
      </c>
      <c r="S149" s="27">
        <v>4.3382965899999999E-8</v>
      </c>
      <c r="T149" s="27">
        <v>21.73342710439929</v>
      </c>
      <c r="U149" s="27">
        <v>100.934</v>
      </c>
      <c r="V149" s="27">
        <v>-603.79660148268454</v>
      </c>
      <c r="W149" s="27">
        <v>69.234028499999994</v>
      </c>
      <c r="X149" s="27">
        <v>94.912991700000006</v>
      </c>
      <c r="Y149" s="27">
        <v>144.29</v>
      </c>
      <c r="Z149" s="27">
        <v>259.30901599999999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27">
        <v>0</v>
      </c>
      <c r="AM149" s="27">
        <v>0</v>
      </c>
      <c r="AN149" s="27">
        <v>2.6368225679565289</v>
      </c>
    </row>
    <row r="150" spans="1:40" x14ac:dyDescent="0.3">
      <c r="A150" s="27">
        <v>39</v>
      </c>
      <c r="B150" s="27">
        <v>19</v>
      </c>
      <c r="C150" s="27">
        <v>1.2551824294421374</v>
      </c>
      <c r="D150" s="27">
        <v>29</v>
      </c>
      <c r="E150" s="27">
        <v>12</v>
      </c>
      <c r="F150" s="27">
        <v>0.47749204826916136</v>
      </c>
      <c r="G150" s="27">
        <v>12</v>
      </c>
      <c r="H150" s="27">
        <v>9</v>
      </c>
      <c r="I150" s="27">
        <v>0.9683130652233658</v>
      </c>
      <c r="J150" s="27">
        <v>327283497.37465066</v>
      </c>
      <c r="K150" s="27">
        <v>165466000</v>
      </c>
      <c r="L150" s="27">
        <v>79928824.809315056</v>
      </c>
      <c r="M150" s="27">
        <v>78154300</v>
      </c>
      <c r="N150" s="27">
        <v>15760483.359999999</v>
      </c>
      <c r="O150" s="27">
        <v>228.08469400000001</v>
      </c>
      <c r="P150" s="27">
        <v>2.663930011583294</v>
      </c>
      <c r="Q150" s="27">
        <v>43.954174700000003</v>
      </c>
      <c r="R150" s="27">
        <v>803.01372400000002</v>
      </c>
      <c r="S150" s="27">
        <v>1.8279647600000002E-15</v>
      </c>
      <c r="T150" s="27">
        <v>22.146070534152013</v>
      </c>
      <c r="U150" s="27">
        <v>100.934</v>
      </c>
      <c r="V150" s="27">
        <v>-546.9481562531696</v>
      </c>
      <c r="W150" s="27">
        <v>69.442602600000001</v>
      </c>
      <c r="X150" s="27">
        <v>96.030437599999999</v>
      </c>
      <c r="Y150" s="27">
        <v>177.97</v>
      </c>
      <c r="Z150" s="27">
        <v>255.661879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I150" s="27">
        <v>0</v>
      </c>
      <c r="AJ150" s="27">
        <v>0</v>
      </c>
      <c r="AK150" s="27">
        <v>0</v>
      </c>
      <c r="AL150" s="27">
        <v>0</v>
      </c>
      <c r="AM150" s="27">
        <v>0</v>
      </c>
      <c r="AN150" s="27">
        <v>2.663930011583294</v>
      </c>
    </row>
    <row r="151" spans="1:40" x14ac:dyDescent="0.3">
      <c r="A151" s="27">
        <v>27</v>
      </c>
      <c r="B151" s="27">
        <v>11</v>
      </c>
      <c r="C151" s="27">
        <v>5.1006023812336085</v>
      </c>
      <c r="D151" s="27">
        <v>18</v>
      </c>
      <c r="E151" s="27">
        <v>14</v>
      </c>
      <c r="F151" s="27">
        <v>0.32490520783111787</v>
      </c>
      <c r="G151" s="27">
        <v>11</v>
      </c>
      <c r="H151" s="27">
        <v>7</v>
      </c>
      <c r="I151" s="27">
        <v>0.53444519065965523</v>
      </c>
      <c r="J151" s="27">
        <v>327258209.04302102</v>
      </c>
      <c r="K151" s="27">
        <v>165443000</v>
      </c>
      <c r="L151" s="27">
        <v>79936333.03190051</v>
      </c>
      <c r="M151" s="27">
        <v>77316500</v>
      </c>
      <c r="N151" s="27">
        <v>15762367.280000001</v>
      </c>
      <c r="O151" s="27">
        <v>231.55434399999999</v>
      </c>
      <c r="P151" s="27">
        <v>2.6394723959037267</v>
      </c>
      <c r="Q151" s="27">
        <v>43.799759000000002</v>
      </c>
      <c r="R151" s="27">
        <v>800.87270599999999</v>
      </c>
      <c r="S151" s="27">
        <v>2.5565771999999999E-15</v>
      </c>
      <c r="T151" s="27">
        <v>21.516749229061006</v>
      </c>
      <c r="U151" s="27">
        <v>100.934</v>
      </c>
      <c r="V151" s="27">
        <v>-613.53240040666662</v>
      </c>
      <c r="W151" s="27">
        <v>69.229516399999994</v>
      </c>
      <c r="X151" s="27">
        <v>94.892577000000003</v>
      </c>
      <c r="Y151" s="27">
        <v>121.52199999999999</v>
      </c>
      <c r="Z151" s="27">
        <v>255.95938599999999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I151" s="27">
        <v>0</v>
      </c>
      <c r="AJ151" s="27">
        <v>0</v>
      </c>
      <c r="AK151" s="27">
        <v>0</v>
      </c>
      <c r="AL151" s="27">
        <v>0</v>
      </c>
      <c r="AM151" s="27">
        <v>0</v>
      </c>
      <c r="AN151" s="27">
        <v>2.6394723959037267</v>
      </c>
    </row>
    <row r="152" spans="1:40" x14ac:dyDescent="0.3">
      <c r="A152" s="27">
        <v>27</v>
      </c>
      <c r="B152" s="27">
        <v>18</v>
      </c>
      <c r="C152" s="27">
        <v>11.994089545256266</v>
      </c>
      <c r="D152" s="27">
        <v>13</v>
      </c>
      <c r="E152" s="27">
        <v>11</v>
      </c>
      <c r="F152" s="27">
        <v>0.33618705258319342</v>
      </c>
      <c r="G152" s="27">
        <v>15</v>
      </c>
      <c r="H152" s="27">
        <v>13</v>
      </c>
      <c r="I152" s="27">
        <v>1.0601271958622207</v>
      </c>
      <c r="J152" s="27">
        <v>328581702.49516755</v>
      </c>
      <c r="K152" s="27">
        <v>165499000</v>
      </c>
      <c r="L152" s="27">
        <v>79926722.585206762</v>
      </c>
      <c r="M152" s="27">
        <v>77055800</v>
      </c>
      <c r="N152" s="27">
        <v>15760094.4</v>
      </c>
      <c r="O152" s="27">
        <v>232.095316</v>
      </c>
      <c r="P152" s="27">
        <v>2.6432148295476643</v>
      </c>
      <c r="Q152" s="27">
        <v>43.731152799999997</v>
      </c>
      <c r="R152" s="27">
        <v>801.84123299999999</v>
      </c>
      <c r="S152" s="27">
        <v>1.6611475799999999E-12</v>
      </c>
      <c r="T152" s="27">
        <v>21.281801267843932</v>
      </c>
      <c r="U152" s="27">
        <v>100.934</v>
      </c>
      <c r="V152" s="27">
        <v>-619.80013737495335</v>
      </c>
      <c r="W152" s="27">
        <v>69.221252399999997</v>
      </c>
      <c r="X152" s="27">
        <v>94.857182300000005</v>
      </c>
      <c r="Y152" s="27">
        <v>121.52199999999999</v>
      </c>
      <c r="Z152" s="27">
        <v>254.258296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0</v>
      </c>
      <c r="AI152" s="27">
        <v>0</v>
      </c>
      <c r="AJ152" s="27">
        <v>0</v>
      </c>
      <c r="AK152" s="27">
        <v>0</v>
      </c>
      <c r="AL152" s="27">
        <v>0</v>
      </c>
      <c r="AM152" s="27">
        <v>0</v>
      </c>
      <c r="AN152" s="27">
        <v>2.6432148295476643</v>
      </c>
    </row>
    <row r="153" spans="1:40" x14ac:dyDescent="0.3">
      <c r="A153" s="27">
        <v>39</v>
      </c>
      <c r="B153" s="27">
        <v>19</v>
      </c>
      <c r="C153" s="27">
        <v>2.5563061146178736</v>
      </c>
      <c r="D153" s="27">
        <v>13</v>
      </c>
      <c r="E153" s="27">
        <v>5</v>
      </c>
      <c r="F153" s="27">
        <v>0.32614945671364914</v>
      </c>
      <c r="G153" s="27">
        <v>27</v>
      </c>
      <c r="H153" s="27">
        <v>8</v>
      </c>
      <c r="I153" s="27">
        <v>0.31013908441225468</v>
      </c>
      <c r="J153" s="27">
        <v>327381641.83377033</v>
      </c>
      <c r="K153" s="27">
        <v>165461000</v>
      </c>
      <c r="L153" s="27">
        <v>79941338.48328729</v>
      </c>
      <c r="M153" s="27">
        <v>77247300</v>
      </c>
      <c r="N153" s="27">
        <v>15763801.92</v>
      </c>
      <c r="O153" s="27">
        <v>231.60627099999999</v>
      </c>
      <c r="P153" s="27">
        <v>2.6409044106695956</v>
      </c>
      <c r="Q153" s="27">
        <v>43.817594100000001</v>
      </c>
      <c r="R153" s="27">
        <v>800.57124599999997</v>
      </c>
      <c r="S153" s="27">
        <v>4.7578466100000002E-8</v>
      </c>
      <c r="T153" s="27">
        <v>21.71178269022797</v>
      </c>
      <c r="U153" s="27">
        <v>100.934</v>
      </c>
      <c r="V153" s="27">
        <v>-607.51071413022021</v>
      </c>
      <c r="W153" s="27">
        <v>69.222520500000002</v>
      </c>
      <c r="X153" s="27">
        <v>94.866857199999998</v>
      </c>
      <c r="Y153" s="27">
        <v>144.29</v>
      </c>
      <c r="Z153" s="27">
        <v>253.22865400000001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0</v>
      </c>
      <c r="AJ153" s="27">
        <v>0</v>
      </c>
      <c r="AK153" s="27">
        <v>0</v>
      </c>
      <c r="AL153" s="27">
        <v>0</v>
      </c>
      <c r="AM153" s="27">
        <v>0</v>
      </c>
      <c r="AN153" s="27">
        <v>2.6409044106695956</v>
      </c>
    </row>
    <row r="154" spans="1:40" x14ac:dyDescent="0.3">
      <c r="A154" s="27">
        <v>38</v>
      </c>
      <c r="B154" s="27">
        <v>19</v>
      </c>
      <c r="C154" s="27">
        <v>9.4019350680533922</v>
      </c>
      <c r="D154" s="27">
        <v>10</v>
      </c>
      <c r="E154" s="27">
        <v>6</v>
      </c>
      <c r="F154" s="27">
        <v>0.33152594036056748</v>
      </c>
      <c r="G154" s="27">
        <v>28</v>
      </c>
      <c r="H154" s="27">
        <v>9</v>
      </c>
      <c r="I154" s="27">
        <v>1.3266362761642458</v>
      </c>
      <c r="J154" s="27">
        <v>328835659.79648131</v>
      </c>
      <c r="K154" s="27">
        <v>165528000</v>
      </c>
      <c r="L154" s="27">
        <v>79925020.740343258</v>
      </c>
      <c r="M154" s="27">
        <v>77240000</v>
      </c>
      <c r="N154" s="27">
        <v>15759668.960000001</v>
      </c>
      <c r="O154" s="27">
        <v>231.59796299999999</v>
      </c>
      <c r="P154" s="27">
        <v>2.6466773184583969</v>
      </c>
      <c r="Q154" s="27">
        <v>43.797337599999999</v>
      </c>
      <c r="R154" s="27">
        <v>801.15112600000009</v>
      </c>
      <c r="S154" s="27">
        <v>7.3670902999999997E-9</v>
      </c>
      <c r="T154" s="27">
        <v>21.583985745507121</v>
      </c>
      <c r="U154" s="27">
        <v>100.934</v>
      </c>
      <c r="V154" s="27">
        <v>-616.83087525993335</v>
      </c>
      <c r="W154" s="27">
        <v>69.218720000000005</v>
      </c>
      <c r="X154" s="27">
        <v>94.830320200000003</v>
      </c>
      <c r="Y154" s="27">
        <v>121.52199999999999</v>
      </c>
      <c r="Z154" s="27">
        <v>254.27699200000001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0</v>
      </c>
      <c r="AG154" s="27">
        <v>0</v>
      </c>
      <c r="AH154" s="27">
        <v>0</v>
      </c>
      <c r="AI154" s="27">
        <v>0</v>
      </c>
      <c r="AJ154" s="27">
        <v>0</v>
      </c>
      <c r="AK154" s="27">
        <v>0</v>
      </c>
      <c r="AL154" s="27">
        <v>0</v>
      </c>
      <c r="AM154" s="27">
        <v>0</v>
      </c>
      <c r="AN154" s="27">
        <v>2.6466773184583969</v>
      </c>
    </row>
    <row r="155" spans="1:40" x14ac:dyDescent="0.3">
      <c r="A155" s="27">
        <v>27</v>
      </c>
      <c r="B155" s="27">
        <v>12</v>
      </c>
      <c r="C155" s="27">
        <v>14.745069830219906</v>
      </c>
      <c r="D155" s="27">
        <v>13</v>
      </c>
      <c r="E155" s="27">
        <v>11</v>
      </c>
      <c r="F155" s="27">
        <v>0.35481620622744159</v>
      </c>
      <c r="G155" s="27">
        <v>11</v>
      </c>
      <c r="H155" s="27">
        <v>7</v>
      </c>
      <c r="I155" s="27">
        <v>0.65668762539824643</v>
      </c>
      <c r="J155" s="27">
        <v>329128266.11893493</v>
      </c>
      <c r="K155" s="27">
        <v>165526000</v>
      </c>
      <c r="L155" s="27">
        <v>79932528.891229659</v>
      </c>
      <c r="M155" s="27">
        <v>77128700</v>
      </c>
      <c r="N155" s="27">
        <v>15761448.959999999</v>
      </c>
      <c r="O155" s="27">
        <v>231.91827799999999</v>
      </c>
      <c r="P155" s="27">
        <v>2.6459587648474194</v>
      </c>
      <c r="Q155" s="27">
        <v>43.746046900000003</v>
      </c>
      <c r="R155" s="27">
        <v>801.92028600000003</v>
      </c>
      <c r="S155" s="27">
        <v>6.9228999200000002E-13</v>
      </c>
      <c r="T155" s="27">
        <v>21.311413393006998</v>
      </c>
      <c r="U155" s="27">
        <v>100.934</v>
      </c>
      <c r="V155" s="27">
        <v>-621.3564364580202</v>
      </c>
      <c r="W155" s="27">
        <v>69.221237500000001</v>
      </c>
      <c r="X155" s="27">
        <v>94.857518999999996</v>
      </c>
      <c r="Y155" s="27">
        <v>121.52199999999999</v>
      </c>
      <c r="Z155" s="27">
        <v>255.58571499999999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0</v>
      </c>
      <c r="AM155" s="27">
        <v>0</v>
      </c>
      <c r="AN155" s="27">
        <v>2.6459587648474194</v>
      </c>
    </row>
    <row r="156" spans="1:40" x14ac:dyDescent="0.3">
      <c r="A156" s="27">
        <v>39</v>
      </c>
      <c r="B156" s="27">
        <v>16</v>
      </c>
      <c r="C156" s="27">
        <v>1.4182291690039985</v>
      </c>
      <c r="D156" s="27">
        <v>10</v>
      </c>
      <c r="E156" s="27">
        <v>5</v>
      </c>
      <c r="F156" s="27">
        <v>0.30507055623845503</v>
      </c>
      <c r="G156" s="27">
        <v>28</v>
      </c>
      <c r="H156" s="27">
        <v>8</v>
      </c>
      <c r="I156" s="27">
        <v>0.5491522681369192</v>
      </c>
      <c r="J156" s="27">
        <v>327059106.40249789</v>
      </c>
      <c r="K156" s="27">
        <v>165448000</v>
      </c>
      <c r="L156" s="27">
        <v>79928324.376655534</v>
      </c>
      <c r="M156" s="27">
        <v>77469500</v>
      </c>
      <c r="N156" s="27">
        <v>15760518.08</v>
      </c>
      <c r="O156" s="27">
        <v>230.80492899999999</v>
      </c>
      <c r="P156" s="27">
        <v>2.6446264277252181</v>
      </c>
      <c r="Q156" s="27">
        <v>43.747916500000002</v>
      </c>
      <c r="R156" s="27">
        <v>801.50917499999991</v>
      </c>
      <c r="S156" s="27">
        <v>5.8086524099999998E-8</v>
      </c>
      <c r="T156" s="27">
        <v>21.724514801250582</v>
      </c>
      <c r="U156" s="27">
        <v>100.934</v>
      </c>
      <c r="V156" s="27">
        <v>-558.61163505882405</v>
      </c>
      <c r="W156" s="27">
        <v>69.368142800000001</v>
      </c>
      <c r="X156" s="27">
        <v>95.436435799999998</v>
      </c>
      <c r="Y156" s="27">
        <v>144.29</v>
      </c>
      <c r="Z156" s="27">
        <v>254.09472700000001</v>
      </c>
      <c r="AA156" s="27">
        <v>0</v>
      </c>
      <c r="AB156" s="27">
        <v>0</v>
      </c>
      <c r="AC156" s="27">
        <v>0</v>
      </c>
      <c r="AD156" s="27">
        <v>0</v>
      </c>
      <c r="AE156" s="27">
        <v>0</v>
      </c>
      <c r="AF156" s="27">
        <v>0</v>
      </c>
      <c r="AG156" s="27">
        <v>0</v>
      </c>
      <c r="AH156" s="27">
        <v>0</v>
      </c>
      <c r="AI156" s="27">
        <v>0</v>
      </c>
      <c r="AJ156" s="27">
        <v>0</v>
      </c>
      <c r="AK156" s="27">
        <v>0</v>
      </c>
      <c r="AL156" s="27">
        <v>0</v>
      </c>
      <c r="AM156" s="27">
        <v>0</v>
      </c>
      <c r="AN156" s="27">
        <v>2.6446264277252181</v>
      </c>
    </row>
    <row r="157" spans="1:40" x14ac:dyDescent="0.3">
      <c r="A157" s="27">
        <v>39</v>
      </c>
      <c r="B157" s="27">
        <v>18</v>
      </c>
      <c r="C157" s="27">
        <v>7.1543266868692683</v>
      </c>
      <c r="D157" s="27">
        <v>28</v>
      </c>
      <c r="E157" s="27">
        <v>5</v>
      </c>
      <c r="F157" s="27">
        <v>0.31632160888653998</v>
      </c>
      <c r="G157" s="27">
        <v>27</v>
      </c>
      <c r="H157" s="27">
        <v>14</v>
      </c>
      <c r="I157" s="27">
        <v>0.91299249188551079</v>
      </c>
      <c r="J157" s="27">
        <v>328702301.59553707</v>
      </c>
      <c r="K157" s="27">
        <v>165506000</v>
      </c>
      <c r="L157" s="27">
        <v>79924520.142919749</v>
      </c>
      <c r="M157" s="27">
        <v>77248800</v>
      </c>
      <c r="N157" s="27">
        <v>15759532.08</v>
      </c>
      <c r="O157" s="27">
        <v>231.88915800000001</v>
      </c>
      <c r="P157" s="27">
        <v>2.6423770234427923</v>
      </c>
      <c r="Q157" s="27">
        <v>43.823533900000001</v>
      </c>
      <c r="R157" s="27">
        <v>800.03938399999993</v>
      </c>
      <c r="S157" s="27">
        <v>5.0945098800000002E-8</v>
      </c>
      <c r="T157" s="27">
        <v>21.755657818679548</v>
      </c>
      <c r="U157" s="27">
        <v>100.934</v>
      </c>
      <c r="V157" s="27">
        <v>-596.19028086797448</v>
      </c>
      <c r="W157" s="27">
        <v>69.2188491</v>
      </c>
      <c r="X157" s="27">
        <v>94.834379299999995</v>
      </c>
      <c r="Y157" s="27">
        <v>177.97</v>
      </c>
      <c r="Z157" s="27">
        <v>254.388623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0</v>
      </c>
      <c r="AG157" s="27">
        <v>0</v>
      </c>
      <c r="AH157" s="27">
        <v>0</v>
      </c>
      <c r="AI157" s="27">
        <v>0</v>
      </c>
      <c r="AJ157" s="27">
        <v>0</v>
      </c>
      <c r="AK157" s="27">
        <v>0</v>
      </c>
      <c r="AL157" s="27">
        <v>0</v>
      </c>
      <c r="AM157" s="27">
        <v>0</v>
      </c>
      <c r="AN157" s="27">
        <v>2.6423770234427923</v>
      </c>
    </row>
    <row r="158" spans="1:40" x14ac:dyDescent="0.3">
      <c r="A158" s="27">
        <v>28</v>
      </c>
      <c r="B158" s="27">
        <v>15</v>
      </c>
      <c r="C158" s="27">
        <v>4.7768851263775307</v>
      </c>
      <c r="D158" s="27">
        <v>19</v>
      </c>
      <c r="E158" s="27">
        <v>5</v>
      </c>
      <c r="F158" s="27">
        <v>0.30590440453281653</v>
      </c>
      <c r="G158" s="27">
        <v>16</v>
      </c>
      <c r="H158" s="27">
        <v>10</v>
      </c>
      <c r="I158" s="27">
        <v>0.4090203071830214</v>
      </c>
      <c r="J158" s="27">
        <v>327297102.39898723</v>
      </c>
      <c r="K158" s="27">
        <v>165438000</v>
      </c>
      <c r="L158" s="27">
        <v>79934230.73712039</v>
      </c>
      <c r="M158" s="27">
        <v>77255400</v>
      </c>
      <c r="N158" s="27">
        <v>15761914.32</v>
      </c>
      <c r="O158" s="27">
        <v>231.87017800000001</v>
      </c>
      <c r="P158" s="27">
        <v>2.6370590296498642</v>
      </c>
      <c r="Q158" s="27">
        <v>43.808961500000002</v>
      </c>
      <c r="R158" s="27">
        <v>800.1863689999999</v>
      </c>
      <c r="S158" s="27">
        <v>5.68939753E-8</v>
      </c>
      <c r="T158" s="27">
        <v>21.725745791293424</v>
      </c>
      <c r="U158" s="27">
        <v>100.934</v>
      </c>
      <c r="V158" s="27">
        <v>-598.36346435642815</v>
      </c>
      <c r="W158" s="27">
        <v>69.224602399999995</v>
      </c>
      <c r="X158" s="27">
        <v>94.874450699999997</v>
      </c>
      <c r="Y158" s="27">
        <v>170.55</v>
      </c>
      <c r="Z158" s="27">
        <v>254.87023600000001</v>
      </c>
      <c r="AA158" s="27">
        <v>0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I158" s="27">
        <v>0</v>
      </c>
      <c r="AJ158" s="27">
        <v>0</v>
      </c>
      <c r="AK158" s="27">
        <v>0</v>
      </c>
      <c r="AL158" s="27">
        <v>0</v>
      </c>
      <c r="AM158" s="27">
        <v>0</v>
      </c>
      <c r="AN158" s="27">
        <v>2.6370590296498642</v>
      </c>
    </row>
    <row r="159" spans="1:40" x14ac:dyDescent="0.3">
      <c r="A159" s="27">
        <v>39</v>
      </c>
      <c r="B159" s="27">
        <v>19</v>
      </c>
      <c r="C159" s="27">
        <v>2.101453202491891</v>
      </c>
      <c r="D159" s="27">
        <v>20</v>
      </c>
      <c r="E159" s="27">
        <v>13</v>
      </c>
      <c r="F159" s="27">
        <v>0.30945333055041718</v>
      </c>
      <c r="G159" s="27">
        <v>18</v>
      </c>
      <c r="H159" s="27">
        <v>14</v>
      </c>
      <c r="I159" s="27">
        <v>0.77450211033497807</v>
      </c>
      <c r="J159" s="27">
        <v>327124190.94892728</v>
      </c>
      <c r="K159" s="27">
        <v>165443000</v>
      </c>
      <c r="L159" s="27">
        <v>79925220.884973973</v>
      </c>
      <c r="M159" s="27">
        <v>77341300</v>
      </c>
      <c r="N159" s="27">
        <v>15759619.92</v>
      </c>
      <c r="O159" s="27">
        <v>231.61464799999999</v>
      </c>
      <c r="P159" s="27">
        <v>2.6379197080091381</v>
      </c>
      <c r="Q159" s="27">
        <v>43.8150969</v>
      </c>
      <c r="R159" s="27">
        <v>800.26147800000001</v>
      </c>
      <c r="S159" s="27">
        <v>2.0214208299999999E-14</v>
      </c>
      <c r="T159" s="27">
        <v>21.597268612734219</v>
      </c>
      <c r="U159" s="27">
        <v>100.934</v>
      </c>
      <c r="V159" s="27">
        <v>-606.54584824459039</v>
      </c>
      <c r="W159" s="27">
        <v>69.229791899999995</v>
      </c>
      <c r="X159" s="27">
        <v>94.897129500000005</v>
      </c>
      <c r="Y159" s="27">
        <v>144.29</v>
      </c>
      <c r="Z159" s="27">
        <v>255.556838</v>
      </c>
      <c r="AA159" s="27">
        <v>0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I159" s="27">
        <v>0</v>
      </c>
      <c r="AJ159" s="27">
        <v>0</v>
      </c>
      <c r="AK159" s="27">
        <v>0</v>
      </c>
      <c r="AL159" s="27">
        <v>0</v>
      </c>
      <c r="AM159" s="27">
        <v>0</v>
      </c>
      <c r="AN159" s="27">
        <v>2.6379197080091381</v>
      </c>
    </row>
    <row r="160" spans="1:40" x14ac:dyDescent="0.3">
      <c r="A160" s="27">
        <v>31</v>
      </c>
      <c r="B160" s="27">
        <v>12</v>
      </c>
      <c r="C160" s="27">
        <v>5.3484822519848265</v>
      </c>
      <c r="D160" s="27">
        <v>28</v>
      </c>
      <c r="E160" s="27">
        <v>5</v>
      </c>
      <c r="F160" s="27">
        <v>0.33943432357664832</v>
      </c>
      <c r="G160" s="27">
        <v>10</v>
      </c>
      <c r="H160" s="27">
        <v>7</v>
      </c>
      <c r="I160" s="27">
        <v>1.2796968791695087</v>
      </c>
      <c r="J160" s="27">
        <v>327712219.90878671</v>
      </c>
      <c r="K160" s="27">
        <v>165455000</v>
      </c>
      <c r="L160" s="27">
        <v>79930526.683351249</v>
      </c>
      <c r="M160" s="27">
        <v>77331800</v>
      </c>
      <c r="N160" s="27">
        <v>15760950.720000001</v>
      </c>
      <c r="O160" s="27">
        <v>231.655968</v>
      </c>
      <c r="P160" s="27">
        <v>2.6395820694677692</v>
      </c>
      <c r="Q160" s="27">
        <v>43.841597100000001</v>
      </c>
      <c r="R160" s="27">
        <v>800.17016000000001</v>
      </c>
      <c r="S160" s="27">
        <v>4.0940640199999997E-8</v>
      </c>
      <c r="T160" s="27">
        <v>21.779346623178252</v>
      </c>
      <c r="U160" s="27">
        <v>100.934</v>
      </c>
      <c r="V160" s="27">
        <v>-596.33022197672676</v>
      </c>
      <c r="W160" s="27">
        <v>69.223606099999998</v>
      </c>
      <c r="X160" s="27">
        <v>94.868550499999998</v>
      </c>
      <c r="Y160" s="27">
        <v>177.97</v>
      </c>
      <c r="Z160" s="27">
        <v>255.599153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0</v>
      </c>
      <c r="AG160" s="27">
        <v>0</v>
      </c>
      <c r="AH160" s="27">
        <v>0</v>
      </c>
      <c r="AI160" s="27">
        <v>0</v>
      </c>
      <c r="AJ160" s="27">
        <v>0</v>
      </c>
      <c r="AK160" s="27">
        <v>0</v>
      </c>
      <c r="AL160" s="27">
        <v>0</v>
      </c>
      <c r="AM160" s="27">
        <v>0</v>
      </c>
      <c r="AN160" s="27">
        <v>2.6395820694677692</v>
      </c>
    </row>
    <row r="161" spans="1:40" x14ac:dyDescent="0.3">
      <c r="A161" s="27">
        <v>31</v>
      </c>
      <c r="B161" s="27">
        <v>10</v>
      </c>
      <c r="C161" s="27">
        <v>10.153466175260386</v>
      </c>
      <c r="D161" s="27">
        <v>26</v>
      </c>
      <c r="E161" s="27">
        <v>7</v>
      </c>
      <c r="F161" s="27">
        <v>0.31533139971731078</v>
      </c>
      <c r="G161" s="27">
        <v>29</v>
      </c>
      <c r="H161" s="27">
        <v>14</v>
      </c>
      <c r="I161" s="27">
        <v>1.2906014478625916</v>
      </c>
      <c r="J161" s="27">
        <v>329029390.72964036</v>
      </c>
      <c r="K161" s="27">
        <v>165529000</v>
      </c>
      <c r="L161" s="27">
        <v>79926021.854657248</v>
      </c>
      <c r="M161" s="27">
        <v>77289000</v>
      </c>
      <c r="N161" s="27">
        <v>15759927.680000002</v>
      </c>
      <c r="O161" s="27">
        <v>231.73553200000001</v>
      </c>
      <c r="P161" s="27">
        <v>2.6447592963899722</v>
      </c>
      <c r="Q161" s="27">
        <v>43.833775099999997</v>
      </c>
      <c r="R161" s="27">
        <v>800.02000199999998</v>
      </c>
      <c r="S161" s="27">
        <v>1.1605575699999999E-9</v>
      </c>
      <c r="T161" s="27">
        <v>21.704204721003897</v>
      </c>
      <c r="U161" s="27">
        <v>100.934</v>
      </c>
      <c r="V161" s="27">
        <v>-598.62715916414606</v>
      </c>
      <c r="W161" s="27">
        <v>69.222040699999994</v>
      </c>
      <c r="X161" s="27">
        <v>94.859981000000005</v>
      </c>
      <c r="Y161" s="27">
        <v>177.97</v>
      </c>
      <c r="Z161" s="27">
        <v>254.27468999999999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</v>
      </c>
      <c r="AI161" s="27">
        <v>0</v>
      </c>
      <c r="AJ161" s="27">
        <v>0</v>
      </c>
      <c r="AK161" s="27">
        <v>0</v>
      </c>
      <c r="AL161" s="27">
        <v>0</v>
      </c>
      <c r="AM161" s="27">
        <v>0</v>
      </c>
      <c r="AN161" s="27">
        <v>2.6447592963899722</v>
      </c>
    </row>
    <row r="162" spans="1:40" x14ac:dyDescent="0.3">
      <c r="A162" s="27">
        <v>39</v>
      </c>
      <c r="B162" s="27">
        <v>16</v>
      </c>
      <c r="C162" s="27">
        <v>2.4380949337787143</v>
      </c>
      <c r="D162" s="27">
        <v>18</v>
      </c>
      <c r="E162" s="27">
        <v>13</v>
      </c>
      <c r="F162" s="27">
        <v>0.31436505198218273</v>
      </c>
      <c r="G162" s="27">
        <v>26</v>
      </c>
      <c r="H162" s="27">
        <v>7</v>
      </c>
      <c r="I162" s="27">
        <v>0.95338320930411524</v>
      </c>
      <c r="J162" s="27">
        <v>327485872.7162447</v>
      </c>
      <c r="K162" s="27">
        <v>165464000</v>
      </c>
      <c r="L162" s="27">
        <v>79926722.568976894</v>
      </c>
      <c r="M162" s="27">
        <v>77283000</v>
      </c>
      <c r="N162" s="27">
        <v>15760094.719999999</v>
      </c>
      <c r="O162" s="27">
        <v>231.60004599999999</v>
      </c>
      <c r="P162" s="27">
        <v>2.6406576419829797</v>
      </c>
      <c r="Q162" s="27">
        <v>43.805558699999999</v>
      </c>
      <c r="R162" s="27">
        <v>800.57622900000001</v>
      </c>
      <c r="S162" s="27">
        <v>1.96194377E-14</v>
      </c>
      <c r="T162" s="27">
        <v>21.555451654804234</v>
      </c>
      <c r="U162" s="27">
        <v>100.934</v>
      </c>
      <c r="V162" s="27">
        <v>-611.05949338164555</v>
      </c>
      <c r="W162" s="27">
        <v>69.227877199999995</v>
      </c>
      <c r="X162" s="27">
        <v>94.886740799999998</v>
      </c>
      <c r="Y162" s="27">
        <v>144.29</v>
      </c>
      <c r="Z162" s="27">
        <v>254.06661500000001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0</v>
      </c>
      <c r="AI162" s="27">
        <v>0</v>
      </c>
      <c r="AJ162" s="27">
        <v>0</v>
      </c>
      <c r="AK162" s="27">
        <v>0</v>
      </c>
      <c r="AL162" s="27">
        <v>0</v>
      </c>
      <c r="AM162" s="27">
        <v>0</v>
      </c>
      <c r="AN162" s="27">
        <v>2.6406576419829797</v>
      </c>
    </row>
    <row r="163" spans="1:40" x14ac:dyDescent="0.3">
      <c r="A163" s="27">
        <v>30</v>
      </c>
      <c r="B163" s="27">
        <v>10</v>
      </c>
      <c r="C163" s="27">
        <v>7.6776856373334832</v>
      </c>
      <c r="D163" s="27">
        <v>17</v>
      </c>
      <c r="E163" s="27">
        <v>5</v>
      </c>
      <c r="F163" s="27">
        <v>0.30231653422670246</v>
      </c>
      <c r="G163" s="27">
        <v>10</v>
      </c>
      <c r="H163" s="27">
        <v>8</v>
      </c>
      <c r="I163" s="27">
        <v>0.76909340367703316</v>
      </c>
      <c r="J163" s="27">
        <v>327754117.80864114</v>
      </c>
      <c r="K163" s="27">
        <v>165467000</v>
      </c>
      <c r="L163" s="27">
        <v>79940437.417252019</v>
      </c>
      <c r="M163" s="27">
        <v>77365600</v>
      </c>
      <c r="N163" s="27">
        <v>15763189.119999999</v>
      </c>
      <c r="O163" s="27">
        <v>231.87725800000001</v>
      </c>
      <c r="P163" s="27">
        <v>2.6367706547436751</v>
      </c>
      <c r="Q163" s="27">
        <v>43.804585400000001</v>
      </c>
      <c r="R163" s="27">
        <v>800.23711600000001</v>
      </c>
      <c r="S163" s="27">
        <v>5.9162041900000002E-8</v>
      </c>
      <c r="T163" s="27">
        <v>21.714067147382046</v>
      </c>
      <c r="U163" s="27">
        <v>100.934</v>
      </c>
      <c r="V163" s="27">
        <v>-599.8770824344499</v>
      </c>
      <c r="W163" s="27">
        <v>69.223982699999993</v>
      </c>
      <c r="X163" s="27">
        <v>94.869175600000005</v>
      </c>
      <c r="Y163" s="27">
        <v>170.55</v>
      </c>
      <c r="Z163" s="27">
        <v>260.55696399999999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0</v>
      </c>
      <c r="AG163" s="27">
        <v>0</v>
      </c>
      <c r="AH163" s="27">
        <v>0</v>
      </c>
      <c r="AI163" s="27">
        <v>0</v>
      </c>
      <c r="AJ163" s="27">
        <v>0</v>
      </c>
      <c r="AK163" s="27">
        <v>0</v>
      </c>
      <c r="AL163" s="27">
        <v>0</v>
      </c>
      <c r="AM163" s="27">
        <v>0</v>
      </c>
      <c r="AN163" s="27">
        <v>2.6367706547436751</v>
      </c>
    </row>
    <row r="164" spans="1:40" x14ac:dyDescent="0.3">
      <c r="A164" s="27">
        <v>30</v>
      </c>
      <c r="B164" s="27">
        <v>11</v>
      </c>
      <c r="C164" s="27">
        <v>13.112449986124027</v>
      </c>
      <c r="D164" s="27">
        <v>29</v>
      </c>
      <c r="E164" s="27">
        <v>14</v>
      </c>
      <c r="F164" s="27">
        <v>0.3398344517765568</v>
      </c>
      <c r="G164" s="27">
        <v>29</v>
      </c>
      <c r="H164" s="27">
        <v>7</v>
      </c>
      <c r="I164" s="27">
        <v>1.2474683919483729</v>
      </c>
      <c r="J164" s="27">
        <v>329784444.44057488</v>
      </c>
      <c r="K164" s="27">
        <v>165569000</v>
      </c>
      <c r="L164" s="27">
        <v>79926121.932724968</v>
      </c>
      <c r="M164" s="27">
        <v>77368100</v>
      </c>
      <c r="N164" s="27">
        <v>15759946</v>
      </c>
      <c r="O164" s="27">
        <v>231.407905</v>
      </c>
      <c r="P164" s="27">
        <v>2.649972886291597</v>
      </c>
      <c r="Q164" s="27">
        <v>43.863117600000002</v>
      </c>
      <c r="R164" s="27">
        <v>800.10149100000001</v>
      </c>
      <c r="S164" s="27">
        <v>1.0206929700000001E-15</v>
      </c>
      <c r="T164" s="27">
        <v>21.689322779537886</v>
      </c>
      <c r="U164" s="27">
        <v>100.934</v>
      </c>
      <c r="V164" s="27">
        <v>-605.31419408660963</v>
      </c>
      <c r="W164" s="27">
        <v>69.220595200000005</v>
      </c>
      <c r="X164" s="27">
        <v>94.852771000000004</v>
      </c>
      <c r="Y164" s="27">
        <v>170.55</v>
      </c>
      <c r="Z164" s="27">
        <v>254.06872000000001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7">
        <v>0</v>
      </c>
      <c r="AH164" s="27">
        <v>0</v>
      </c>
      <c r="AI164" s="27">
        <v>0</v>
      </c>
      <c r="AJ164" s="27">
        <v>0</v>
      </c>
      <c r="AK164" s="27">
        <v>0</v>
      </c>
      <c r="AL164" s="27">
        <v>0</v>
      </c>
      <c r="AM164" s="27">
        <v>0</v>
      </c>
      <c r="AN164" s="27">
        <v>2.649972886291597</v>
      </c>
    </row>
    <row r="165" spans="1:40" x14ac:dyDescent="0.3">
      <c r="A165" s="27">
        <v>34</v>
      </c>
      <c r="B165" s="27">
        <v>15</v>
      </c>
      <c r="C165" s="27">
        <v>7.8785714277109484</v>
      </c>
      <c r="D165" s="27">
        <v>15</v>
      </c>
      <c r="E165" s="27">
        <v>13</v>
      </c>
      <c r="F165" s="27">
        <v>0.3264912006558946</v>
      </c>
      <c r="G165" s="27">
        <v>15</v>
      </c>
      <c r="H165" s="27">
        <v>12</v>
      </c>
      <c r="I165" s="27">
        <v>0.32509669783539341</v>
      </c>
      <c r="J165" s="27">
        <v>328013040.02225745</v>
      </c>
      <c r="K165" s="27">
        <v>165485000</v>
      </c>
      <c r="L165" s="27">
        <v>79956454.956398219</v>
      </c>
      <c r="M165" s="27">
        <v>77155600</v>
      </c>
      <c r="N165" s="27">
        <v>15767174.16</v>
      </c>
      <c r="O165" s="27">
        <v>232.20239900000001</v>
      </c>
      <c r="P165" s="27">
        <v>2.6381699429631809</v>
      </c>
      <c r="Q165" s="27">
        <v>43.724241300000003</v>
      </c>
      <c r="R165" s="27">
        <v>801.75242900000001</v>
      </c>
      <c r="S165" s="27">
        <v>3.5763286700000002E-14</v>
      </c>
      <c r="T165" s="27">
        <v>21.258454260855853</v>
      </c>
      <c r="U165" s="27">
        <v>100.934</v>
      </c>
      <c r="V165" s="27">
        <v>-619.24755983423938</v>
      </c>
      <c r="W165" s="27">
        <v>69.219440599999999</v>
      </c>
      <c r="X165" s="27">
        <v>94.843576799999994</v>
      </c>
      <c r="Y165" s="27">
        <v>121.52199999999999</v>
      </c>
      <c r="Z165" s="27">
        <v>260.81382100000002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7">
        <v>0</v>
      </c>
      <c r="AH165" s="27">
        <v>0</v>
      </c>
      <c r="AI165" s="27">
        <v>0</v>
      </c>
      <c r="AJ165" s="27">
        <v>0</v>
      </c>
      <c r="AK165" s="27">
        <v>0</v>
      </c>
      <c r="AL165" s="27">
        <v>0</v>
      </c>
      <c r="AM165" s="27">
        <v>0</v>
      </c>
      <c r="AN165" s="27">
        <v>2.6381699429631809</v>
      </c>
    </row>
    <row r="166" spans="1:40" x14ac:dyDescent="0.3">
      <c r="A166" s="27">
        <v>38</v>
      </c>
      <c r="B166" s="27">
        <v>17</v>
      </c>
      <c r="C166" s="27">
        <v>4.6464293025152648</v>
      </c>
      <c r="D166" s="27">
        <v>18</v>
      </c>
      <c r="E166" s="27">
        <v>5</v>
      </c>
      <c r="F166" s="27">
        <v>0.30593636436343713</v>
      </c>
      <c r="G166" s="27">
        <v>12</v>
      </c>
      <c r="H166" s="27">
        <v>10</v>
      </c>
      <c r="I166" s="27">
        <v>0.83127782698004715</v>
      </c>
      <c r="J166" s="27">
        <v>327479605.54042232</v>
      </c>
      <c r="K166" s="27">
        <v>165455000</v>
      </c>
      <c r="L166" s="27">
        <v>79934431.008713886</v>
      </c>
      <c r="M166" s="27">
        <v>77359000</v>
      </c>
      <c r="N166" s="27">
        <v>15761740.560000001</v>
      </c>
      <c r="O166" s="27">
        <v>231.89038300000001</v>
      </c>
      <c r="P166" s="27">
        <v>2.6357149873602048</v>
      </c>
      <c r="Q166" s="27">
        <v>43.809440899999998</v>
      </c>
      <c r="R166" s="27">
        <v>800.198038</v>
      </c>
      <c r="S166" s="27">
        <v>5.7029455300000002E-8</v>
      </c>
      <c r="T166" s="27">
        <v>21.718768560590718</v>
      </c>
      <c r="U166" s="27">
        <v>100.934</v>
      </c>
      <c r="V166" s="27">
        <v>-600.81968641638696</v>
      </c>
      <c r="W166" s="27">
        <v>69.2195751</v>
      </c>
      <c r="X166" s="27">
        <v>94.845231400000003</v>
      </c>
      <c r="Y166" s="27">
        <v>170.55</v>
      </c>
      <c r="Z166" s="27">
        <v>260.15425800000003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7">
        <v>0</v>
      </c>
      <c r="AM166" s="27">
        <v>0</v>
      </c>
      <c r="AN166" s="27">
        <v>2.6357149873602048</v>
      </c>
    </row>
    <row r="167" spans="1:40" x14ac:dyDescent="0.3">
      <c r="A167" s="27">
        <v>27</v>
      </c>
      <c r="B167" s="27">
        <v>19</v>
      </c>
      <c r="C167" s="27">
        <v>7.0307976425055232</v>
      </c>
      <c r="D167" s="27">
        <v>16</v>
      </c>
      <c r="E167" s="27">
        <v>5</v>
      </c>
      <c r="F167" s="27">
        <v>0.32439447245383241</v>
      </c>
      <c r="G167" s="27">
        <v>17</v>
      </c>
      <c r="H167" s="27">
        <v>11</v>
      </c>
      <c r="I167" s="27">
        <v>1.3832888326044295</v>
      </c>
      <c r="J167" s="27">
        <v>327938207.82766145</v>
      </c>
      <c r="K167" s="27">
        <v>165454000</v>
      </c>
      <c r="L167" s="27">
        <v>79924820.53962703</v>
      </c>
      <c r="M167" s="27">
        <v>77285500</v>
      </c>
      <c r="N167" s="27">
        <v>15759616.4</v>
      </c>
      <c r="O167" s="27">
        <v>231.664298</v>
      </c>
      <c r="P167" s="27">
        <v>2.6410125659670518</v>
      </c>
      <c r="Q167" s="27">
        <v>43.8221712</v>
      </c>
      <c r="R167" s="27">
        <v>800.38713500000006</v>
      </c>
      <c r="S167" s="27">
        <v>4.7694060400000003E-8</v>
      </c>
      <c r="T167" s="27">
        <v>21.72874928507575</v>
      </c>
      <c r="U167" s="27">
        <v>100.934</v>
      </c>
      <c r="V167" s="27">
        <v>-603.88142256533854</v>
      </c>
      <c r="W167" s="27">
        <v>69.224093600000003</v>
      </c>
      <c r="X167" s="27">
        <v>94.8709147</v>
      </c>
      <c r="Y167" s="27">
        <v>165.7</v>
      </c>
      <c r="Z167" s="27">
        <v>254.42957699999999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0</v>
      </c>
      <c r="AI167" s="27">
        <v>0</v>
      </c>
      <c r="AJ167" s="27">
        <v>0</v>
      </c>
      <c r="AK167" s="27">
        <v>0</v>
      </c>
      <c r="AL167" s="27">
        <v>0</v>
      </c>
      <c r="AM167" s="27">
        <v>0</v>
      </c>
      <c r="AN167" s="27">
        <v>2.6410125659670518</v>
      </c>
    </row>
    <row r="168" spans="1:40" x14ac:dyDescent="0.3">
      <c r="A168" s="27">
        <v>27</v>
      </c>
      <c r="B168" s="27">
        <v>10</v>
      </c>
      <c r="C168" s="27">
        <v>5.59892790954604</v>
      </c>
      <c r="D168" s="27">
        <v>28</v>
      </c>
      <c r="E168" s="27">
        <v>14</v>
      </c>
      <c r="F168" s="27">
        <v>0.30857249364898159</v>
      </c>
      <c r="G168" s="27">
        <v>21</v>
      </c>
      <c r="H168" s="27">
        <v>7</v>
      </c>
      <c r="I168" s="27">
        <v>0.35977374487097957</v>
      </c>
      <c r="J168" s="27">
        <v>327796049.93475413</v>
      </c>
      <c r="K168" s="27">
        <v>165478000</v>
      </c>
      <c r="L168" s="27">
        <v>79937834.771578044</v>
      </c>
      <c r="M168" s="27">
        <v>77283000</v>
      </c>
      <c r="N168" s="27">
        <v>15762935.040000001</v>
      </c>
      <c r="O168" s="27">
        <v>231.70756399999999</v>
      </c>
      <c r="P168" s="27">
        <v>2.6406077857517296</v>
      </c>
      <c r="Q168" s="27">
        <v>43.827570399999999</v>
      </c>
      <c r="R168" s="27">
        <v>799.89878099999999</v>
      </c>
      <c r="S168" s="27">
        <v>2.9753971199999999E-15</v>
      </c>
      <c r="T168" s="27">
        <v>21.63720889795102</v>
      </c>
      <c r="U168" s="27">
        <v>100.934</v>
      </c>
      <c r="V168" s="27">
        <v>-598.81060524195993</v>
      </c>
      <c r="W168" s="27">
        <v>69.230189100000004</v>
      </c>
      <c r="X168" s="27">
        <v>94.894656299999994</v>
      </c>
      <c r="Y168" s="27">
        <v>170.55</v>
      </c>
      <c r="Z168" s="27">
        <v>253.40918400000001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7">
        <v>0</v>
      </c>
      <c r="AN168" s="27">
        <v>2.6406077857517296</v>
      </c>
    </row>
    <row r="169" spans="1:40" x14ac:dyDescent="0.3">
      <c r="A169" s="27">
        <v>30</v>
      </c>
      <c r="B169" s="27">
        <v>11</v>
      </c>
      <c r="C169" s="27">
        <v>11.294741255196101</v>
      </c>
      <c r="D169" s="27">
        <v>10</v>
      </c>
      <c r="E169" s="27">
        <v>5</v>
      </c>
      <c r="F169" s="27">
        <v>0.366670302346078</v>
      </c>
      <c r="G169" s="27">
        <v>12</v>
      </c>
      <c r="H169" s="27">
        <v>8</v>
      </c>
      <c r="I169" s="27">
        <v>1.2002053178383998</v>
      </c>
      <c r="J169" s="27">
        <v>328560324.63870674</v>
      </c>
      <c r="K169" s="27">
        <v>165499000</v>
      </c>
      <c r="L169" s="27">
        <v>79927423.359926179</v>
      </c>
      <c r="M169" s="27">
        <v>77334900</v>
      </c>
      <c r="N169" s="27">
        <v>15760230.48</v>
      </c>
      <c r="O169" s="27">
        <v>231.30247800000001</v>
      </c>
      <c r="P169" s="27">
        <v>2.6468857207398195</v>
      </c>
      <c r="Q169" s="27">
        <v>43.828155299999999</v>
      </c>
      <c r="R169" s="27">
        <v>801.12983699999995</v>
      </c>
      <c r="S169" s="27">
        <v>3.5252303099999999E-8</v>
      </c>
      <c r="T169" s="27">
        <v>21.69286892832983</v>
      </c>
      <c r="U169" s="27">
        <v>100.934</v>
      </c>
      <c r="V169" s="27">
        <v>-616.41828821037655</v>
      </c>
      <c r="W169" s="27">
        <v>69.220979499999999</v>
      </c>
      <c r="X169" s="27">
        <v>94.855114299999997</v>
      </c>
      <c r="Y169" s="27">
        <v>144.29</v>
      </c>
      <c r="Z169" s="27">
        <v>254.784615</v>
      </c>
      <c r="AA169" s="27">
        <v>0</v>
      </c>
      <c r="AB169" s="27">
        <v>0</v>
      </c>
      <c r="AC169" s="27">
        <v>0</v>
      </c>
      <c r="AD169" s="27">
        <v>0</v>
      </c>
      <c r="AE169" s="27">
        <v>0</v>
      </c>
      <c r="AF169" s="27">
        <v>0</v>
      </c>
      <c r="AG169" s="27">
        <v>0</v>
      </c>
      <c r="AH169" s="27">
        <v>0</v>
      </c>
      <c r="AI169" s="27">
        <v>0</v>
      </c>
      <c r="AJ169" s="27">
        <v>0</v>
      </c>
      <c r="AK169" s="27">
        <v>0</v>
      </c>
      <c r="AL169" s="27">
        <v>0</v>
      </c>
      <c r="AM169" s="27">
        <v>0</v>
      </c>
      <c r="AN169" s="27">
        <v>2.6468857207398195</v>
      </c>
    </row>
    <row r="170" spans="1:40" x14ac:dyDescent="0.3">
      <c r="A170" s="27">
        <v>39</v>
      </c>
      <c r="B170" s="27">
        <v>16</v>
      </c>
      <c r="C170" s="27">
        <v>7.0423083661828594</v>
      </c>
      <c r="D170" s="27">
        <v>21</v>
      </c>
      <c r="E170" s="27">
        <v>5</v>
      </c>
      <c r="F170" s="27">
        <v>0.31110831393541677</v>
      </c>
      <c r="G170" s="27">
        <v>17</v>
      </c>
      <c r="H170" s="27">
        <v>14</v>
      </c>
      <c r="I170" s="27">
        <v>0.5960373779571253</v>
      </c>
      <c r="J170" s="27">
        <v>328242626.11860055</v>
      </c>
      <c r="K170" s="27">
        <v>165472000</v>
      </c>
      <c r="L170" s="27">
        <v>79928124.163407385</v>
      </c>
      <c r="M170" s="27">
        <v>77239300</v>
      </c>
      <c r="N170" s="27">
        <v>15760458.959999999</v>
      </c>
      <c r="O170" s="27">
        <v>231.88041100000001</v>
      </c>
      <c r="P170" s="27">
        <v>2.6406645393051296</v>
      </c>
      <c r="Q170" s="27">
        <v>43.816135899999999</v>
      </c>
      <c r="R170" s="27">
        <v>800.13867900000002</v>
      </c>
      <c r="S170" s="27">
        <v>5.3945615299999997E-8</v>
      </c>
      <c r="T170" s="27">
        <v>21.733091846931984</v>
      </c>
      <c r="U170" s="27">
        <v>100.934</v>
      </c>
      <c r="V170" s="27">
        <v>-599.15152450353401</v>
      </c>
      <c r="W170" s="27">
        <v>69.219078999999994</v>
      </c>
      <c r="X170" s="27">
        <v>94.838749699999994</v>
      </c>
      <c r="Y170" s="27">
        <v>170.55</v>
      </c>
      <c r="Z170" s="27">
        <v>254.24902499999999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0</v>
      </c>
      <c r="AM170" s="27">
        <v>0</v>
      </c>
      <c r="AN170" s="27">
        <v>2.6406645393051296</v>
      </c>
    </row>
    <row r="171" spans="1:40" x14ac:dyDescent="0.3">
      <c r="A171" s="27">
        <v>32</v>
      </c>
      <c r="B171" s="27">
        <v>18</v>
      </c>
      <c r="C171" s="27">
        <v>13.310578763946388</v>
      </c>
      <c r="D171" s="27">
        <v>16</v>
      </c>
      <c r="E171" s="27">
        <v>14</v>
      </c>
      <c r="F171" s="27">
        <v>0.41836388550374876</v>
      </c>
      <c r="G171" s="27">
        <v>10</v>
      </c>
      <c r="H171" s="27">
        <v>7</v>
      </c>
      <c r="I171" s="27">
        <v>0.69809102925410027</v>
      </c>
      <c r="J171" s="27">
        <v>329110585.33696347</v>
      </c>
      <c r="K171" s="27">
        <v>165525000</v>
      </c>
      <c r="L171" s="27">
        <v>79935732.398935646</v>
      </c>
      <c r="M171" s="27">
        <v>77292500</v>
      </c>
      <c r="N171" s="27">
        <v>15762177.040000001</v>
      </c>
      <c r="O171" s="27">
        <v>231.31493</v>
      </c>
      <c r="P171" s="27">
        <v>2.6496634453363641</v>
      </c>
      <c r="Q171" s="27">
        <v>43.798180199999997</v>
      </c>
      <c r="R171" s="27">
        <v>802.26059299999997</v>
      </c>
      <c r="S171" s="27">
        <v>5.9397422399999998E-16</v>
      </c>
      <c r="T171" s="27">
        <v>21.418421728842759</v>
      </c>
      <c r="U171" s="27">
        <v>100.934</v>
      </c>
      <c r="V171" s="27">
        <v>-628.51303237611376</v>
      </c>
      <c r="W171" s="27">
        <v>69.219078999999994</v>
      </c>
      <c r="X171" s="27">
        <v>94.837670000000003</v>
      </c>
      <c r="Y171" s="27">
        <v>121.52199999999999</v>
      </c>
      <c r="Z171" s="27">
        <v>256.91456699999998</v>
      </c>
      <c r="AA171" s="27">
        <v>0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I171" s="27">
        <v>0</v>
      </c>
      <c r="AJ171" s="27">
        <v>0</v>
      </c>
      <c r="AK171" s="27">
        <v>0</v>
      </c>
      <c r="AL171" s="27">
        <v>0</v>
      </c>
      <c r="AM171" s="27">
        <v>0</v>
      </c>
      <c r="AN171" s="27">
        <v>2.6496634453363641</v>
      </c>
    </row>
    <row r="172" spans="1:40" x14ac:dyDescent="0.3">
      <c r="A172" s="27">
        <v>38</v>
      </c>
      <c r="B172" s="27">
        <v>10</v>
      </c>
      <c r="C172" s="27">
        <v>5.659700583810416</v>
      </c>
      <c r="D172" s="27">
        <v>19</v>
      </c>
      <c r="E172" s="27">
        <v>5</v>
      </c>
      <c r="F172" s="27">
        <v>0.32639214178076675</v>
      </c>
      <c r="G172" s="27">
        <v>14</v>
      </c>
      <c r="H172" s="27">
        <v>12</v>
      </c>
      <c r="I172" s="27">
        <v>1.2251188101427668</v>
      </c>
      <c r="J172" s="27">
        <v>327852647.63206255</v>
      </c>
      <c r="K172" s="27">
        <v>165469000</v>
      </c>
      <c r="L172" s="27">
        <v>79926822.654029623</v>
      </c>
      <c r="M172" s="27">
        <v>77286500</v>
      </c>
      <c r="N172" s="27">
        <v>15760108.24</v>
      </c>
      <c r="O172" s="27">
        <v>231.67201399999999</v>
      </c>
      <c r="P172" s="27">
        <v>2.6409406528283803</v>
      </c>
      <c r="Q172" s="27">
        <v>43.826058600000003</v>
      </c>
      <c r="R172" s="27">
        <v>800.30412799999999</v>
      </c>
      <c r="S172" s="27">
        <v>4.6513844399999999E-8</v>
      </c>
      <c r="T172" s="27">
        <v>21.743800421182264</v>
      </c>
      <c r="U172" s="27">
        <v>100.934</v>
      </c>
      <c r="V172" s="27">
        <v>-599.7582234170153</v>
      </c>
      <c r="W172" s="27">
        <v>69.225604799999999</v>
      </c>
      <c r="X172" s="27">
        <v>94.872390300000006</v>
      </c>
      <c r="Y172" s="27">
        <v>170.55</v>
      </c>
      <c r="Z172" s="27">
        <v>254.29047399999999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0</v>
      </c>
      <c r="AI172" s="27">
        <v>0</v>
      </c>
      <c r="AJ172" s="27">
        <v>0</v>
      </c>
      <c r="AK172" s="27">
        <v>0</v>
      </c>
      <c r="AL172" s="27">
        <v>0</v>
      </c>
      <c r="AM172" s="27">
        <v>0</v>
      </c>
      <c r="AN172" s="27">
        <v>2.6409406528283803</v>
      </c>
    </row>
    <row r="173" spans="1:40" x14ac:dyDescent="0.3">
      <c r="A173" s="27">
        <v>34</v>
      </c>
      <c r="B173" s="27">
        <v>10</v>
      </c>
      <c r="C173" s="27">
        <v>8.9839746677168524</v>
      </c>
      <c r="D173" s="27">
        <v>10</v>
      </c>
      <c r="E173" s="27">
        <v>5</v>
      </c>
      <c r="F173" s="27">
        <v>0.30580688258166788</v>
      </c>
      <c r="G173" s="27">
        <v>27</v>
      </c>
      <c r="H173" s="27">
        <v>14</v>
      </c>
      <c r="I173" s="27">
        <v>0.63787865968726498</v>
      </c>
      <c r="J173" s="27">
        <v>328402516.27451926</v>
      </c>
      <c r="K173" s="27">
        <v>165508000</v>
      </c>
      <c r="L173" s="27">
        <v>79924720.454163417</v>
      </c>
      <c r="M173" s="27">
        <v>77208700</v>
      </c>
      <c r="N173" s="27">
        <v>15759605.84</v>
      </c>
      <c r="O173" s="27">
        <v>231.81071399999999</v>
      </c>
      <c r="P173" s="27">
        <v>2.6431949820185974</v>
      </c>
      <c r="Q173" s="27">
        <v>43.782918500000001</v>
      </c>
      <c r="R173" s="27">
        <v>800.84619399999997</v>
      </c>
      <c r="S173" s="27">
        <v>6.0751882199999999E-8</v>
      </c>
      <c r="T173" s="27">
        <v>21.635776962571718</v>
      </c>
      <c r="U173" s="27">
        <v>100.934</v>
      </c>
      <c r="V173" s="27">
        <v>-610.09528072691887</v>
      </c>
      <c r="W173" s="27">
        <v>69.2221653</v>
      </c>
      <c r="X173" s="27">
        <v>94.859543900000006</v>
      </c>
      <c r="Y173" s="27">
        <v>144.29</v>
      </c>
      <c r="Z173" s="27">
        <v>254.33816100000001</v>
      </c>
      <c r="AA173" s="27">
        <v>0</v>
      </c>
      <c r="AB173" s="27">
        <v>0</v>
      </c>
      <c r="AC173" s="27">
        <v>0</v>
      </c>
      <c r="AD173" s="27">
        <v>0</v>
      </c>
      <c r="AE173" s="27">
        <v>0</v>
      </c>
      <c r="AF173" s="27">
        <v>0</v>
      </c>
      <c r="AG173" s="27">
        <v>0</v>
      </c>
      <c r="AH173" s="27">
        <v>0</v>
      </c>
      <c r="AI173" s="27">
        <v>0</v>
      </c>
      <c r="AJ173" s="27">
        <v>0</v>
      </c>
      <c r="AK173" s="27">
        <v>0</v>
      </c>
      <c r="AL173" s="27">
        <v>0</v>
      </c>
      <c r="AM173" s="27">
        <v>0</v>
      </c>
      <c r="AN173" s="27">
        <v>2.6431949820185974</v>
      </c>
    </row>
    <row r="174" spans="1:40" x14ac:dyDescent="0.3">
      <c r="A174" s="27">
        <v>36</v>
      </c>
      <c r="B174" s="27">
        <v>19</v>
      </c>
      <c r="C174" s="27">
        <v>1.078826061890211</v>
      </c>
      <c r="D174" s="27">
        <v>16</v>
      </c>
      <c r="E174" s="27">
        <v>14</v>
      </c>
      <c r="F174" s="27">
        <v>0.33763774249905087</v>
      </c>
      <c r="G174" s="27">
        <v>26</v>
      </c>
      <c r="H174" s="27">
        <v>9</v>
      </c>
      <c r="I174" s="27">
        <v>1.0323224160448179</v>
      </c>
      <c r="J174" s="27">
        <v>327035868.90444088</v>
      </c>
      <c r="K174" s="27">
        <v>165443000</v>
      </c>
      <c r="L174" s="27">
        <v>79925321.04665634</v>
      </c>
      <c r="M174" s="27">
        <v>77881300</v>
      </c>
      <c r="N174" s="27">
        <v>15759741.040000001</v>
      </c>
      <c r="O174" s="27">
        <v>229.311216</v>
      </c>
      <c r="P174" s="27">
        <v>2.6537609168864447</v>
      </c>
      <c r="Q174" s="27">
        <v>43.764052100000001</v>
      </c>
      <c r="R174" s="27">
        <v>802.15601800000002</v>
      </c>
      <c r="S174" s="27">
        <v>3.7752820899999998E-8</v>
      </c>
      <c r="T174" s="27">
        <v>21.929284432321854</v>
      </c>
      <c r="U174" s="27">
        <v>91.850000000000009</v>
      </c>
      <c r="V174" s="27">
        <v>-496.87664048273098</v>
      </c>
      <c r="W174" s="27">
        <v>69.547483999999997</v>
      </c>
      <c r="X174" s="27">
        <v>96.471138800000006</v>
      </c>
      <c r="Y174" s="27">
        <v>165.7</v>
      </c>
      <c r="Z174" s="27">
        <v>254.21973800000001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2.6537609168864447</v>
      </c>
    </row>
    <row r="175" spans="1:40" x14ac:dyDescent="0.3">
      <c r="A175" s="27">
        <v>34</v>
      </c>
      <c r="B175" s="27">
        <v>15</v>
      </c>
      <c r="C175" s="27">
        <v>2.9347225478082253</v>
      </c>
      <c r="D175" s="27">
        <v>21</v>
      </c>
      <c r="E175" s="27">
        <v>11</v>
      </c>
      <c r="F175" s="27">
        <v>0.30532567540483374</v>
      </c>
      <c r="G175" s="27">
        <v>25</v>
      </c>
      <c r="H175" s="27">
        <v>7</v>
      </c>
      <c r="I175" s="27">
        <v>0.59844956630953139</v>
      </c>
      <c r="J175" s="27">
        <v>327343644.27309942</v>
      </c>
      <c r="K175" s="27">
        <v>165449000</v>
      </c>
      <c r="L175" s="27">
        <v>79929125.179314971</v>
      </c>
      <c r="M175" s="27">
        <v>77287400</v>
      </c>
      <c r="N175" s="27">
        <v>15760704</v>
      </c>
      <c r="O175" s="27">
        <v>231.70593700000001</v>
      </c>
      <c r="P175" s="27">
        <v>2.6386645441823604</v>
      </c>
      <c r="Q175" s="27">
        <v>43.819975399999997</v>
      </c>
      <c r="R175" s="27">
        <v>800.07371000000001</v>
      </c>
      <c r="S175" s="27">
        <v>8.6711391400000002E-13</v>
      </c>
      <c r="T175" s="27">
        <v>21.622661703959213</v>
      </c>
      <c r="U175" s="27">
        <v>100.934</v>
      </c>
      <c r="V175" s="27">
        <v>-603.52291646882293</v>
      </c>
      <c r="W175" s="27">
        <v>69.226429800000005</v>
      </c>
      <c r="X175" s="27">
        <v>94.881297000000004</v>
      </c>
      <c r="Y175" s="27">
        <v>165.7</v>
      </c>
      <c r="Z175" s="27">
        <v>253.91928999999999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7">
        <v>0</v>
      </c>
      <c r="AH175" s="27">
        <v>0</v>
      </c>
      <c r="AI175" s="27">
        <v>0</v>
      </c>
      <c r="AJ175" s="27">
        <v>0</v>
      </c>
      <c r="AK175" s="27">
        <v>0</v>
      </c>
      <c r="AL175" s="27">
        <v>0</v>
      </c>
      <c r="AM175" s="27">
        <v>0</v>
      </c>
      <c r="AN175" s="27">
        <v>2.6386645441823604</v>
      </c>
    </row>
    <row r="176" spans="1:40" x14ac:dyDescent="0.3">
      <c r="A176" s="27">
        <v>28</v>
      </c>
      <c r="B176" s="27">
        <v>14</v>
      </c>
      <c r="C176" s="27">
        <v>5.0341632257770526</v>
      </c>
      <c r="D176" s="27">
        <v>21</v>
      </c>
      <c r="E176" s="27">
        <v>10</v>
      </c>
      <c r="F176" s="27">
        <v>0.32061884535444352</v>
      </c>
      <c r="G176" s="27">
        <v>19</v>
      </c>
      <c r="H176" s="27">
        <v>7</v>
      </c>
      <c r="I176" s="27">
        <v>0.69791561567498128</v>
      </c>
      <c r="J176" s="27">
        <v>327395876.94829315</v>
      </c>
      <c r="K176" s="27">
        <v>165452000</v>
      </c>
      <c r="L176" s="27">
        <v>79928124.123757198</v>
      </c>
      <c r="M176" s="27">
        <v>77323900</v>
      </c>
      <c r="N176" s="27">
        <v>15760456.399999999</v>
      </c>
      <c r="O176" s="27">
        <v>231.542472</v>
      </c>
      <c r="P176" s="27">
        <v>2.6400418608617535</v>
      </c>
      <c r="Q176" s="27">
        <v>43.8374977</v>
      </c>
      <c r="R176" s="27">
        <v>800.18465000000003</v>
      </c>
      <c r="S176" s="27">
        <v>3.74440624E-12</v>
      </c>
      <c r="T176" s="27">
        <v>21.65804825720318</v>
      </c>
      <c r="U176" s="27">
        <v>100.934</v>
      </c>
      <c r="V176" s="27">
        <v>-605.24305944655964</v>
      </c>
      <c r="W176" s="27">
        <v>69.224542700000001</v>
      </c>
      <c r="X176" s="27">
        <v>94.873856500000002</v>
      </c>
      <c r="Y176" s="27">
        <v>165.7</v>
      </c>
      <c r="Z176" s="27">
        <v>253.95148499999999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0</v>
      </c>
      <c r="AJ176" s="27">
        <v>0</v>
      </c>
      <c r="AK176" s="27">
        <v>0</v>
      </c>
      <c r="AL176" s="27">
        <v>0</v>
      </c>
      <c r="AM176" s="27">
        <v>0</v>
      </c>
      <c r="AN176" s="27">
        <v>2.6400418608617535</v>
      </c>
    </row>
    <row r="177" spans="1:40" x14ac:dyDescent="0.3">
      <c r="A177" s="27">
        <v>30</v>
      </c>
      <c r="B177" s="27">
        <v>15</v>
      </c>
      <c r="C177" s="27">
        <v>10.179116313300602</v>
      </c>
      <c r="D177" s="27">
        <v>20</v>
      </c>
      <c r="E177" s="27">
        <v>5</v>
      </c>
      <c r="F177" s="27">
        <v>0.324844319351137</v>
      </c>
      <c r="G177" s="27">
        <v>24</v>
      </c>
      <c r="H177" s="27">
        <v>7</v>
      </c>
      <c r="I177" s="27">
        <v>1.311461690405048</v>
      </c>
      <c r="J177" s="27">
        <v>328716382.61486602</v>
      </c>
      <c r="K177" s="27">
        <v>165512000</v>
      </c>
      <c r="L177" s="27">
        <v>79926021.833085909</v>
      </c>
      <c r="M177" s="27">
        <v>77270200</v>
      </c>
      <c r="N177" s="27">
        <v>15759923.039999999</v>
      </c>
      <c r="O177" s="27">
        <v>231.740669</v>
      </c>
      <c r="P177" s="27">
        <v>2.6438180396014959</v>
      </c>
      <c r="Q177" s="27">
        <v>43.8266949</v>
      </c>
      <c r="R177" s="27">
        <v>800.23810399999991</v>
      </c>
      <c r="S177" s="27">
        <v>4.7232197099999997E-8</v>
      </c>
      <c r="T177" s="27">
        <v>21.742567906468729</v>
      </c>
      <c r="U177" s="27">
        <v>100.934</v>
      </c>
      <c r="V177" s="27">
        <v>-600.90554209371521</v>
      </c>
      <c r="W177" s="27">
        <v>69.219834199999994</v>
      </c>
      <c r="X177" s="27">
        <v>94.847814600000007</v>
      </c>
      <c r="Y177" s="27">
        <v>170.55</v>
      </c>
      <c r="Z177" s="27">
        <v>254.25116700000001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0</v>
      </c>
      <c r="AI177" s="27">
        <v>0</v>
      </c>
      <c r="AJ177" s="27">
        <v>0</v>
      </c>
      <c r="AK177" s="27">
        <v>0</v>
      </c>
      <c r="AL177" s="27">
        <v>0</v>
      </c>
      <c r="AM177" s="27">
        <v>0</v>
      </c>
      <c r="AN177" s="27">
        <v>2.6438180396014959</v>
      </c>
    </row>
    <row r="178" spans="1:40" x14ac:dyDescent="0.3">
      <c r="A178" s="27">
        <v>27</v>
      </c>
      <c r="B178" s="27">
        <v>19</v>
      </c>
      <c r="C178" s="27">
        <v>2.181016517270455</v>
      </c>
      <c r="D178" s="27">
        <v>29</v>
      </c>
      <c r="E178" s="27">
        <v>12</v>
      </c>
      <c r="F178" s="27">
        <v>0.36453634023116205</v>
      </c>
      <c r="G178" s="27">
        <v>28</v>
      </c>
      <c r="H178" s="27">
        <v>14</v>
      </c>
      <c r="I178" s="27">
        <v>0.53990454316663405</v>
      </c>
      <c r="J178" s="27">
        <v>327224909.53529269</v>
      </c>
      <c r="K178" s="27">
        <v>165445000</v>
      </c>
      <c r="L178" s="27">
        <v>79925321.001870126</v>
      </c>
      <c r="M178" s="27">
        <v>77593100</v>
      </c>
      <c r="N178" s="27">
        <v>15759735.199999999</v>
      </c>
      <c r="O178" s="27">
        <v>230.51600400000001</v>
      </c>
      <c r="P178" s="27">
        <v>2.6460050715977679</v>
      </c>
      <c r="Q178" s="27">
        <v>43.869580300000003</v>
      </c>
      <c r="R178" s="27">
        <v>800.66838699999994</v>
      </c>
      <c r="S178" s="27">
        <v>1.04174451E-10</v>
      </c>
      <c r="T178" s="27">
        <v>21.81003318133439</v>
      </c>
      <c r="U178" s="27">
        <v>80.72</v>
      </c>
      <c r="V178" s="27">
        <v>-578.52580382829967</v>
      </c>
      <c r="W178" s="27">
        <v>69.316761499999998</v>
      </c>
      <c r="X178" s="27">
        <v>95.203925499999997</v>
      </c>
      <c r="Y178" s="27">
        <v>177.97</v>
      </c>
      <c r="Z178" s="27">
        <v>253.99714800000001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0</v>
      </c>
      <c r="AM178" s="27">
        <v>0</v>
      </c>
      <c r="AN178" s="27">
        <v>2.6460050715977679</v>
      </c>
    </row>
    <row r="179" spans="1:40" x14ac:dyDescent="0.3">
      <c r="A179" s="27">
        <v>31</v>
      </c>
      <c r="B179" s="27">
        <v>17</v>
      </c>
      <c r="C179" s="27">
        <v>6.8642973097052149</v>
      </c>
      <c r="D179" s="27">
        <v>23</v>
      </c>
      <c r="E179" s="27">
        <v>14</v>
      </c>
      <c r="F179" s="27">
        <v>0.3159663570287593</v>
      </c>
      <c r="G179" s="27">
        <v>10</v>
      </c>
      <c r="H179" s="27">
        <v>7</v>
      </c>
      <c r="I179" s="27">
        <v>1.0143889539232591</v>
      </c>
      <c r="J179" s="27">
        <v>327918760.78440714</v>
      </c>
      <c r="K179" s="27">
        <v>165478000</v>
      </c>
      <c r="L179" s="27">
        <v>79931928.229297563</v>
      </c>
      <c r="M179" s="27">
        <v>77354800</v>
      </c>
      <c r="N179" s="27">
        <v>15761275.76</v>
      </c>
      <c r="O179" s="27">
        <v>231.62300999999999</v>
      </c>
      <c r="P179" s="27">
        <v>2.6405630025689031</v>
      </c>
      <c r="Q179" s="27">
        <v>43.831266399999997</v>
      </c>
      <c r="R179" s="27">
        <v>800.11173300000007</v>
      </c>
      <c r="S179" s="27">
        <v>2.4531528699999999E-15</v>
      </c>
      <c r="T179" s="27">
        <v>21.619367194106832</v>
      </c>
      <c r="U179" s="27">
        <v>100.934</v>
      </c>
      <c r="V179" s="27">
        <v>-608.40978912787875</v>
      </c>
      <c r="W179" s="27">
        <v>69.219953799999999</v>
      </c>
      <c r="X179" s="27">
        <v>94.848987500000007</v>
      </c>
      <c r="Y179" s="27">
        <v>144.29</v>
      </c>
      <c r="Z179" s="27">
        <v>255.983497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7">
        <v>0</v>
      </c>
      <c r="AM179" s="27">
        <v>0</v>
      </c>
      <c r="AN179" s="27">
        <v>2.6405630025689031</v>
      </c>
    </row>
    <row r="180" spans="1:40" x14ac:dyDescent="0.3">
      <c r="A180" s="27">
        <v>36</v>
      </c>
      <c r="B180" s="27">
        <v>19</v>
      </c>
      <c r="C180" s="27">
        <v>4.0715043626199749</v>
      </c>
      <c r="D180" s="27">
        <v>16</v>
      </c>
      <c r="E180" s="27">
        <v>14</v>
      </c>
      <c r="F180" s="27">
        <v>0.40882287837744685</v>
      </c>
      <c r="G180" s="27">
        <v>17</v>
      </c>
      <c r="H180" s="27">
        <v>13</v>
      </c>
      <c r="I180" s="27">
        <v>1.0878333107882852</v>
      </c>
      <c r="J180" s="27">
        <v>327502648.13287741</v>
      </c>
      <c r="K180" s="27">
        <v>165449000</v>
      </c>
      <c r="L180" s="27">
        <v>79926422.296150759</v>
      </c>
      <c r="M180" s="27">
        <v>77209100</v>
      </c>
      <c r="N180" s="27">
        <v>15760030.479999999</v>
      </c>
      <c r="O180" s="27">
        <v>231.40946</v>
      </c>
      <c r="P180" s="27">
        <v>2.6440052368325171</v>
      </c>
      <c r="Q180" s="27">
        <v>43.790372499999997</v>
      </c>
      <c r="R180" s="27">
        <v>802.18053099999997</v>
      </c>
      <c r="S180" s="27">
        <v>7.2495406900000001E-16</v>
      </c>
      <c r="T180" s="27">
        <v>21.39782753604101</v>
      </c>
      <c r="U180" s="27">
        <v>100.934</v>
      </c>
      <c r="V180" s="27">
        <v>-627.32987791959079</v>
      </c>
      <c r="W180" s="27">
        <v>69.219738500000005</v>
      </c>
      <c r="X180" s="27">
        <v>94.847387999999995</v>
      </c>
      <c r="Y180" s="27">
        <v>121.52199999999999</v>
      </c>
      <c r="Z180" s="27">
        <v>254.078609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7">
        <v>0</v>
      </c>
      <c r="AH180" s="27">
        <v>0</v>
      </c>
      <c r="AI180" s="27">
        <v>0</v>
      </c>
      <c r="AJ180" s="27">
        <v>0</v>
      </c>
      <c r="AK180" s="27">
        <v>0</v>
      </c>
      <c r="AL180" s="27">
        <v>0</v>
      </c>
      <c r="AM180" s="27">
        <v>0</v>
      </c>
      <c r="AN180" s="27">
        <v>2.6440052368325171</v>
      </c>
    </row>
    <row r="181" spans="1:40" x14ac:dyDescent="0.3">
      <c r="A181" s="27">
        <v>37</v>
      </c>
      <c r="B181" s="27">
        <v>12</v>
      </c>
      <c r="C181" s="27">
        <v>14.807569479322533</v>
      </c>
      <c r="D181" s="27">
        <v>16</v>
      </c>
      <c r="E181" s="27">
        <v>14</v>
      </c>
      <c r="F181" s="27">
        <v>0.35463516110951343</v>
      </c>
      <c r="G181" s="27">
        <v>28</v>
      </c>
      <c r="H181" s="27">
        <v>13</v>
      </c>
      <c r="I181" s="27">
        <v>1.3943998763349803</v>
      </c>
      <c r="J181" s="27">
        <v>330016241.6823079</v>
      </c>
      <c r="K181" s="27">
        <v>165572000</v>
      </c>
      <c r="L181" s="27">
        <v>79924420.073686004</v>
      </c>
      <c r="M181" s="27">
        <v>77098500</v>
      </c>
      <c r="N181" s="27">
        <v>15759514.719999999</v>
      </c>
      <c r="O181" s="27">
        <v>231.94830400000001</v>
      </c>
      <c r="P181" s="27">
        <v>2.6496653319665189</v>
      </c>
      <c r="Q181" s="27">
        <v>43.7472973</v>
      </c>
      <c r="R181" s="27">
        <v>801.81831999999997</v>
      </c>
      <c r="S181" s="27">
        <v>2.6648304199999999E-15</v>
      </c>
      <c r="T181" s="27">
        <v>21.295797991710717</v>
      </c>
      <c r="U181" s="27">
        <v>100.934</v>
      </c>
      <c r="V181" s="27">
        <v>-621.92870787096365</v>
      </c>
      <c r="W181" s="27">
        <v>69.2192936</v>
      </c>
      <c r="X181" s="27">
        <v>94.840978199999995</v>
      </c>
      <c r="Y181" s="27">
        <v>121.52199999999999</v>
      </c>
      <c r="Z181" s="27">
        <v>254.33638999999999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0</v>
      </c>
      <c r="AI181" s="27">
        <v>0</v>
      </c>
      <c r="AJ181" s="27">
        <v>0</v>
      </c>
      <c r="AK181" s="27">
        <v>0</v>
      </c>
      <c r="AL181" s="27">
        <v>0</v>
      </c>
      <c r="AM181" s="27">
        <v>0</v>
      </c>
      <c r="AN181" s="27">
        <v>2.6496653319665189</v>
      </c>
    </row>
    <row r="182" spans="1:40" x14ac:dyDescent="0.3">
      <c r="A182" s="27">
        <v>39</v>
      </c>
      <c r="B182" s="27">
        <v>12</v>
      </c>
      <c r="C182" s="27">
        <v>8.1960192722332188</v>
      </c>
      <c r="D182" s="27">
        <v>29</v>
      </c>
      <c r="E182" s="27">
        <v>5</v>
      </c>
      <c r="F182" s="27">
        <v>0.31824515336227976</v>
      </c>
      <c r="G182" s="27">
        <v>17</v>
      </c>
      <c r="H182" s="27">
        <v>14</v>
      </c>
      <c r="I182" s="27">
        <v>0.31126528231517714</v>
      </c>
      <c r="J182" s="27">
        <v>328654514.0832997</v>
      </c>
      <c r="K182" s="27">
        <v>165543000</v>
      </c>
      <c r="L182" s="27">
        <v>79960759.66799064</v>
      </c>
      <c r="M182" s="27">
        <v>77380900</v>
      </c>
      <c r="N182" s="27">
        <v>15768228.08</v>
      </c>
      <c r="O182" s="27">
        <v>231.867458</v>
      </c>
      <c r="P182" s="27">
        <v>2.6406738736738995</v>
      </c>
      <c r="Q182" s="27">
        <v>43.825146699999998</v>
      </c>
      <c r="R182" s="27">
        <v>800.04198500000007</v>
      </c>
      <c r="S182" s="27">
        <v>4.9946202500000003E-8</v>
      </c>
      <c r="T182" s="27">
        <v>21.760305853939752</v>
      </c>
      <c r="U182" s="27">
        <v>100.934</v>
      </c>
      <c r="V182" s="27">
        <v>-595.44759940781012</v>
      </c>
      <c r="W182" s="27">
        <v>69.220269900000005</v>
      </c>
      <c r="X182" s="27">
        <v>94.848707000000005</v>
      </c>
      <c r="Y182" s="27">
        <v>177.97</v>
      </c>
      <c r="Z182" s="27">
        <v>261.473007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2.6406738736738995</v>
      </c>
    </row>
    <row r="183" spans="1:40" x14ac:dyDescent="0.3">
      <c r="A183" s="27">
        <v>39</v>
      </c>
      <c r="B183" s="27">
        <v>18</v>
      </c>
      <c r="C183" s="27">
        <v>4.5235262315406448</v>
      </c>
      <c r="D183" s="27">
        <v>19</v>
      </c>
      <c r="E183" s="27">
        <v>7</v>
      </c>
      <c r="F183" s="27">
        <v>0.30794945093059117</v>
      </c>
      <c r="G183" s="27">
        <v>10</v>
      </c>
      <c r="H183" s="27">
        <v>7</v>
      </c>
      <c r="I183" s="27">
        <v>0.34886003577240715</v>
      </c>
      <c r="J183" s="27">
        <v>327485038.59752834</v>
      </c>
      <c r="K183" s="27">
        <v>165478000</v>
      </c>
      <c r="L183" s="27">
        <v>79957255.811650649</v>
      </c>
      <c r="M183" s="27">
        <v>77389300</v>
      </c>
      <c r="N183" s="27">
        <v>15767378.16</v>
      </c>
      <c r="O183" s="27">
        <v>231.75762399999999</v>
      </c>
      <c r="P183" s="27">
        <v>2.6371016880551301</v>
      </c>
      <c r="Q183" s="27">
        <v>43.822581499999998</v>
      </c>
      <c r="R183" s="27">
        <v>800.13896299999999</v>
      </c>
      <c r="S183" s="27">
        <v>1.32545715E-9</v>
      </c>
      <c r="T183" s="27">
        <v>21.669855049488493</v>
      </c>
      <c r="U183" s="27">
        <v>100.934</v>
      </c>
      <c r="V183" s="27">
        <v>-603.77208306284774</v>
      </c>
      <c r="W183" s="27">
        <v>69.219358499999998</v>
      </c>
      <c r="X183" s="27">
        <v>94.842869899999997</v>
      </c>
      <c r="Y183" s="27">
        <v>170.55</v>
      </c>
      <c r="Z183" s="27">
        <v>260.63836600000002</v>
      </c>
      <c r="AA183" s="27">
        <v>0</v>
      </c>
      <c r="AB183" s="27">
        <v>0</v>
      </c>
      <c r="AC183" s="27">
        <v>0</v>
      </c>
      <c r="AD183" s="27">
        <v>0</v>
      </c>
      <c r="AE183" s="27">
        <v>0</v>
      </c>
      <c r="AF183" s="27">
        <v>0</v>
      </c>
      <c r="AG183" s="27">
        <v>0</v>
      </c>
      <c r="AH183" s="27">
        <v>0</v>
      </c>
      <c r="AI183" s="27">
        <v>0</v>
      </c>
      <c r="AJ183" s="27">
        <v>0</v>
      </c>
      <c r="AK183" s="27">
        <v>0</v>
      </c>
      <c r="AL183" s="27">
        <v>0</v>
      </c>
      <c r="AM183" s="27">
        <v>0</v>
      </c>
      <c r="AN183" s="27">
        <v>2.6371016880551301</v>
      </c>
    </row>
    <row r="184" spans="1:40" x14ac:dyDescent="0.3">
      <c r="A184" s="27">
        <v>28</v>
      </c>
      <c r="B184" s="27">
        <v>19</v>
      </c>
      <c r="C184" s="27">
        <v>3.2345200922914281</v>
      </c>
      <c r="D184" s="27">
        <v>22</v>
      </c>
      <c r="E184" s="27">
        <v>5</v>
      </c>
      <c r="F184" s="27">
        <v>0.3599387071993716</v>
      </c>
      <c r="G184" s="27">
        <v>26</v>
      </c>
      <c r="H184" s="27">
        <v>14</v>
      </c>
      <c r="I184" s="27">
        <v>0.48905222646801455</v>
      </c>
      <c r="J184" s="27">
        <v>327370335.27057868</v>
      </c>
      <c r="K184" s="27">
        <v>165453000</v>
      </c>
      <c r="L184" s="27">
        <v>79931427.678303808</v>
      </c>
      <c r="M184" s="27">
        <v>77354700</v>
      </c>
      <c r="N184" s="27">
        <v>15761286.640000001</v>
      </c>
      <c r="O184" s="27">
        <v>231.34518399999999</v>
      </c>
      <c r="P184" s="27">
        <v>2.6416496839573096</v>
      </c>
      <c r="Q184" s="27">
        <v>43.851531199999997</v>
      </c>
      <c r="R184" s="27">
        <v>800.42104599999993</v>
      </c>
      <c r="S184" s="27">
        <v>3.42557791E-8</v>
      </c>
      <c r="T184" s="27">
        <v>21.791747486947155</v>
      </c>
      <c r="U184" s="27">
        <v>91.850000000000009</v>
      </c>
      <c r="V184" s="27">
        <v>-596.98386413634614</v>
      </c>
      <c r="W184" s="27">
        <v>69.238980999999995</v>
      </c>
      <c r="X184" s="27">
        <v>94.931494900000004</v>
      </c>
      <c r="Y184" s="27">
        <v>177.97</v>
      </c>
      <c r="Z184" s="27">
        <v>253.82069200000001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0</v>
      </c>
      <c r="AI184" s="27">
        <v>0</v>
      </c>
      <c r="AJ184" s="27">
        <v>0</v>
      </c>
      <c r="AK184" s="27">
        <v>0</v>
      </c>
      <c r="AL184" s="27">
        <v>0</v>
      </c>
      <c r="AM184" s="27">
        <v>0</v>
      </c>
      <c r="AN184" s="27">
        <v>2.6416496839573096</v>
      </c>
    </row>
    <row r="185" spans="1:40" x14ac:dyDescent="0.3">
      <c r="A185" s="27">
        <v>29</v>
      </c>
      <c r="B185" s="27">
        <v>15</v>
      </c>
      <c r="C185" s="27">
        <v>8.974751752570997</v>
      </c>
      <c r="D185" s="27">
        <v>15</v>
      </c>
      <c r="E185" s="27">
        <v>13</v>
      </c>
      <c r="F185" s="27">
        <v>0.30712194002024551</v>
      </c>
      <c r="G185" s="27">
        <v>12</v>
      </c>
      <c r="H185" s="27">
        <v>8</v>
      </c>
      <c r="I185" s="27">
        <v>0.59520654328706168</v>
      </c>
      <c r="J185" s="27">
        <v>328078219.04986459</v>
      </c>
      <c r="K185" s="27">
        <v>165479000</v>
      </c>
      <c r="L185" s="27">
        <v>79931728.015433103</v>
      </c>
      <c r="M185" s="27">
        <v>77031000</v>
      </c>
      <c r="N185" s="27">
        <v>15761234.959999999</v>
      </c>
      <c r="O185" s="27">
        <v>232.36806300000001</v>
      </c>
      <c r="P185" s="27">
        <v>2.6387325767661807</v>
      </c>
      <c r="Q185" s="27">
        <v>43.708077099999997</v>
      </c>
      <c r="R185" s="27">
        <v>801.72770500000001</v>
      </c>
      <c r="S185" s="27">
        <v>6.2796208299999999E-14</v>
      </c>
      <c r="T185" s="27">
        <v>21.233708315136635</v>
      </c>
      <c r="U185" s="27">
        <v>100.934</v>
      </c>
      <c r="V185" s="27">
        <v>-617.14626109922551</v>
      </c>
      <c r="W185" s="27">
        <v>69.220450999999997</v>
      </c>
      <c r="X185" s="27">
        <v>94.852814100000003</v>
      </c>
      <c r="Y185" s="27">
        <v>121.52199999999999</v>
      </c>
      <c r="Z185" s="27">
        <v>255.94695100000001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0</v>
      </c>
      <c r="AI185" s="27">
        <v>0</v>
      </c>
      <c r="AJ185" s="27">
        <v>0</v>
      </c>
      <c r="AK185" s="27">
        <v>0</v>
      </c>
      <c r="AL185" s="27">
        <v>0</v>
      </c>
      <c r="AM185" s="27">
        <v>0</v>
      </c>
      <c r="AN185" s="27">
        <v>2.6387325767661807</v>
      </c>
    </row>
    <row r="186" spans="1:40" x14ac:dyDescent="0.3">
      <c r="A186" s="27">
        <v>39</v>
      </c>
      <c r="B186" s="27">
        <v>10</v>
      </c>
      <c r="C186" s="27">
        <v>1.671449414902576</v>
      </c>
      <c r="D186" s="27">
        <v>29</v>
      </c>
      <c r="E186" s="27">
        <v>7</v>
      </c>
      <c r="F186" s="27">
        <v>0.31571816707332484</v>
      </c>
      <c r="G186" s="27">
        <v>28</v>
      </c>
      <c r="H186" s="27">
        <v>8</v>
      </c>
      <c r="I186" s="27">
        <v>0.79669164505105794</v>
      </c>
      <c r="J186" s="27">
        <v>327608675.32936263</v>
      </c>
      <c r="K186" s="27">
        <v>165482000</v>
      </c>
      <c r="L186" s="27">
        <v>79926422.250542775</v>
      </c>
      <c r="M186" s="27">
        <v>77512300</v>
      </c>
      <c r="N186" s="27">
        <v>15760021.6</v>
      </c>
      <c r="O186" s="27">
        <v>230.89766900000001</v>
      </c>
      <c r="P186" s="27">
        <v>2.645011744865668</v>
      </c>
      <c r="Q186" s="27">
        <v>43.810087299999999</v>
      </c>
      <c r="R186" s="27">
        <v>800.55645600000003</v>
      </c>
      <c r="S186" s="27">
        <v>1.0735284600000001E-9</v>
      </c>
      <c r="T186" s="27">
        <v>21.759841769905748</v>
      </c>
      <c r="U186" s="27">
        <v>100.934</v>
      </c>
      <c r="V186" s="27">
        <v>-554.46698276995403</v>
      </c>
      <c r="W186" s="27">
        <v>69.344070299999998</v>
      </c>
      <c r="X186" s="27">
        <v>95.315538900000007</v>
      </c>
      <c r="Y186" s="27">
        <v>177.97</v>
      </c>
      <c r="Z186" s="27">
        <v>254.24126000000001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0</v>
      </c>
      <c r="AI186" s="27">
        <v>0</v>
      </c>
      <c r="AJ186" s="27">
        <v>0</v>
      </c>
      <c r="AK186" s="27">
        <v>0</v>
      </c>
      <c r="AL186" s="27">
        <v>0</v>
      </c>
      <c r="AM186" s="27">
        <v>0</v>
      </c>
      <c r="AN186" s="27">
        <v>2.645011744865668</v>
      </c>
    </row>
    <row r="187" spans="1:40" x14ac:dyDescent="0.3">
      <c r="A187" s="27">
        <v>39</v>
      </c>
      <c r="B187" s="27">
        <v>14</v>
      </c>
      <c r="C187" s="27">
        <v>7.9386344499723833</v>
      </c>
      <c r="D187" s="27">
        <v>10</v>
      </c>
      <c r="E187" s="27">
        <v>5</v>
      </c>
      <c r="F187" s="27">
        <v>0.30292812649478634</v>
      </c>
      <c r="G187" s="27">
        <v>12</v>
      </c>
      <c r="H187" s="27">
        <v>10</v>
      </c>
      <c r="I187" s="27">
        <v>1.2074235274255507</v>
      </c>
      <c r="J187" s="27">
        <v>328256732.14381254</v>
      </c>
      <c r="K187" s="27">
        <v>165474000</v>
      </c>
      <c r="L187" s="27">
        <v>79928724.75959824</v>
      </c>
      <c r="M187" s="27">
        <v>77282300</v>
      </c>
      <c r="N187" s="27">
        <v>15760399.439999999</v>
      </c>
      <c r="O187" s="27">
        <v>231.85442800000001</v>
      </c>
      <c r="P187" s="27">
        <v>2.6402211592437053</v>
      </c>
      <c r="Q187" s="27">
        <v>43.781353199999998</v>
      </c>
      <c r="R187" s="27">
        <v>800.82220800000005</v>
      </c>
      <c r="S187" s="27">
        <v>6.2599653899999999E-8</v>
      </c>
      <c r="T187" s="27">
        <v>21.632181038623255</v>
      </c>
      <c r="U187" s="27">
        <v>100.934</v>
      </c>
      <c r="V187" s="27">
        <v>-610.76945719139133</v>
      </c>
      <c r="W187" s="27">
        <v>69.219389500000005</v>
      </c>
      <c r="X187" s="27">
        <v>94.842216300000004</v>
      </c>
      <c r="Y187" s="27">
        <v>144.29</v>
      </c>
      <c r="Z187" s="27">
        <v>258.071504</v>
      </c>
      <c r="AA187" s="27">
        <v>0</v>
      </c>
      <c r="AB187" s="27">
        <v>0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0</v>
      </c>
      <c r="AI187" s="27">
        <v>0</v>
      </c>
      <c r="AJ187" s="27">
        <v>0</v>
      </c>
      <c r="AK187" s="27">
        <v>0</v>
      </c>
      <c r="AL187" s="27">
        <v>0</v>
      </c>
      <c r="AM187" s="27">
        <v>0</v>
      </c>
      <c r="AN187" s="27">
        <v>2.6402211592437053</v>
      </c>
    </row>
    <row r="188" spans="1:40" x14ac:dyDescent="0.3">
      <c r="A188" s="27">
        <v>38</v>
      </c>
      <c r="B188" s="27">
        <v>14</v>
      </c>
      <c r="C188" s="27">
        <v>6.9089285352822962</v>
      </c>
      <c r="D188" s="27">
        <v>18</v>
      </c>
      <c r="E188" s="27">
        <v>14</v>
      </c>
      <c r="F188" s="27">
        <v>0.30314554675256372</v>
      </c>
      <c r="G188" s="27">
        <v>20</v>
      </c>
      <c r="H188" s="27">
        <v>14</v>
      </c>
      <c r="I188" s="27">
        <v>0.30996128740236401</v>
      </c>
      <c r="J188" s="27">
        <v>328217555.3756271</v>
      </c>
      <c r="K188" s="27">
        <v>165486000</v>
      </c>
      <c r="L188" s="27">
        <v>79941238.384059116</v>
      </c>
      <c r="M188" s="27">
        <v>77204700</v>
      </c>
      <c r="N188" s="27">
        <v>15763750.959999999</v>
      </c>
      <c r="O188" s="27">
        <v>231.91493299999999</v>
      </c>
      <c r="P188" s="27">
        <v>2.6411231407776889</v>
      </c>
      <c r="Q188" s="27">
        <v>43.8071074</v>
      </c>
      <c r="R188" s="27">
        <v>800.18436499999996</v>
      </c>
      <c r="S188" s="27">
        <v>5.8681447400000002E-8</v>
      </c>
      <c r="T188" s="27">
        <v>21.716552451915252</v>
      </c>
      <c r="U188" s="27">
        <v>100.934</v>
      </c>
      <c r="V188" s="27">
        <v>-600.48090869153941</v>
      </c>
      <c r="W188" s="27">
        <v>69.219666900000007</v>
      </c>
      <c r="X188" s="27">
        <v>94.845104399999997</v>
      </c>
      <c r="Y188" s="27">
        <v>170.55</v>
      </c>
      <c r="Z188" s="27">
        <v>253.57550800000001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I188" s="27">
        <v>0</v>
      </c>
      <c r="AJ188" s="27">
        <v>0</v>
      </c>
      <c r="AK188" s="27">
        <v>0</v>
      </c>
      <c r="AL188" s="27">
        <v>0</v>
      </c>
      <c r="AM188" s="27">
        <v>0</v>
      </c>
      <c r="AN188" s="27">
        <v>2.6411231407776889</v>
      </c>
    </row>
    <row r="189" spans="1:40" x14ac:dyDescent="0.3">
      <c r="A189" s="27">
        <v>31</v>
      </c>
      <c r="B189" s="27">
        <v>16</v>
      </c>
      <c r="C189" s="27">
        <v>4.9389808709852741</v>
      </c>
      <c r="D189" s="27">
        <v>15</v>
      </c>
      <c r="E189" s="27">
        <v>5</v>
      </c>
      <c r="F189" s="27">
        <v>0.31823619905601414</v>
      </c>
      <c r="G189" s="27">
        <v>27</v>
      </c>
      <c r="H189" s="27">
        <v>14</v>
      </c>
      <c r="I189" s="27">
        <v>1.3882943924951165</v>
      </c>
      <c r="J189" s="27">
        <v>327715226.57462001</v>
      </c>
      <c r="K189" s="27">
        <v>165449000</v>
      </c>
      <c r="L189" s="27">
        <v>79924420.034035817</v>
      </c>
      <c r="M189" s="27">
        <v>77267600</v>
      </c>
      <c r="N189" s="27">
        <v>15759506.16</v>
      </c>
      <c r="O189" s="27">
        <v>231.718129</v>
      </c>
      <c r="P189" s="27">
        <v>2.6399915180207003</v>
      </c>
      <c r="Q189" s="27">
        <v>43.816006100000003</v>
      </c>
      <c r="R189" s="27">
        <v>800.396477</v>
      </c>
      <c r="S189" s="27">
        <v>5.0787136299999999E-8</v>
      </c>
      <c r="T189" s="27">
        <v>21.71725213576201</v>
      </c>
      <c r="U189" s="27">
        <v>100.934</v>
      </c>
      <c r="V189" s="27">
        <v>-604.63415247603211</v>
      </c>
      <c r="W189" s="27">
        <v>69.221237099999996</v>
      </c>
      <c r="X189" s="27">
        <v>94.858188100000007</v>
      </c>
      <c r="Y189" s="27">
        <v>165.7</v>
      </c>
      <c r="Z189" s="27">
        <v>254.343479</v>
      </c>
      <c r="AA189" s="27">
        <v>0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0</v>
      </c>
      <c r="AM189" s="27">
        <v>0</v>
      </c>
      <c r="AN189" s="27">
        <v>2.6399915180207003</v>
      </c>
    </row>
    <row r="190" spans="1:40" x14ac:dyDescent="0.3">
      <c r="A190" s="27">
        <v>27</v>
      </c>
      <c r="B190" s="27">
        <v>19</v>
      </c>
      <c r="C190" s="27">
        <v>4.4527965246196715</v>
      </c>
      <c r="D190" s="27">
        <v>28</v>
      </c>
      <c r="E190" s="27">
        <v>11</v>
      </c>
      <c r="F190" s="27">
        <v>0.31235246391188209</v>
      </c>
      <c r="G190" s="27">
        <v>10</v>
      </c>
      <c r="H190" s="27">
        <v>7</v>
      </c>
      <c r="I190" s="27">
        <v>1.0521062759683497</v>
      </c>
      <c r="J190" s="27">
        <v>327409819.84626883</v>
      </c>
      <c r="K190" s="27">
        <v>165453000</v>
      </c>
      <c r="L190" s="27">
        <v>79931627.934078321</v>
      </c>
      <c r="M190" s="27">
        <v>77354100</v>
      </c>
      <c r="N190" s="27">
        <v>15761213.040000001</v>
      </c>
      <c r="O190" s="27">
        <v>231.69448</v>
      </c>
      <c r="P190" s="27">
        <v>2.6377943277264015</v>
      </c>
      <c r="Q190" s="27">
        <v>43.8327612</v>
      </c>
      <c r="R190" s="27">
        <v>799.89609600000006</v>
      </c>
      <c r="S190" s="27">
        <v>1.7432793999999999E-11</v>
      </c>
      <c r="T190" s="27">
        <v>21.664121929525553</v>
      </c>
      <c r="U190" s="27">
        <v>91.850000000000009</v>
      </c>
      <c r="V190" s="27">
        <v>-597.93918456457516</v>
      </c>
      <c r="W190" s="27">
        <v>69.231636600000002</v>
      </c>
      <c r="X190" s="27">
        <v>94.900339500000001</v>
      </c>
      <c r="Y190" s="27">
        <v>177.97</v>
      </c>
      <c r="Z190" s="27">
        <v>255.92613299999999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27">
        <v>0</v>
      </c>
      <c r="AM190" s="27">
        <v>0</v>
      </c>
      <c r="AN190" s="27">
        <v>2.6377943277264015</v>
      </c>
    </row>
    <row r="191" spans="1:40" x14ac:dyDescent="0.3">
      <c r="A191" s="27">
        <v>28</v>
      </c>
      <c r="B191" s="27">
        <v>11</v>
      </c>
      <c r="C191" s="27">
        <v>4.9013922842516777</v>
      </c>
      <c r="D191" s="27">
        <v>16</v>
      </c>
      <c r="E191" s="27">
        <v>11</v>
      </c>
      <c r="F191" s="27">
        <v>0.30698825443235339</v>
      </c>
      <c r="G191" s="27">
        <v>24</v>
      </c>
      <c r="H191" s="27">
        <v>7</v>
      </c>
      <c r="I191" s="27">
        <v>0.33112267774022741</v>
      </c>
      <c r="J191" s="27">
        <v>327519566.70341444</v>
      </c>
      <c r="K191" s="27">
        <v>165462000</v>
      </c>
      <c r="L191" s="27">
        <v>79939736.850850165</v>
      </c>
      <c r="M191" s="27">
        <v>77234900</v>
      </c>
      <c r="N191" s="27">
        <v>15763421.76</v>
      </c>
      <c r="O191" s="27">
        <v>231.670794</v>
      </c>
      <c r="P191" s="27">
        <v>2.6408283721389312</v>
      </c>
      <c r="Q191" s="27">
        <v>43.7977177</v>
      </c>
      <c r="R191" s="27">
        <v>800.58227299999999</v>
      </c>
      <c r="S191" s="27">
        <v>9.6305316999999999E-13</v>
      </c>
      <c r="T191" s="27">
        <v>21.551090368641393</v>
      </c>
      <c r="U191" s="27">
        <v>100.934</v>
      </c>
      <c r="V191" s="27">
        <v>-609.87562915354283</v>
      </c>
      <c r="W191" s="27">
        <v>69.228752999999998</v>
      </c>
      <c r="X191" s="27">
        <v>94.889241600000005</v>
      </c>
      <c r="Y191" s="27">
        <v>144.29</v>
      </c>
      <c r="Z191" s="27">
        <v>253.38656499999999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0</v>
      </c>
      <c r="AI191" s="27">
        <v>0</v>
      </c>
      <c r="AJ191" s="27">
        <v>0</v>
      </c>
      <c r="AK191" s="27">
        <v>0</v>
      </c>
      <c r="AL191" s="27">
        <v>0</v>
      </c>
      <c r="AM191" s="27">
        <v>0</v>
      </c>
      <c r="AN191" s="27">
        <v>2.6408283721389312</v>
      </c>
    </row>
    <row r="192" spans="1:40" x14ac:dyDescent="0.3">
      <c r="A192" s="27">
        <v>27</v>
      </c>
      <c r="B192" s="27">
        <v>13</v>
      </c>
      <c r="C192" s="27">
        <v>2.349382102632454</v>
      </c>
      <c r="D192" s="27">
        <v>17</v>
      </c>
      <c r="E192" s="27">
        <v>5</v>
      </c>
      <c r="F192" s="27">
        <v>0.32101767660450009</v>
      </c>
      <c r="G192" s="27">
        <v>11</v>
      </c>
      <c r="H192" s="27">
        <v>7</v>
      </c>
      <c r="I192" s="27">
        <v>0.75829635659232664</v>
      </c>
      <c r="J192" s="27">
        <v>326612179.32624841</v>
      </c>
      <c r="K192" s="27">
        <v>165416000</v>
      </c>
      <c r="L192" s="27">
        <v>79931527.822523654</v>
      </c>
      <c r="M192" s="27">
        <v>77375900</v>
      </c>
      <c r="N192" s="27">
        <v>15761215.68</v>
      </c>
      <c r="O192" s="27">
        <v>231.429598</v>
      </c>
      <c r="P192" s="27">
        <v>2.6373521140032747</v>
      </c>
      <c r="Q192" s="27">
        <v>43.8112669</v>
      </c>
      <c r="R192" s="27">
        <v>800.51091799999995</v>
      </c>
      <c r="S192" s="27">
        <v>4.8445737800000002E-8</v>
      </c>
      <c r="T192" s="27">
        <v>21.755304394853809</v>
      </c>
      <c r="U192" s="27">
        <v>100.934</v>
      </c>
      <c r="V192" s="27">
        <v>-588.11462700371123</v>
      </c>
      <c r="W192" s="27">
        <v>69.263681399999996</v>
      </c>
      <c r="X192" s="27">
        <v>95.013845900000007</v>
      </c>
      <c r="Y192" s="27">
        <v>170.55</v>
      </c>
      <c r="Z192" s="27">
        <v>255.436961</v>
      </c>
      <c r="AA192" s="27">
        <v>0</v>
      </c>
      <c r="AB192" s="27">
        <v>0</v>
      </c>
      <c r="AC192" s="27">
        <v>0</v>
      </c>
      <c r="AD192" s="27">
        <v>0</v>
      </c>
      <c r="AE192" s="27">
        <v>0</v>
      </c>
      <c r="AF192" s="27">
        <v>0</v>
      </c>
      <c r="AG192" s="27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27">
        <v>0</v>
      </c>
      <c r="AN192" s="27">
        <v>2.6373521140032747</v>
      </c>
    </row>
    <row r="193" spans="1:40" x14ac:dyDescent="0.3">
      <c r="A193" s="27">
        <v>39</v>
      </c>
      <c r="B193" s="27">
        <v>16</v>
      </c>
      <c r="C193" s="27">
        <v>1.7034156407593199</v>
      </c>
      <c r="D193" s="27">
        <v>10</v>
      </c>
      <c r="E193" s="27">
        <v>8</v>
      </c>
      <c r="F193" s="27">
        <v>0.37501905632704069</v>
      </c>
      <c r="G193" s="27">
        <v>12</v>
      </c>
      <c r="H193" s="27">
        <v>7</v>
      </c>
      <c r="I193" s="27">
        <v>0.32709718120473202</v>
      </c>
      <c r="J193" s="27">
        <v>326886261.50563133</v>
      </c>
      <c r="K193" s="27">
        <v>165447000</v>
      </c>
      <c r="L193" s="27">
        <v>79944842.291348562</v>
      </c>
      <c r="M193" s="27">
        <v>77259600</v>
      </c>
      <c r="N193" s="27">
        <v>15764506.799999999</v>
      </c>
      <c r="O193" s="27">
        <v>231.33841899999999</v>
      </c>
      <c r="P193" s="27">
        <v>2.6420066179793467</v>
      </c>
      <c r="Q193" s="27">
        <v>43.744245599999999</v>
      </c>
      <c r="R193" s="27">
        <v>802.391389</v>
      </c>
      <c r="S193" s="27">
        <v>1.35786487E-10</v>
      </c>
      <c r="T193" s="27">
        <v>21.405490226124755</v>
      </c>
      <c r="U193" s="27">
        <v>100.934</v>
      </c>
      <c r="V193" s="27">
        <v>-602.63659663702754</v>
      </c>
      <c r="W193" s="27">
        <v>69.278186399999996</v>
      </c>
      <c r="X193" s="27">
        <v>95.065285200000005</v>
      </c>
      <c r="Y193" s="27">
        <v>121.52199999999999</v>
      </c>
      <c r="Z193" s="27">
        <v>255.41330099999999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0</v>
      </c>
      <c r="AI193" s="27">
        <v>0</v>
      </c>
      <c r="AJ193" s="27">
        <v>0</v>
      </c>
      <c r="AK193" s="27">
        <v>0</v>
      </c>
      <c r="AL193" s="27">
        <v>0</v>
      </c>
      <c r="AM193" s="27">
        <v>0</v>
      </c>
      <c r="AN193" s="27">
        <v>2.6420066179793467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0014-F69C-4B52-B89C-CF8181D2F5CD}">
  <dimension ref="A1:AN340"/>
  <sheetViews>
    <sheetView topLeftCell="C319" workbookViewId="0">
      <selection activeCell="C1" sqref="C1"/>
    </sheetView>
  </sheetViews>
  <sheetFormatPr defaultRowHeight="16.5" x14ac:dyDescent="0.3"/>
  <sheetData>
    <row r="1" spans="1:40" x14ac:dyDescent="0.3">
      <c r="A1" t="s">
        <v>412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155</v>
      </c>
      <c r="P1" t="s">
        <v>208</v>
      </c>
      <c r="Q1" t="s">
        <v>185</v>
      </c>
      <c r="R1" t="s">
        <v>186</v>
      </c>
      <c r="S1" t="s">
        <v>187</v>
      </c>
      <c r="T1" t="s">
        <v>188</v>
      </c>
      <c r="U1" t="s">
        <v>209</v>
      </c>
      <c r="V1" t="s">
        <v>210</v>
      </c>
      <c r="W1" t="s">
        <v>355</v>
      </c>
      <c r="X1" t="s">
        <v>356</v>
      </c>
      <c r="Y1" t="s">
        <v>357</v>
      </c>
      <c r="Z1" t="s">
        <v>358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359</v>
      </c>
      <c r="AK1" t="s">
        <v>360</v>
      </c>
      <c r="AL1" t="s">
        <v>361</v>
      </c>
      <c r="AM1" t="s">
        <v>362</v>
      </c>
      <c r="AN1" t="s">
        <v>389</v>
      </c>
    </row>
    <row r="2" spans="1:40" x14ac:dyDescent="0.3">
      <c r="A2">
        <v>30</v>
      </c>
      <c r="B2">
        <v>15</v>
      </c>
      <c r="C2">
        <v>3.6</v>
      </c>
      <c r="D2">
        <v>20</v>
      </c>
      <c r="E2">
        <v>10</v>
      </c>
      <c r="F2">
        <v>0.43</v>
      </c>
      <c r="G2">
        <v>20</v>
      </c>
      <c r="H2">
        <v>10</v>
      </c>
      <c r="I2">
        <v>0.72</v>
      </c>
      <c r="J2">
        <v>327193074.79891843</v>
      </c>
      <c r="K2">
        <v>165430000</v>
      </c>
      <c r="L2">
        <v>79925721.491231471</v>
      </c>
      <c r="M2">
        <v>77595700</v>
      </c>
      <c r="N2">
        <v>15759843.52</v>
      </c>
      <c r="O2">
        <v>230.15656999999999</v>
      </c>
      <c r="P2">
        <v>2.6497058593631913</v>
      </c>
      <c r="Q2">
        <v>43.94435</v>
      </c>
      <c r="R2">
        <v>801.48125900000002</v>
      </c>
      <c r="S2">
        <v>4.2540619600000001E-13</v>
      </c>
      <c r="T2">
        <v>21.871822717197833</v>
      </c>
      <c r="U2">
        <v>100.934</v>
      </c>
      <c r="V2">
        <v>-621.36517754628585</v>
      </c>
      <c r="W2">
        <v>69.225905100000006</v>
      </c>
      <c r="X2">
        <v>94.879776899999996</v>
      </c>
      <c r="Y2">
        <v>165.7</v>
      </c>
      <c r="Z2">
        <v>253.70994400000001</v>
      </c>
      <c r="AA2">
        <v>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101.64970585936319</v>
      </c>
    </row>
    <row r="3" spans="1:40" x14ac:dyDescent="0.3">
      <c r="A3">
        <v>30</v>
      </c>
      <c r="B3">
        <v>15</v>
      </c>
      <c r="C3">
        <v>2.95</v>
      </c>
      <c r="D3">
        <v>20</v>
      </c>
      <c r="E3">
        <v>12</v>
      </c>
      <c r="F3">
        <v>0.56747999999999998</v>
      </c>
      <c r="G3">
        <v>20</v>
      </c>
      <c r="H3">
        <v>12</v>
      </c>
      <c r="I3">
        <v>0.7</v>
      </c>
      <c r="J3">
        <v>327186489.70018196</v>
      </c>
      <c r="K3">
        <v>165431000</v>
      </c>
      <c r="L3">
        <v>79925220.962014496</v>
      </c>
      <c r="M3">
        <v>77910200</v>
      </c>
      <c r="N3">
        <v>15759714.640000001</v>
      </c>
      <c r="O3">
        <v>228.43843000000001</v>
      </c>
      <c r="P3">
        <v>2.6635572919702413</v>
      </c>
      <c r="Q3">
        <v>44.063535199999997</v>
      </c>
      <c r="R3">
        <v>803.38193799999999</v>
      </c>
      <c r="S3">
        <v>4.9130103199999997E-16</v>
      </c>
      <c r="T3">
        <v>22.166252121108002</v>
      </c>
      <c r="U3">
        <v>100.934</v>
      </c>
      <c r="V3">
        <v>-641.81685870625233</v>
      </c>
      <c r="W3">
        <v>69.231290000000001</v>
      </c>
      <c r="X3">
        <v>94.901946100000004</v>
      </c>
      <c r="Y3">
        <v>144.29</v>
      </c>
      <c r="Z3">
        <v>253.48248799999999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2.6635572919702413</v>
      </c>
    </row>
    <row r="4" spans="1:40" x14ac:dyDescent="0.3">
      <c r="A4">
        <v>39</v>
      </c>
      <c r="B4">
        <v>15</v>
      </c>
      <c r="C4">
        <v>1.0496850827414734</v>
      </c>
      <c r="D4">
        <v>23</v>
      </c>
      <c r="E4">
        <v>5</v>
      </c>
      <c r="F4">
        <v>1.1698878401510195</v>
      </c>
      <c r="G4">
        <v>20</v>
      </c>
      <c r="H4">
        <v>13</v>
      </c>
      <c r="I4">
        <v>0.81048352135552792</v>
      </c>
      <c r="J4">
        <v>327448065.60604221</v>
      </c>
      <c r="K4">
        <v>165464000</v>
      </c>
      <c r="L4">
        <v>79924820.528122321</v>
      </c>
      <c r="M4">
        <v>78634300</v>
      </c>
      <c r="N4">
        <v>15759610.4</v>
      </c>
      <c r="O4">
        <v>225.699691</v>
      </c>
      <c r="P4">
        <v>2.6831479682689832</v>
      </c>
      <c r="Q4">
        <v>44.072001</v>
      </c>
      <c r="R4">
        <v>804.97076599999991</v>
      </c>
      <c r="S4">
        <v>1.53002273E-9</v>
      </c>
      <c r="T4">
        <v>22.296238409528385</v>
      </c>
      <c r="U4">
        <v>100.934</v>
      </c>
      <c r="V4">
        <v>-529.50945141563886</v>
      </c>
      <c r="W4">
        <v>69.558115799999996</v>
      </c>
      <c r="X4">
        <v>96.543135199999995</v>
      </c>
      <c r="Y4">
        <v>177.97</v>
      </c>
      <c r="Z4">
        <v>253.19432800000001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2.6831479682689832</v>
      </c>
    </row>
    <row r="5" spans="1:40" x14ac:dyDescent="0.3">
      <c r="A5">
        <v>28</v>
      </c>
      <c r="B5">
        <v>13</v>
      </c>
      <c r="C5">
        <v>7.4397188857842078</v>
      </c>
      <c r="D5">
        <v>28</v>
      </c>
      <c r="E5">
        <v>14</v>
      </c>
      <c r="F5">
        <v>1.1353703584604438</v>
      </c>
      <c r="G5">
        <v>14</v>
      </c>
      <c r="H5">
        <v>12</v>
      </c>
      <c r="I5">
        <v>0.98587470873225946</v>
      </c>
      <c r="J5">
        <v>328430205.63977116</v>
      </c>
      <c r="K5">
        <v>165477000</v>
      </c>
      <c r="L5">
        <v>79929225.316549808</v>
      </c>
      <c r="M5">
        <v>78503000</v>
      </c>
      <c r="N5">
        <v>15760473.120000001</v>
      </c>
      <c r="O5">
        <v>226.10047900000001</v>
      </c>
      <c r="P5">
        <v>2.6841579025962865</v>
      </c>
      <c r="Q5">
        <v>44.285311299999996</v>
      </c>
      <c r="R5">
        <v>805.11452199999997</v>
      </c>
      <c r="S5">
        <v>5.1533314299999996E-21</v>
      </c>
      <c r="T5">
        <v>22.541293933507987</v>
      </c>
      <c r="U5">
        <v>100.934</v>
      </c>
      <c r="V5">
        <v>-673.59788018466134</v>
      </c>
      <c r="W5">
        <v>69.222302999999997</v>
      </c>
      <c r="X5">
        <v>94.863156500000002</v>
      </c>
      <c r="Y5">
        <v>177.97</v>
      </c>
      <c r="Z5">
        <v>257.10104100000001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2.6841579025962865</v>
      </c>
    </row>
    <row r="6" spans="1:40" x14ac:dyDescent="0.3">
      <c r="A6">
        <v>30</v>
      </c>
      <c r="B6">
        <v>18</v>
      </c>
      <c r="C6">
        <v>6.8666576253053968</v>
      </c>
      <c r="D6">
        <v>17</v>
      </c>
      <c r="E6">
        <v>7</v>
      </c>
      <c r="F6">
        <v>0.91487739420845759</v>
      </c>
      <c r="G6">
        <v>27</v>
      </c>
      <c r="H6">
        <v>12</v>
      </c>
      <c r="I6">
        <v>1.3744138331801381</v>
      </c>
      <c r="J6">
        <v>328440336.96704191</v>
      </c>
      <c r="K6">
        <v>165473000</v>
      </c>
      <c r="L6">
        <v>79924520.193663761</v>
      </c>
      <c r="M6">
        <v>78100600</v>
      </c>
      <c r="N6">
        <v>15759543.600000001</v>
      </c>
      <c r="O6">
        <v>227.549069</v>
      </c>
      <c r="P6">
        <v>2.674829394659048</v>
      </c>
      <c r="Q6">
        <v>44.161330399999997</v>
      </c>
      <c r="R6">
        <v>803.88979500000005</v>
      </c>
      <c r="S6">
        <v>1.11242137E-11</v>
      </c>
      <c r="T6">
        <v>22.260381718721948</v>
      </c>
      <c r="U6">
        <v>100.934</v>
      </c>
      <c r="V6">
        <v>-656.7419141395203</v>
      </c>
      <c r="W6">
        <v>69.220313700000005</v>
      </c>
      <c r="X6">
        <v>94.851718700000006</v>
      </c>
      <c r="Y6">
        <v>177.97</v>
      </c>
      <c r="Z6">
        <v>252.92985300000001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2.674829394659048</v>
      </c>
    </row>
    <row r="7" spans="1:40" x14ac:dyDescent="0.3">
      <c r="A7">
        <v>36</v>
      </c>
      <c r="B7">
        <v>17</v>
      </c>
      <c r="C7">
        <v>11.949057617111228</v>
      </c>
      <c r="D7">
        <v>15</v>
      </c>
      <c r="E7">
        <v>12</v>
      </c>
      <c r="F7">
        <v>0.7719501728104593</v>
      </c>
      <c r="G7">
        <v>29</v>
      </c>
      <c r="H7">
        <v>7</v>
      </c>
      <c r="I7">
        <v>0.3185725349370267</v>
      </c>
      <c r="J7">
        <v>329515447.06185591</v>
      </c>
      <c r="K7">
        <v>165569000</v>
      </c>
      <c r="L7">
        <v>79942239.483786777</v>
      </c>
      <c r="M7">
        <v>77945900</v>
      </c>
      <c r="N7">
        <v>15764036.879999999</v>
      </c>
      <c r="O7">
        <v>227.61777499999999</v>
      </c>
      <c r="P7">
        <v>2.6820904372432484</v>
      </c>
      <c r="Q7">
        <v>44.097856100000001</v>
      </c>
      <c r="R7">
        <v>805.180565</v>
      </c>
      <c r="S7">
        <v>1.1322592899999999E-16</v>
      </c>
      <c r="T7">
        <v>22.327549494132075</v>
      </c>
      <c r="U7">
        <v>100.934</v>
      </c>
      <c r="V7">
        <v>-664.20669142983991</v>
      </c>
      <c r="W7">
        <v>69.218783700000003</v>
      </c>
      <c r="X7">
        <v>94.832719100000006</v>
      </c>
      <c r="Y7">
        <v>121.52199999999999</v>
      </c>
      <c r="Z7">
        <v>251.87025399999999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2.6820904372432484</v>
      </c>
    </row>
    <row r="8" spans="1:40" x14ac:dyDescent="0.3">
      <c r="A8">
        <v>34</v>
      </c>
      <c r="B8">
        <v>18</v>
      </c>
      <c r="C8">
        <v>12.014772524111176</v>
      </c>
      <c r="D8">
        <v>24</v>
      </c>
      <c r="E8">
        <v>14</v>
      </c>
      <c r="F8">
        <v>1.1446530248085356</v>
      </c>
      <c r="G8">
        <v>13</v>
      </c>
      <c r="H8">
        <v>7</v>
      </c>
      <c r="I8">
        <v>1.010468266251642</v>
      </c>
      <c r="J8">
        <v>329488021.36002481</v>
      </c>
      <c r="K8">
        <v>165537000</v>
      </c>
      <c r="L8">
        <v>79928023.953857183</v>
      </c>
      <c r="M8">
        <v>78386800</v>
      </c>
      <c r="N8">
        <v>15760398.800000001</v>
      </c>
      <c r="O8">
        <v>226.08830699999999</v>
      </c>
      <c r="P8">
        <v>2.6909188980060947</v>
      </c>
      <c r="Q8">
        <v>44.281141499999997</v>
      </c>
      <c r="R8">
        <v>805.22583099999997</v>
      </c>
      <c r="S8">
        <v>5.2145771600000003E-21</v>
      </c>
      <c r="T8">
        <v>22.58453981121141</v>
      </c>
      <c r="U8">
        <v>100.934</v>
      </c>
      <c r="V8">
        <v>-676.7686555379621</v>
      </c>
      <c r="W8">
        <v>69.218874200000002</v>
      </c>
      <c r="X8">
        <v>94.834332500000002</v>
      </c>
      <c r="Y8">
        <v>177.97</v>
      </c>
      <c r="Z8">
        <v>252.47931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2.6909188980060947</v>
      </c>
    </row>
    <row r="9" spans="1:40" x14ac:dyDescent="0.3">
      <c r="A9">
        <v>29</v>
      </c>
      <c r="B9">
        <v>19</v>
      </c>
      <c r="C9">
        <v>14.991856735528804</v>
      </c>
      <c r="D9">
        <v>10</v>
      </c>
      <c r="E9">
        <v>5</v>
      </c>
      <c r="F9">
        <v>0.32992157670464878</v>
      </c>
      <c r="G9">
        <v>13</v>
      </c>
      <c r="H9">
        <v>9</v>
      </c>
      <c r="I9">
        <v>0.88785110463138794</v>
      </c>
      <c r="J9">
        <v>329125305.02242762</v>
      </c>
      <c r="K9">
        <v>165521000</v>
      </c>
      <c r="L9">
        <v>79927423.314934522</v>
      </c>
      <c r="M9">
        <v>77275000</v>
      </c>
      <c r="N9">
        <v>15760196.08</v>
      </c>
      <c r="O9">
        <v>231.620216</v>
      </c>
      <c r="P9">
        <v>2.6464715001974688</v>
      </c>
      <c r="Q9">
        <v>43.801928500000002</v>
      </c>
      <c r="R9">
        <v>800.94033400000001</v>
      </c>
      <c r="S9">
        <v>4.8262114899999998E-8</v>
      </c>
      <c r="T9">
        <v>21.655975178408422</v>
      </c>
      <c r="U9">
        <v>100.934</v>
      </c>
      <c r="V9">
        <v>-613.4839460075026</v>
      </c>
      <c r="W9">
        <v>69.219730100000007</v>
      </c>
      <c r="X9">
        <v>94.845931100000001</v>
      </c>
      <c r="Y9">
        <v>144.29</v>
      </c>
      <c r="Z9">
        <v>255.26466500000001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2.6464715001974688</v>
      </c>
    </row>
    <row r="10" spans="1:40" x14ac:dyDescent="0.3">
      <c r="A10">
        <v>27</v>
      </c>
      <c r="B10">
        <v>10</v>
      </c>
      <c r="C10">
        <v>1</v>
      </c>
      <c r="D10">
        <v>10</v>
      </c>
      <c r="E10">
        <v>5</v>
      </c>
      <c r="F10">
        <v>0.3</v>
      </c>
      <c r="G10">
        <v>10</v>
      </c>
      <c r="H10">
        <v>8</v>
      </c>
      <c r="I10">
        <v>0.3</v>
      </c>
      <c r="J10">
        <v>326032722.6337226</v>
      </c>
      <c r="K10">
        <v>165445000</v>
      </c>
      <c r="L10">
        <v>79977978.493199825</v>
      </c>
      <c r="M10">
        <v>78109500</v>
      </c>
      <c r="N10">
        <v>15772317.76</v>
      </c>
      <c r="O10">
        <v>229.31465499999999</v>
      </c>
      <c r="P10">
        <v>2.6463970564567987</v>
      </c>
      <c r="Q10">
        <v>43.712630799999999</v>
      </c>
      <c r="R10">
        <v>802.43618200000003</v>
      </c>
      <c r="S10">
        <v>5.60075047E-8</v>
      </c>
      <c r="T10">
        <v>21.475174138771607</v>
      </c>
      <c r="U10">
        <v>91.850000000000009</v>
      </c>
      <c r="V10">
        <v>-481.55194138560432</v>
      </c>
      <c r="W10">
        <v>69.595135200000001</v>
      </c>
      <c r="X10">
        <v>97.136021</v>
      </c>
      <c r="Y10">
        <v>144.29</v>
      </c>
      <c r="Z10">
        <v>275.57108299999999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2.6463970564567987</v>
      </c>
    </row>
    <row r="11" spans="1:40" x14ac:dyDescent="0.3">
      <c r="A11">
        <v>27</v>
      </c>
      <c r="B11">
        <v>10</v>
      </c>
      <c r="C11">
        <v>15</v>
      </c>
      <c r="D11">
        <v>10</v>
      </c>
      <c r="E11">
        <v>5</v>
      </c>
      <c r="F11">
        <v>1.0133014468653059</v>
      </c>
      <c r="G11">
        <v>16</v>
      </c>
      <c r="H11">
        <v>14</v>
      </c>
      <c r="I11">
        <v>1.0803282021535843</v>
      </c>
      <c r="J11">
        <v>329475271.61803097</v>
      </c>
      <c r="K11">
        <v>165522000</v>
      </c>
      <c r="L11">
        <v>79926121.903141409</v>
      </c>
      <c r="M11">
        <v>77909500</v>
      </c>
      <c r="N11">
        <v>15759937.040000001</v>
      </c>
      <c r="O11">
        <v>228.41511800000001</v>
      </c>
      <c r="P11">
        <v>2.6724036381768967</v>
      </c>
      <c r="Q11">
        <v>44.067978699999998</v>
      </c>
      <c r="R11">
        <v>803.38375900000005</v>
      </c>
      <c r="S11">
        <v>2.6343909100000002E-9</v>
      </c>
      <c r="T11">
        <v>22.119187753793728</v>
      </c>
      <c r="U11">
        <v>100.934</v>
      </c>
      <c r="V11">
        <v>-650.0341217556421</v>
      </c>
      <c r="W11">
        <v>69.222164800000002</v>
      </c>
      <c r="X11">
        <v>94.861836199999999</v>
      </c>
      <c r="Y11">
        <v>144.29</v>
      </c>
      <c r="Z11">
        <v>253.19137900000001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2.6724036381768967</v>
      </c>
    </row>
    <row r="12" spans="1:40" x14ac:dyDescent="0.3">
      <c r="A12">
        <v>27</v>
      </c>
      <c r="B12">
        <v>19</v>
      </c>
      <c r="C12">
        <v>1</v>
      </c>
      <c r="D12">
        <v>12</v>
      </c>
      <c r="E12">
        <v>10</v>
      </c>
      <c r="F12">
        <v>0.3</v>
      </c>
      <c r="G12">
        <v>14</v>
      </c>
      <c r="H12">
        <v>12</v>
      </c>
      <c r="I12">
        <v>0.3</v>
      </c>
      <c r="J12">
        <v>326225899.04577738</v>
      </c>
      <c r="K12">
        <v>165443000</v>
      </c>
      <c r="L12">
        <v>79975976.338325277</v>
      </c>
      <c r="M12">
        <v>77954100</v>
      </c>
      <c r="N12">
        <v>15771831.120000001</v>
      </c>
      <c r="O12">
        <v>229.572113</v>
      </c>
      <c r="P12">
        <v>2.6469500964172363</v>
      </c>
      <c r="Q12">
        <v>43.615033199999999</v>
      </c>
      <c r="R12">
        <v>803.75952699999993</v>
      </c>
      <c r="S12">
        <v>1.17156036E-9</v>
      </c>
      <c r="T12">
        <v>21.425634666598672</v>
      </c>
      <c r="U12">
        <v>68.709999999999994</v>
      </c>
      <c r="V12">
        <v>-491.77018732407288</v>
      </c>
      <c r="W12">
        <v>69.729894400000006</v>
      </c>
      <c r="X12">
        <v>98.485040699999999</v>
      </c>
      <c r="Y12">
        <v>100.934</v>
      </c>
      <c r="Z12">
        <v>275.27140100000003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2.6469500964172363</v>
      </c>
    </row>
    <row r="13" spans="1:40" x14ac:dyDescent="0.3">
      <c r="A13">
        <v>27</v>
      </c>
      <c r="B13">
        <v>19</v>
      </c>
      <c r="C13">
        <v>1</v>
      </c>
      <c r="D13">
        <v>10</v>
      </c>
      <c r="E13">
        <v>5</v>
      </c>
      <c r="F13">
        <v>0.3</v>
      </c>
      <c r="G13">
        <v>10</v>
      </c>
      <c r="H13">
        <v>7</v>
      </c>
      <c r="I13">
        <v>0.3</v>
      </c>
      <c r="J13">
        <v>326069759.89100099</v>
      </c>
      <c r="K13">
        <v>165428000</v>
      </c>
      <c r="L13">
        <v>79962261.33679089</v>
      </c>
      <c r="M13">
        <v>78071300</v>
      </c>
      <c r="N13">
        <v>15768613.439999999</v>
      </c>
      <c r="O13">
        <v>228.99689900000001</v>
      </c>
      <c r="P13">
        <v>2.6505876612201069</v>
      </c>
      <c r="Q13">
        <v>43.694358899999997</v>
      </c>
      <c r="R13">
        <v>802.83574399999998</v>
      </c>
      <c r="S13">
        <v>5.64134982E-8</v>
      </c>
      <c r="T13">
        <v>21.826400071565853</v>
      </c>
      <c r="U13">
        <v>68.709999999999994</v>
      </c>
      <c r="V13">
        <v>-484.82801098650197</v>
      </c>
      <c r="W13">
        <v>69.729894400000006</v>
      </c>
      <c r="X13">
        <v>98.485040699999999</v>
      </c>
      <c r="Y13">
        <v>144.29</v>
      </c>
      <c r="Z13">
        <v>261.43830100000002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2.6505876612201069</v>
      </c>
    </row>
    <row r="14" spans="1:40" x14ac:dyDescent="0.3">
      <c r="A14">
        <v>39</v>
      </c>
      <c r="B14">
        <v>19</v>
      </c>
      <c r="C14">
        <v>1</v>
      </c>
      <c r="D14">
        <v>10</v>
      </c>
      <c r="E14">
        <v>7</v>
      </c>
      <c r="F14">
        <v>0.3</v>
      </c>
      <c r="G14">
        <v>19</v>
      </c>
      <c r="H14">
        <v>14</v>
      </c>
      <c r="I14">
        <v>1.4</v>
      </c>
      <c r="J14">
        <v>326884303.10522163</v>
      </c>
      <c r="K14">
        <v>165427000</v>
      </c>
      <c r="L14">
        <v>79925921.712697268</v>
      </c>
      <c r="M14">
        <v>77765000</v>
      </c>
      <c r="N14">
        <v>15759895.52</v>
      </c>
      <c r="O14">
        <v>229.48868100000001</v>
      </c>
      <c r="P14">
        <v>2.6531897229723063</v>
      </c>
      <c r="Q14">
        <v>43.668494199999998</v>
      </c>
      <c r="R14">
        <v>803.27246300000002</v>
      </c>
      <c r="S14">
        <v>1.67681518E-9</v>
      </c>
      <c r="T14">
        <v>21.620627798680626</v>
      </c>
      <c r="U14">
        <v>91.850000000000009</v>
      </c>
      <c r="V14">
        <v>-491.53920456982871</v>
      </c>
      <c r="W14">
        <v>69.590642799999998</v>
      </c>
      <c r="X14">
        <v>96.618687899999998</v>
      </c>
      <c r="Y14">
        <v>121.52199999999999</v>
      </c>
      <c r="Z14">
        <v>254.32985300000001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2.6531897229723063</v>
      </c>
    </row>
    <row r="15" spans="1:40" x14ac:dyDescent="0.3">
      <c r="A15">
        <v>27</v>
      </c>
      <c r="B15">
        <v>19</v>
      </c>
      <c r="C15">
        <v>1</v>
      </c>
      <c r="D15">
        <v>16</v>
      </c>
      <c r="E15">
        <v>14</v>
      </c>
      <c r="F15">
        <v>0.3</v>
      </c>
      <c r="G15">
        <v>29</v>
      </c>
      <c r="H15">
        <v>14</v>
      </c>
      <c r="I15">
        <v>0.3</v>
      </c>
      <c r="J15">
        <v>326701549.53507882</v>
      </c>
      <c r="K15">
        <v>165442000</v>
      </c>
      <c r="L15">
        <v>79941738.998739704</v>
      </c>
      <c r="M15">
        <v>77986500</v>
      </c>
      <c r="N15">
        <v>15763914.16</v>
      </c>
      <c r="O15">
        <v>228.88613000000001</v>
      </c>
      <c r="P15">
        <v>2.6556497129625467</v>
      </c>
      <c r="Q15">
        <v>43.7288347</v>
      </c>
      <c r="R15">
        <v>802.29062299999998</v>
      </c>
      <c r="S15">
        <v>2.3838547099999999E-9</v>
      </c>
      <c r="T15">
        <v>21.848867891217338</v>
      </c>
      <c r="U15">
        <v>68.709999999999994</v>
      </c>
      <c r="V15">
        <v>-480.50139712807544</v>
      </c>
      <c r="W15">
        <v>69.729894400000006</v>
      </c>
      <c r="X15">
        <v>98.485040699999999</v>
      </c>
      <c r="Y15">
        <v>144.29</v>
      </c>
      <c r="Z15">
        <v>253.29201499999999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2.6556497129625467</v>
      </c>
    </row>
    <row r="16" spans="1:40" x14ac:dyDescent="0.3">
      <c r="A16">
        <v>27</v>
      </c>
      <c r="B16">
        <v>10</v>
      </c>
      <c r="C16">
        <v>1</v>
      </c>
      <c r="D16">
        <v>10</v>
      </c>
      <c r="E16">
        <v>5</v>
      </c>
      <c r="F16">
        <v>0.3</v>
      </c>
      <c r="G16">
        <v>29</v>
      </c>
      <c r="H16">
        <v>7</v>
      </c>
      <c r="I16">
        <v>0.3</v>
      </c>
      <c r="J16">
        <v>326506804.15937382</v>
      </c>
      <c r="K16">
        <v>165426000</v>
      </c>
      <c r="L16">
        <v>79942640.003348008</v>
      </c>
      <c r="M16">
        <v>77841500</v>
      </c>
      <c r="N16">
        <v>15764157.279999999</v>
      </c>
      <c r="O16">
        <v>229.31465499999999</v>
      </c>
      <c r="P16">
        <v>2.6525937972754501</v>
      </c>
      <c r="Q16">
        <v>43.712630799999999</v>
      </c>
      <c r="R16">
        <v>802.43618200000003</v>
      </c>
      <c r="S16">
        <v>5.60075047E-8</v>
      </c>
      <c r="T16">
        <v>21.475174138771607</v>
      </c>
      <c r="U16">
        <v>91.850000000000009</v>
      </c>
      <c r="V16">
        <v>-481.55194138560432</v>
      </c>
      <c r="W16">
        <v>69.595135200000001</v>
      </c>
      <c r="X16">
        <v>97.136021</v>
      </c>
      <c r="Y16">
        <v>144.29</v>
      </c>
      <c r="Z16">
        <v>253.162094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2.6525937972754501</v>
      </c>
    </row>
    <row r="17" spans="1:40" x14ac:dyDescent="0.3">
      <c r="A17">
        <v>27</v>
      </c>
      <c r="B17">
        <v>11</v>
      </c>
      <c r="C17">
        <v>1</v>
      </c>
      <c r="D17">
        <v>16</v>
      </c>
      <c r="E17">
        <v>14</v>
      </c>
      <c r="F17">
        <v>0.3</v>
      </c>
      <c r="G17">
        <v>18</v>
      </c>
      <c r="H17">
        <v>7</v>
      </c>
      <c r="I17">
        <v>1.4</v>
      </c>
      <c r="J17">
        <v>326457366.86511004</v>
      </c>
      <c r="K17">
        <v>165409000</v>
      </c>
      <c r="L17">
        <v>79926021.817472368</v>
      </c>
      <c r="M17">
        <v>77909800</v>
      </c>
      <c r="N17">
        <v>15759919.92</v>
      </c>
      <c r="O17">
        <v>229.33456200000001</v>
      </c>
      <c r="P17">
        <v>2.6505753086766606</v>
      </c>
      <c r="Q17">
        <v>43.735654400000001</v>
      </c>
      <c r="R17">
        <v>801.95192900000006</v>
      </c>
      <c r="S17">
        <v>5.2803876199999998E-8</v>
      </c>
      <c r="T17">
        <v>21.623746590424485</v>
      </c>
      <c r="U17">
        <v>80.72</v>
      </c>
      <c r="V17">
        <v>-474.48220145405105</v>
      </c>
      <c r="W17">
        <v>69.597588299999998</v>
      </c>
      <c r="X17">
        <v>96.969672200000005</v>
      </c>
      <c r="Y17">
        <v>165.7</v>
      </c>
      <c r="Z17">
        <v>254.269126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2.6505753086766606</v>
      </c>
    </row>
    <row r="18" spans="1:40" x14ac:dyDescent="0.3">
      <c r="A18">
        <v>39</v>
      </c>
      <c r="B18">
        <v>19</v>
      </c>
      <c r="C18">
        <v>15</v>
      </c>
      <c r="D18">
        <v>10</v>
      </c>
      <c r="E18">
        <v>5</v>
      </c>
      <c r="F18">
        <v>0.3</v>
      </c>
      <c r="G18">
        <v>10</v>
      </c>
      <c r="H18">
        <v>7</v>
      </c>
      <c r="I18">
        <v>0.3</v>
      </c>
      <c r="J18">
        <v>329389742.50085896</v>
      </c>
      <c r="K18">
        <v>165573000</v>
      </c>
      <c r="L18">
        <v>79962161.213731512</v>
      </c>
      <c r="M18">
        <v>77312400</v>
      </c>
      <c r="N18">
        <v>15768586.16</v>
      </c>
      <c r="O18">
        <v>231.88564199999999</v>
      </c>
      <c r="P18">
        <v>2.6444943263175271</v>
      </c>
      <c r="Q18">
        <v>43.779270199999999</v>
      </c>
      <c r="R18">
        <v>800.80681700000002</v>
      </c>
      <c r="S18">
        <v>6.4515373299999994E-8</v>
      </c>
      <c r="T18">
        <v>21.629226864708624</v>
      </c>
      <c r="U18">
        <v>100.934</v>
      </c>
      <c r="V18">
        <v>-610.76093950329243</v>
      </c>
      <c r="W18">
        <v>69.218572699999996</v>
      </c>
      <c r="X18">
        <v>94.8255549</v>
      </c>
      <c r="Y18">
        <v>144.29</v>
      </c>
      <c r="Z18">
        <v>261.45264300000002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2.6444943263175271</v>
      </c>
    </row>
    <row r="19" spans="1:40" x14ac:dyDescent="0.3">
      <c r="A19">
        <v>28</v>
      </c>
      <c r="B19">
        <v>15</v>
      </c>
      <c r="C19">
        <v>14.079864502046139</v>
      </c>
      <c r="D19">
        <v>29</v>
      </c>
      <c r="E19">
        <v>6</v>
      </c>
      <c r="F19">
        <v>0.31031683986365971</v>
      </c>
      <c r="G19">
        <v>11</v>
      </c>
      <c r="H19">
        <v>8</v>
      </c>
      <c r="I19">
        <v>1.3378805580401043</v>
      </c>
      <c r="J19">
        <v>329438250.6360054</v>
      </c>
      <c r="K19">
        <v>165534000</v>
      </c>
      <c r="L19">
        <v>79928424.490470052</v>
      </c>
      <c r="M19">
        <v>77291900</v>
      </c>
      <c r="N19">
        <v>15760453.199999999</v>
      </c>
      <c r="O19">
        <v>231.860176</v>
      </c>
      <c r="P19">
        <v>2.644574587567007</v>
      </c>
      <c r="Q19">
        <v>43.826426900000001</v>
      </c>
      <c r="R19">
        <v>799.96687700000007</v>
      </c>
      <c r="S19">
        <v>8.19113033E-9</v>
      </c>
      <c r="T19">
        <v>21.724667934011084</v>
      </c>
      <c r="U19">
        <v>100.934</v>
      </c>
      <c r="V19">
        <v>-596.51539429380364</v>
      </c>
      <c r="W19">
        <v>69.220201500000002</v>
      </c>
      <c r="X19">
        <v>94.850954200000004</v>
      </c>
      <c r="Y19">
        <v>177.97</v>
      </c>
      <c r="Z19">
        <v>255.620417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2.644574587567007</v>
      </c>
    </row>
    <row r="20" spans="1:40" x14ac:dyDescent="0.3">
      <c r="A20">
        <v>27</v>
      </c>
      <c r="B20">
        <v>19</v>
      </c>
      <c r="C20">
        <v>1</v>
      </c>
      <c r="D20">
        <v>29</v>
      </c>
      <c r="E20">
        <v>5</v>
      </c>
      <c r="F20">
        <v>0.3</v>
      </c>
      <c r="G20">
        <v>29</v>
      </c>
      <c r="H20">
        <v>7</v>
      </c>
      <c r="I20">
        <v>1.4</v>
      </c>
      <c r="J20">
        <v>327102290.7939955</v>
      </c>
      <c r="K20">
        <v>165445000</v>
      </c>
      <c r="L20">
        <v>79925921.707355782</v>
      </c>
      <c r="M20">
        <v>77972400</v>
      </c>
      <c r="N20">
        <v>15759893.279999999</v>
      </c>
      <c r="O20">
        <v>229.14951600000001</v>
      </c>
      <c r="P20">
        <v>2.6541139014091599</v>
      </c>
      <c r="Q20">
        <v>43.728042000000002</v>
      </c>
      <c r="R20">
        <v>801.96634400000005</v>
      </c>
      <c r="S20">
        <v>5.2369183699999998E-8</v>
      </c>
      <c r="T20">
        <v>21.945651303107034</v>
      </c>
      <c r="U20">
        <v>68.709999999999994</v>
      </c>
      <c r="V20">
        <v>-467.62379939609735</v>
      </c>
      <c r="W20">
        <v>69.729894400000006</v>
      </c>
      <c r="X20">
        <v>98.485040699999999</v>
      </c>
      <c r="Y20">
        <v>177.97</v>
      </c>
      <c r="Z20">
        <v>254.316045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2.6541139014091599</v>
      </c>
    </row>
    <row r="21" spans="1:40" x14ac:dyDescent="0.3">
      <c r="A21">
        <v>27</v>
      </c>
      <c r="B21">
        <v>10</v>
      </c>
      <c r="C21">
        <v>15</v>
      </c>
      <c r="D21">
        <v>29</v>
      </c>
      <c r="E21">
        <v>5</v>
      </c>
      <c r="F21">
        <v>0.3</v>
      </c>
      <c r="G21">
        <v>27</v>
      </c>
      <c r="H21">
        <v>14</v>
      </c>
      <c r="I21">
        <v>0.3</v>
      </c>
      <c r="J21">
        <v>329754368.7059117</v>
      </c>
      <c r="K21">
        <v>165569000</v>
      </c>
      <c r="L21">
        <v>79941738.961965695</v>
      </c>
      <c r="M21">
        <v>77190100</v>
      </c>
      <c r="N21">
        <v>15763900.799999999</v>
      </c>
      <c r="O21">
        <v>232.01577599999999</v>
      </c>
      <c r="P21">
        <v>2.6463287112182621</v>
      </c>
      <c r="Q21">
        <v>43.808899500000003</v>
      </c>
      <c r="R21">
        <v>799.97119199999997</v>
      </c>
      <c r="S21">
        <v>6.0032978000000005E-8</v>
      </c>
      <c r="T21">
        <v>21.745513784577899</v>
      </c>
      <c r="U21">
        <v>100.934</v>
      </c>
      <c r="V21">
        <v>-593.50203779913784</v>
      </c>
      <c r="W21">
        <v>69.222164800000002</v>
      </c>
      <c r="X21">
        <v>94.861836199999999</v>
      </c>
      <c r="Y21">
        <v>177.97</v>
      </c>
      <c r="Z21">
        <v>253.42179400000001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2.6463287112182621</v>
      </c>
    </row>
    <row r="22" spans="1:40" x14ac:dyDescent="0.3">
      <c r="A22">
        <v>31</v>
      </c>
      <c r="B22">
        <v>10</v>
      </c>
      <c r="C22">
        <v>5.9431621673047399</v>
      </c>
      <c r="D22">
        <v>21</v>
      </c>
      <c r="E22">
        <v>7</v>
      </c>
      <c r="F22">
        <v>0.3</v>
      </c>
      <c r="G22">
        <v>15</v>
      </c>
      <c r="H22">
        <v>11</v>
      </c>
      <c r="I22">
        <v>1.0624511520488849</v>
      </c>
      <c r="J22">
        <v>327708732.07086068</v>
      </c>
      <c r="K22">
        <v>165448000</v>
      </c>
      <c r="L22">
        <v>79925521.284762889</v>
      </c>
      <c r="M22">
        <v>77287500</v>
      </c>
      <c r="N22">
        <v>15759743.119999999</v>
      </c>
      <c r="O22">
        <v>231.82718600000001</v>
      </c>
      <c r="P22">
        <v>2.6383326180988185</v>
      </c>
      <c r="Q22">
        <v>43.814811400000004</v>
      </c>
      <c r="R22">
        <v>800.04562799999997</v>
      </c>
      <c r="S22">
        <v>1.49902861E-9</v>
      </c>
      <c r="T22">
        <v>21.670033269950736</v>
      </c>
      <c r="U22">
        <v>100.934</v>
      </c>
      <c r="V22">
        <v>-598.65837981809455</v>
      </c>
      <c r="W22">
        <v>69.226202000000001</v>
      </c>
      <c r="X22">
        <v>94.877458399999995</v>
      </c>
      <c r="Y22">
        <v>170.55</v>
      </c>
      <c r="Z22">
        <v>255.209586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2.6383326180988185</v>
      </c>
    </row>
    <row r="23" spans="1:40" x14ac:dyDescent="0.3">
      <c r="A23">
        <v>38</v>
      </c>
      <c r="B23">
        <v>10</v>
      </c>
      <c r="C23">
        <v>14.391818942870268</v>
      </c>
      <c r="D23">
        <v>16</v>
      </c>
      <c r="E23">
        <v>12</v>
      </c>
      <c r="F23">
        <v>0.36699227823728964</v>
      </c>
      <c r="G23">
        <v>16</v>
      </c>
      <c r="H23">
        <v>13</v>
      </c>
      <c r="I23">
        <v>1.0136411104994176</v>
      </c>
      <c r="J23">
        <v>329566821.81419653</v>
      </c>
      <c r="K23">
        <v>165532000</v>
      </c>
      <c r="L23">
        <v>79925421.13396892</v>
      </c>
      <c r="M23">
        <v>77404800</v>
      </c>
      <c r="N23">
        <v>15759646.640000001</v>
      </c>
      <c r="O23">
        <v>231.132226</v>
      </c>
      <c r="P23">
        <v>2.6510868405954717</v>
      </c>
      <c r="Q23">
        <v>43.840440800000003</v>
      </c>
      <c r="R23">
        <v>801.23448200000007</v>
      </c>
      <c r="S23">
        <v>3.68143105E-14</v>
      </c>
      <c r="T23">
        <v>21.598349518854086</v>
      </c>
      <c r="U23">
        <v>100.934</v>
      </c>
      <c r="V23">
        <v>-621.909099448662</v>
      </c>
      <c r="W23">
        <v>69.220284199999995</v>
      </c>
      <c r="X23">
        <v>94.848213200000004</v>
      </c>
      <c r="Y23">
        <v>121.52199999999999</v>
      </c>
      <c r="Z23">
        <v>256.02055100000001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2.6510868405954717</v>
      </c>
    </row>
    <row r="24" spans="1:40" x14ac:dyDescent="0.3">
      <c r="A24">
        <v>39</v>
      </c>
      <c r="B24">
        <v>13</v>
      </c>
      <c r="C24">
        <v>4.5926843289611901</v>
      </c>
      <c r="D24">
        <v>29</v>
      </c>
      <c r="E24">
        <v>8</v>
      </c>
      <c r="F24">
        <v>0.36076308130310519</v>
      </c>
      <c r="G24">
        <v>12</v>
      </c>
      <c r="H24">
        <v>9</v>
      </c>
      <c r="I24">
        <v>0.76479105959904559</v>
      </c>
      <c r="J24">
        <v>327870022.60307509</v>
      </c>
      <c r="K24">
        <v>165470000</v>
      </c>
      <c r="L24">
        <v>79930927.131829754</v>
      </c>
      <c r="M24">
        <v>77466300</v>
      </c>
      <c r="N24">
        <v>15760976.720000001</v>
      </c>
      <c r="O24">
        <v>231.22114400000001</v>
      </c>
      <c r="P24">
        <v>2.6427278245947163</v>
      </c>
      <c r="Q24">
        <v>43.882142000000002</v>
      </c>
      <c r="R24">
        <v>800.32439600000009</v>
      </c>
      <c r="S24">
        <v>8.0181372500000002E-11</v>
      </c>
      <c r="T24">
        <v>21.771554476417975</v>
      </c>
      <c r="U24">
        <v>100.934</v>
      </c>
      <c r="V24">
        <v>-603.07254888686418</v>
      </c>
      <c r="W24">
        <v>69.222068500000006</v>
      </c>
      <c r="X24">
        <v>94.8594705</v>
      </c>
      <c r="Y24">
        <v>177.97</v>
      </c>
      <c r="Z24">
        <v>256.776229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2.6427278245947163</v>
      </c>
    </row>
    <row r="25" spans="1:40" x14ac:dyDescent="0.3">
      <c r="A25">
        <v>31</v>
      </c>
      <c r="B25">
        <v>10</v>
      </c>
      <c r="C25">
        <v>3.7116618479580921</v>
      </c>
      <c r="D25">
        <v>26</v>
      </c>
      <c r="E25">
        <v>5</v>
      </c>
      <c r="F25">
        <v>0.36267440443837828</v>
      </c>
      <c r="G25">
        <v>21</v>
      </c>
      <c r="H25">
        <v>14</v>
      </c>
      <c r="I25">
        <v>1.2023497261816707</v>
      </c>
      <c r="J25">
        <v>327552768.92912221</v>
      </c>
      <c r="K25">
        <v>165448000</v>
      </c>
      <c r="L25">
        <v>79925220.895040601</v>
      </c>
      <c r="M25">
        <v>77368700</v>
      </c>
      <c r="N25">
        <v>15759705.92</v>
      </c>
      <c r="O25">
        <v>231.35386800000001</v>
      </c>
      <c r="P25">
        <v>2.6417233091214158</v>
      </c>
      <c r="Q25">
        <v>43.856331099999998</v>
      </c>
      <c r="R25">
        <v>800.38244400000008</v>
      </c>
      <c r="S25">
        <v>3.3366493099999999E-8</v>
      </c>
      <c r="T25">
        <v>21.802516394217868</v>
      </c>
      <c r="U25">
        <v>100.934</v>
      </c>
      <c r="V25">
        <v>-594.45581752213525</v>
      </c>
      <c r="W25">
        <v>69.236758699999996</v>
      </c>
      <c r="X25">
        <v>94.918620500000003</v>
      </c>
      <c r="Y25">
        <v>177.97</v>
      </c>
      <c r="Z25">
        <v>254.23472000000001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2.6417233091214158</v>
      </c>
    </row>
    <row r="26" spans="1:40" x14ac:dyDescent="0.3">
      <c r="A26">
        <v>27</v>
      </c>
      <c r="B26">
        <v>13</v>
      </c>
      <c r="C26">
        <v>3.1390225098922651</v>
      </c>
      <c r="D26">
        <v>22</v>
      </c>
      <c r="E26">
        <v>8</v>
      </c>
      <c r="F26">
        <v>0.30155896273117949</v>
      </c>
      <c r="G26">
        <v>10</v>
      </c>
      <c r="H26">
        <v>8</v>
      </c>
      <c r="I26">
        <v>0.48092808868855191</v>
      </c>
      <c r="J26">
        <v>326907545.78653467</v>
      </c>
      <c r="K26">
        <v>165444000</v>
      </c>
      <c r="L26">
        <v>79958457.184820786</v>
      </c>
      <c r="M26">
        <v>77483500</v>
      </c>
      <c r="N26">
        <v>15767570.959999999</v>
      </c>
      <c r="O26">
        <v>231.71187599999999</v>
      </c>
      <c r="P26">
        <v>2.6334881042139493</v>
      </c>
      <c r="Q26">
        <v>43.814934299999997</v>
      </c>
      <c r="R26">
        <v>800.05820600000004</v>
      </c>
      <c r="S26">
        <v>2.2939161900000001E-10</v>
      </c>
      <c r="T26">
        <v>21.666342169056382</v>
      </c>
      <c r="U26">
        <v>100.934</v>
      </c>
      <c r="V26">
        <v>-594.42196945174624</v>
      </c>
      <c r="W26">
        <v>69.239841699999999</v>
      </c>
      <c r="X26">
        <v>94.934250500000005</v>
      </c>
      <c r="Y26">
        <v>170.55</v>
      </c>
      <c r="Z26">
        <v>264.33428700000002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2.6334881042139493</v>
      </c>
    </row>
    <row r="27" spans="1:40" x14ac:dyDescent="0.3">
      <c r="A27">
        <v>28</v>
      </c>
      <c r="B27">
        <v>16</v>
      </c>
      <c r="C27">
        <v>4.6421943660984546</v>
      </c>
      <c r="D27">
        <v>25</v>
      </c>
      <c r="E27">
        <v>6</v>
      </c>
      <c r="F27">
        <v>0.30427181554846577</v>
      </c>
      <c r="G27">
        <v>21</v>
      </c>
      <c r="H27">
        <v>14</v>
      </c>
      <c r="I27">
        <v>0.75352450448958619</v>
      </c>
      <c r="J27">
        <v>327544815.12820578</v>
      </c>
      <c r="K27">
        <v>165447000</v>
      </c>
      <c r="L27">
        <v>79926622.491730943</v>
      </c>
      <c r="M27">
        <v>77255100</v>
      </c>
      <c r="N27">
        <v>15760077.520000001</v>
      </c>
      <c r="O27">
        <v>231.866996</v>
      </c>
      <c r="P27">
        <v>2.6379975226161312</v>
      </c>
      <c r="Q27">
        <v>43.818293099999998</v>
      </c>
      <c r="R27">
        <v>800.00620000000004</v>
      </c>
      <c r="S27">
        <v>8.8935535600000007E-9</v>
      </c>
      <c r="T27">
        <v>21.710690233330155</v>
      </c>
      <c r="U27">
        <v>100.934</v>
      </c>
      <c r="V27">
        <v>-596.23324951389748</v>
      </c>
      <c r="W27">
        <v>69.224679100000003</v>
      </c>
      <c r="X27">
        <v>94.874998700000006</v>
      </c>
      <c r="Y27">
        <v>177.97</v>
      </c>
      <c r="Z27">
        <v>254.27257399999999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2.6379975226161312</v>
      </c>
    </row>
    <row r="28" spans="1:40" x14ac:dyDescent="0.3">
      <c r="A28">
        <v>39</v>
      </c>
      <c r="B28">
        <v>10</v>
      </c>
      <c r="C28">
        <v>14.857093301645142</v>
      </c>
      <c r="D28">
        <v>10</v>
      </c>
      <c r="E28">
        <v>6</v>
      </c>
      <c r="F28">
        <v>0.4590781435275465</v>
      </c>
      <c r="G28">
        <v>25</v>
      </c>
      <c r="H28">
        <v>14</v>
      </c>
      <c r="I28">
        <v>0.65543186801143638</v>
      </c>
      <c r="J28">
        <v>329765462.8761214</v>
      </c>
      <c r="K28">
        <v>165573000</v>
      </c>
      <c r="L28">
        <v>79924720.448821947</v>
      </c>
      <c r="M28">
        <v>77475300</v>
      </c>
      <c r="N28">
        <v>15759603.359999999</v>
      </c>
      <c r="O28">
        <v>230.4812</v>
      </c>
      <c r="P28">
        <v>2.6585952704211087</v>
      </c>
      <c r="Q28">
        <v>43.888712300000002</v>
      </c>
      <c r="R28">
        <v>801.93584799999996</v>
      </c>
      <c r="S28">
        <v>2.2017819400000002E-9</v>
      </c>
      <c r="T28">
        <v>21.758319823978969</v>
      </c>
      <c r="U28">
        <v>100.934</v>
      </c>
      <c r="V28">
        <v>-628.69543597408551</v>
      </c>
      <c r="W28">
        <v>69.220186699999999</v>
      </c>
      <c r="X28">
        <v>94.847298600000002</v>
      </c>
      <c r="Y28">
        <v>121.52199999999999</v>
      </c>
      <c r="Z28">
        <v>253.99141900000001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2.6585952704211087</v>
      </c>
    </row>
    <row r="29" spans="1:40" x14ac:dyDescent="0.3">
      <c r="A29">
        <v>37</v>
      </c>
      <c r="B29">
        <v>19</v>
      </c>
      <c r="C29">
        <v>12.449567736373298</v>
      </c>
      <c r="D29">
        <v>29</v>
      </c>
      <c r="E29">
        <v>7</v>
      </c>
      <c r="F29">
        <v>0.32943679515422553</v>
      </c>
      <c r="G29">
        <v>17</v>
      </c>
      <c r="H29">
        <v>14</v>
      </c>
      <c r="I29">
        <v>0.97095248697519132</v>
      </c>
      <c r="J29">
        <v>329427348.50525415</v>
      </c>
      <c r="K29">
        <v>165549000</v>
      </c>
      <c r="L29">
        <v>79925220.900382087</v>
      </c>
      <c r="M29">
        <v>77366800</v>
      </c>
      <c r="N29">
        <v>15759585.119999999</v>
      </c>
      <c r="O29">
        <v>231.62848299999999</v>
      </c>
      <c r="P29">
        <v>2.646046381735133</v>
      </c>
      <c r="Q29">
        <v>43.849476799999998</v>
      </c>
      <c r="R29">
        <v>800.055744</v>
      </c>
      <c r="S29">
        <v>9.3224832200000001E-10</v>
      </c>
      <c r="T29">
        <v>21.730119885646193</v>
      </c>
      <c r="U29">
        <v>100.934</v>
      </c>
      <c r="V29">
        <v>-599.84783840911984</v>
      </c>
      <c r="W29">
        <v>69.218680800000001</v>
      </c>
      <c r="X29">
        <v>94.828861700000004</v>
      </c>
      <c r="Y29">
        <v>177.97</v>
      </c>
      <c r="Z29">
        <v>256.285122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2.646046381735133</v>
      </c>
    </row>
    <row r="30" spans="1:40" x14ac:dyDescent="0.3">
      <c r="A30">
        <v>29</v>
      </c>
      <c r="B30">
        <v>18</v>
      </c>
      <c r="C30">
        <v>5.0998272231333566</v>
      </c>
      <c r="D30">
        <v>28</v>
      </c>
      <c r="E30">
        <v>6</v>
      </c>
      <c r="F30">
        <v>0.33337363269436127</v>
      </c>
      <c r="G30">
        <v>14</v>
      </c>
      <c r="H30">
        <v>9</v>
      </c>
      <c r="I30">
        <v>0.4695016166063693</v>
      </c>
      <c r="J30">
        <v>327635266.96143562</v>
      </c>
      <c r="K30">
        <v>165457000</v>
      </c>
      <c r="L30">
        <v>79933329.805854648</v>
      </c>
      <c r="M30">
        <v>77340200</v>
      </c>
      <c r="N30">
        <v>15761669.040000001</v>
      </c>
      <c r="O30">
        <v>231.61245400000001</v>
      </c>
      <c r="P30">
        <v>2.6397304513493549</v>
      </c>
      <c r="Q30">
        <v>43.846921700000003</v>
      </c>
      <c r="R30">
        <v>800.12572399999999</v>
      </c>
      <c r="S30">
        <v>6.1327825299999999E-9</v>
      </c>
      <c r="T30">
        <v>21.751204078781235</v>
      </c>
      <c r="U30">
        <v>100.934</v>
      </c>
      <c r="V30">
        <v>-598.48843541426174</v>
      </c>
      <c r="W30">
        <v>69.222478600000002</v>
      </c>
      <c r="X30">
        <v>94.864737199999993</v>
      </c>
      <c r="Y30">
        <v>177.97</v>
      </c>
      <c r="Z30">
        <v>255.35647800000001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2.6397304513493549</v>
      </c>
    </row>
    <row r="31" spans="1:40" x14ac:dyDescent="0.3">
      <c r="A31">
        <v>30</v>
      </c>
      <c r="B31">
        <v>10</v>
      </c>
      <c r="C31">
        <v>4.3184546841400895</v>
      </c>
      <c r="D31">
        <v>29</v>
      </c>
      <c r="E31">
        <v>5</v>
      </c>
      <c r="F31">
        <v>0.45932720424241469</v>
      </c>
      <c r="G31">
        <v>20</v>
      </c>
      <c r="H31">
        <v>8</v>
      </c>
      <c r="I31">
        <v>0.43218045499764546</v>
      </c>
      <c r="J31">
        <v>327725829.57649755</v>
      </c>
      <c r="K31">
        <v>165472000</v>
      </c>
      <c r="L31">
        <v>79932328.695854917</v>
      </c>
      <c r="M31">
        <v>77501600</v>
      </c>
      <c r="N31">
        <v>15761519.120000001</v>
      </c>
      <c r="O31">
        <v>230.65904499999999</v>
      </c>
      <c r="P31">
        <v>2.6481062867768608</v>
      </c>
      <c r="Q31">
        <v>43.925611600000003</v>
      </c>
      <c r="R31">
        <v>800.83426800000007</v>
      </c>
      <c r="S31">
        <v>1.6690594499999998E-8</v>
      </c>
      <c r="T31">
        <v>21.886458330550671</v>
      </c>
      <c r="U31">
        <v>100.934</v>
      </c>
      <c r="V31">
        <v>-602.32682343435783</v>
      </c>
      <c r="W31">
        <v>69.2325771</v>
      </c>
      <c r="X31">
        <v>94.902993800000004</v>
      </c>
      <c r="Y31">
        <v>177.97</v>
      </c>
      <c r="Z31">
        <v>253.61719400000001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2.6481062867768608</v>
      </c>
    </row>
    <row r="32" spans="1:40" x14ac:dyDescent="0.3">
      <c r="A32">
        <v>27</v>
      </c>
      <c r="B32">
        <v>13</v>
      </c>
      <c r="C32">
        <v>14.85135225857784</v>
      </c>
      <c r="D32">
        <v>13</v>
      </c>
      <c r="E32">
        <v>5</v>
      </c>
      <c r="F32">
        <v>0.33751078820460428</v>
      </c>
      <c r="G32">
        <v>17</v>
      </c>
      <c r="H32">
        <v>8</v>
      </c>
      <c r="I32">
        <v>0.80532023585366685</v>
      </c>
      <c r="J32">
        <v>329136645.10090744</v>
      </c>
      <c r="K32">
        <v>165520000</v>
      </c>
      <c r="L32">
        <v>79926622.468721509</v>
      </c>
      <c r="M32">
        <v>77300800</v>
      </c>
      <c r="N32">
        <v>15760068.24</v>
      </c>
      <c r="O32">
        <v>231.51364100000001</v>
      </c>
      <c r="P32">
        <v>2.6472120252118843</v>
      </c>
      <c r="Q32">
        <v>43.827016100000002</v>
      </c>
      <c r="R32">
        <v>800.62960900000007</v>
      </c>
      <c r="S32">
        <v>4.2887941600000001E-8</v>
      </c>
      <c r="T32">
        <v>21.721248922946966</v>
      </c>
      <c r="U32">
        <v>100.934</v>
      </c>
      <c r="V32">
        <v>-609.21447964910226</v>
      </c>
      <c r="W32">
        <v>69.220977000000005</v>
      </c>
      <c r="X32">
        <v>94.856143000000003</v>
      </c>
      <c r="Y32">
        <v>144.29</v>
      </c>
      <c r="Z32">
        <v>254.20020500000001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2.6472120252118843</v>
      </c>
    </row>
    <row r="33" spans="1:40" x14ac:dyDescent="0.3">
      <c r="A33">
        <v>37</v>
      </c>
      <c r="B33">
        <v>11</v>
      </c>
      <c r="C33">
        <v>2.6450985459039504</v>
      </c>
      <c r="D33">
        <v>28</v>
      </c>
      <c r="E33">
        <v>6</v>
      </c>
      <c r="F33">
        <v>0.32762917358190108</v>
      </c>
      <c r="G33">
        <v>29</v>
      </c>
      <c r="H33">
        <v>9</v>
      </c>
      <c r="I33">
        <v>0.84594934145862144</v>
      </c>
      <c r="J33">
        <v>327631115.13103569</v>
      </c>
      <c r="K33">
        <v>165463000</v>
      </c>
      <c r="L33">
        <v>79925621.402069911</v>
      </c>
      <c r="M33">
        <v>77345100</v>
      </c>
      <c r="N33">
        <v>15759824.24</v>
      </c>
      <c r="O33">
        <v>231.50462300000001</v>
      </c>
      <c r="P33">
        <v>2.6409687940394884</v>
      </c>
      <c r="Q33">
        <v>43.836700999999998</v>
      </c>
      <c r="R33">
        <v>800.20133400000009</v>
      </c>
      <c r="S33">
        <v>6.5041462400000003E-9</v>
      </c>
      <c r="T33">
        <v>21.757123590699077</v>
      </c>
      <c r="U33">
        <v>100.934</v>
      </c>
      <c r="V33">
        <v>-589.53384939489251</v>
      </c>
      <c r="W33">
        <v>69.245424600000007</v>
      </c>
      <c r="X33">
        <v>94.947133399999998</v>
      </c>
      <c r="Y33">
        <v>177.97</v>
      </c>
      <c r="Z33">
        <v>254.26974300000001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2.6409687940394884</v>
      </c>
    </row>
    <row r="34" spans="1:40" x14ac:dyDescent="0.3">
      <c r="A34">
        <v>38</v>
      </c>
      <c r="B34">
        <v>11</v>
      </c>
      <c r="C34">
        <v>2.0905082001359894</v>
      </c>
      <c r="D34">
        <v>23</v>
      </c>
      <c r="E34">
        <v>5</v>
      </c>
      <c r="F34">
        <v>0.32380290988309129</v>
      </c>
      <c r="G34">
        <v>12</v>
      </c>
      <c r="H34">
        <v>7</v>
      </c>
      <c r="I34">
        <v>0.61491350814083967</v>
      </c>
      <c r="J34">
        <v>327066568.04655516</v>
      </c>
      <c r="K34">
        <v>165452000</v>
      </c>
      <c r="L34">
        <v>79931828.132534683</v>
      </c>
      <c r="M34">
        <v>77378600</v>
      </c>
      <c r="N34">
        <v>15761313.68</v>
      </c>
      <c r="O34">
        <v>231.41766100000001</v>
      </c>
      <c r="P34">
        <v>2.6394562910270252</v>
      </c>
      <c r="Q34">
        <v>43.816152600000002</v>
      </c>
      <c r="R34">
        <v>800.40153999999995</v>
      </c>
      <c r="S34">
        <v>4.6651798899999997E-8</v>
      </c>
      <c r="T34">
        <v>21.778047972155516</v>
      </c>
      <c r="U34">
        <v>100.934</v>
      </c>
      <c r="V34">
        <v>-580.39137030549011</v>
      </c>
      <c r="W34">
        <v>69.271946</v>
      </c>
      <c r="X34">
        <v>95.032836700000004</v>
      </c>
      <c r="Y34">
        <v>177.97</v>
      </c>
      <c r="Z34">
        <v>254.97052500000001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2.6394562910270252</v>
      </c>
    </row>
    <row r="35" spans="1:40" x14ac:dyDescent="0.3">
      <c r="A35">
        <v>28</v>
      </c>
      <c r="B35">
        <v>10</v>
      </c>
      <c r="C35">
        <v>8.6270451823456735</v>
      </c>
      <c r="D35">
        <v>20</v>
      </c>
      <c r="E35">
        <v>12</v>
      </c>
      <c r="F35">
        <v>0.34449580359009369</v>
      </c>
      <c r="G35">
        <v>12</v>
      </c>
      <c r="H35">
        <v>9</v>
      </c>
      <c r="I35">
        <v>0.57727824219630874</v>
      </c>
      <c r="J35">
        <v>328098930.28326261</v>
      </c>
      <c r="K35">
        <v>165465000</v>
      </c>
      <c r="L35">
        <v>79936833.558035851</v>
      </c>
      <c r="M35">
        <v>77470600</v>
      </c>
      <c r="N35">
        <v>15762393.6</v>
      </c>
      <c r="O35">
        <v>231.232416</v>
      </c>
      <c r="P35">
        <v>2.6430934868030618</v>
      </c>
      <c r="Q35">
        <v>43.855760799999999</v>
      </c>
      <c r="R35">
        <v>800.50212399999998</v>
      </c>
      <c r="S35">
        <v>4.6725607000000002E-14</v>
      </c>
      <c r="T35">
        <v>21.670196977030358</v>
      </c>
      <c r="U35">
        <v>100.934</v>
      </c>
      <c r="V35">
        <v>-611.99545453118799</v>
      </c>
      <c r="W35">
        <v>69.224146000000005</v>
      </c>
      <c r="X35">
        <v>94.870483500000006</v>
      </c>
      <c r="Y35">
        <v>144.29</v>
      </c>
      <c r="Z35">
        <v>257.89636000000002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2.6430934868030618</v>
      </c>
    </row>
    <row r="36" spans="1:40" x14ac:dyDescent="0.3">
      <c r="A36">
        <v>37</v>
      </c>
      <c r="B36">
        <v>17</v>
      </c>
      <c r="C36">
        <v>1.1565015099508071</v>
      </c>
      <c r="D36">
        <v>28</v>
      </c>
      <c r="E36">
        <v>12</v>
      </c>
      <c r="F36">
        <v>0.35267519637124051</v>
      </c>
      <c r="G36">
        <v>15</v>
      </c>
      <c r="H36">
        <v>13</v>
      </c>
      <c r="I36">
        <v>0.62926379835146862</v>
      </c>
      <c r="J36">
        <v>326991634.40191144</v>
      </c>
      <c r="K36">
        <v>165462000</v>
      </c>
      <c r="L36">
        <v>79943941.254691392</v>
      </c>
      <c r="M36">
        <v>78064900</v>
      </c>
      <c r="N36">
        <v>15764002.32</v>
      </c>
      <c r="O36">
        <v>229.28361100000001</v>
      </c>
      <c r="P36">
        <v>2.6507804499925394</v>
      </c>
      <c r="Q36">
        <v>43.817850499999999</v>
      </c>
      <c r="R36">
        <v>801.732573</v>
      </c>
      <c r="S36">
        <v>2.67084274E-14</v>
      </c>
      <c r="T36">
        <v>21.894510611623581</v>
      </c>
      <c r="U36">
        <v>100.934</v>
      </c>
      <c r="V36">
        <v>-511.18144837019537</v>
      </c>
      <c r="W36">
        <v>69.500127199999994</v>
      </c>
      <c r="X36">
        <v>96.272419999999997</v>
      </c>
      <c r="Y36">
        <v>177.97</v>
      </c>
      <c r="Z36">
        <v>261.96718800000002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2.6507804499925394</v>
      </c>
    </row>
    <row r="37" spans="1:40" x14ac:dyDescent="0.3">
      <c r="A37">
        <v>30</v>
      </c>
      <c r="B37">
        <v>17</v>
      </c>
      <c r="C37">
        <v>14.659962811732152</v>
      </c>
      <c r="D37">
        <v>16</v>
      </c>
      <c r="E37">
        <v>13</v>
      </c>
      <c r="F37">
        <v>0.33209857365164719</v>
      </c>
      <c r="G37">
        <v>19</v>
      </c>
      <c r="H37">
        <v>14</v>
      </c>
      <c r="I37">
        <v>0.70804299023420403</v>
      </c>
      <c r="J37">
        <v>329350617.10676473</v>
      </c>
      <c r="K37">
        <v>165536000</v>
      </c>
      <c r="L37">
        <v>79925020.694118947</v>
      </c>
      <c r="M37">
        <v>77216800</v>
      </c>
      <c r="N37">
        <v>15759610.640000001</v>
      </c>
      <c r="O37">
        <v>231.73648800000001</v>
      </c>
      <c r="P37">
        <v>2.6471980731347577</v>
      </c>
      <c r="Q37">
        <v>43.780344999999997</v>
      </c>
      <c r="R37">
        <v>801.23434499999996</v>
      </c>
      <c r="S37">
        <v>1.7792348099999999E-14</v>
      </c>
      <c r="T37">
        <v>21.430549539654365</v>
      </c>
      <c r="U37">
        <v>100.934</v>
      </c>
      <c r="V37">
        <v>-619.2510931408616</v>
      </c>
      <c r="W37">
        <v>69.219372699999994</v>
      </c>
      <c r="X37">
        <v>94.842802699999993</v>
      </c>
      <c r="Y37">
        <v>121.52199999999999</v>
      </c>
      <c r="Z37">
        <v>254.982967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2.6471980731347577</v>
      </c>
    </row>
    <row r="38" spans="1:40" x14ac:dyDescent="0.3">
      <c r="A38">
        <v>37</v>
      </c>
      <c r="B38">
        <v>18</v>
      </c>
      <c r="C38">
        <v>3.706112848642944</v>
      </c>
      <c r="D38">
        <v>24</v>
      </c>
      <c r="E38">
        <v>6</v>
      </c>
      <c r="F38">
        <v>0.3289059182107702</v>
      </c>
      <c r="G38">
        <v>11</v>
      </c>
      <c r="H38">
        <v>9</v>
      </c>
      <c r="I38">
        <v>0.30265390980225043</v>
      </c>
      <c r="J38">
        <v>327340555.18374014</v>
      </c>
      <c r="K38">
        <v>165502000</v>
      </c>
      <c r="L38">
        <v>79978378.882511228</v>
      </c>
      <c r="M38">
        <v>77535800</v>
      </c>
      <c r="N38">
        <v>15772400.879999999</v>
      </c>
      <c r="O38">
        <v>231.63888900000001</v>
      </c>
      <c r="P38">
        <v>2.6356955176054107</v>
      </c>
      <c r="Q38">
        <v>43.841646300000001</v>
      </c>
      <c r="R38">
        <v>800.16253199999994</v>
      </c>
      <c r="S38">
        <v>6.50741484E-9</v>
      </c>
      <c r="T38">
        <v>21.734647203170656</v>
      </c>
      <c r="U38">
        <v>100.934</v>
      </c>
      <c r="V38">
        <v>-600.60028369211045</v>
      </c>
      <c r="W38">
        <v>69.220144300000001</v>
      </c>
      <c r="X38">
        <v>94.850972900000002</v>
      </c>
      <c r="Y38">
        <v>177.97</v>
      </c>
      <c r="Z38">
        <v>275.67297500000001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2.6356955176054107</v>
      </c>
    </row>
    <row r="39" spans="1:40" x14ac:dyDescent="0.3">
      <c r="A39">
        <v>38</v>
      </c>
      <c r="B39">
        <v>15</v>
      </c>
      <c r="C39">
        <v>6.3529161199273334</v>
      </c>
      <c r="D39">
        <v>20</v>
      </c>
      <c r="E39">
        <v>5</v>
      </c>
      <c r="F39">
        <v>0.30414354297906726</v>
      </c>
      <c r="G39">
        <v>17</v>
      </c>
      <c r="H39">
        <v>13</v>
      </c>
      <c r="I39">
        <v>0.35938571384893203</v>
      </c>
      <c r="J39">
        <v>327971816.73662096</v>
      </c>
      <c r="K39">
        <v>165477000</v>
      </c>
      <c r="L39">
        <v>79936933.788951963</v>
      </c>
      <c r="M39">
        <v>77220100</v>
      </c>
      <c r="N39">
        <v>15762664.880000001</v>
      </c>
      <c r="O39">
        <v>231.92979600000001</v>
      </c>
      <c r="P39">
        <v>2.6397702061244734</v>
      </c>
      <c r="Q39">
        <v>43.8095432</v>
      </c>
      <c r="R39">
        <v>800.13219300000003</v>
      </c>
      <c r="S39">
        <v>5.7957864399999998E-8</v>
      </c>
      <c r="T39">
        <v>21.724213312324576</v>
      </c>
      <c r="U39">
        <v>100.934</v>
      </c>
      <c r="V39">
        <v>-599.09720414750859</v>
      </c>
      <c r="W39">
        <v>69.219486599999996</v>
      </c>
      <c r="X39">
        <v>94.843686000000005</v>
      </c>
      <c r="Y39">
        <v>170.55</v>
      </c>
      <c r="Z39">
        <v>254.07134199999999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2.6397702061244734</v>
      </c>
    </row>
    <row r="40" spans="1:40" x14ac:dyDescent="0.3">
      <c r="A40">
        <v>27</v>
      </c>
      <c r="B40">
        <v>10</v>
      </c>
      <c r="C40">
        <v>11.648315645627367</v>
      </c>
      <c r="D40">
        <v>24</v>
      </c>
      <c r="E40">
        <v>12</v>
      </c>
      <c r="F40">
        <v>0.38565384464964447</v>
      </c>
      <c r="G40">
        <v>25</v>
      </c>
      <c r="H40">
        <v>8</v>
      </c>
      <c r="I40">
        <v>1.3863211730203018</v>
      </c>
      <c r="J40">
        <v>328970921.39312249</v>
      </c>
      <c r="K40">
        <v>165533000</v>
      </c>
      <c r="L40">
        <v>79925421.134585246</v>
      </c>
      <c r="M40">
        <v>77491000</v>
      </c>
      <c r="N40">
        <v>15759760.720000001</v>
      </c>
      <c r="O40">
        <v>230.74358799999999</v>
      </c>
      <c r="P40">
        <v>2.6521689127618258</v>
      </c>
      <c r="Q40">
        <v>43.9070064</v>
      </c>
      <c r="R40">
        <v>800.81256099999996</v>
      </c>
      <c r="S40">
        <v>1.57846272E-14</v>
      </c>
      <c r="T40">
        <v>21.78085916300795</v>
      </c>
      <c r="U40">
        <v>100.934</v>
      </c>
      <c r="V40">
        <v>-613.84621646743676</v>
      </c>
      <c r="W40">
        <v>69.223157700000002</v>
      </c>
      <c r="X40">
        <v>94.866976300000005</v>
      </c>
      <c r="Y40">
        <v>170.55</v>
      </c>
      <c r="Z40">
        <v>253.90113199999999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2.6521689127618258</v>
      </c>
    </row>
    <row r="41" spans="1:40" x14ac:dyDescent="0.3">
      <c r="A41">
        <v>28</v>
      </c>
      <c r="B41">
        <v>11</v>
      </c>
      <c r="C41">
        <v>10.874229841763141</v>
      </c>
      <c r="D41">
        <v>14</v>
      </c>
      <c r="E41">
        <v>11</v>
      </c>
      <c r="F41">
        <v>0.31298397476444378</v>
      </c>
      <c r="G41">
        <v>22</v>
      </c>
      <c r="H41">
        <v>14</v>
      </c>
      <c r="I41">
        <v>0.94970732937787772</v>
      </c>
      <c r="J41">
        <v>328634133.28850687</v>
      </c>
      <c r="K41">
        <v>165496000</v>
      </c>
      <c r="L41">
        <v>79924520.154424459</v>
      </c>
      <c r="M41">
        <v>77158900</v>
      </c>
      <c r="N41">
        <v>15759530.640000001</v>
      </c>
      <c r="O41">
        <v>231.904707</v>
      </c>
      <c r="P41">
        <v>2.6435212136268422</v>
      </c>
      <c r="Q41">
        <v>43.7623271</v>
      </c>
      <c r="R41">
        <v>801.20549900000003</v>
      </c>
      <c r="S41">
        <v>1.1530813499999999E-12</v>
      </c>
      <c r="T41">
        <v>21.409772744895545</v>
      </c>
      <c r="U41">
        <v>100.934</v>
      </c>
      <c r="V41">
        <v>-616.21564286274543</v>
      </c>
      <c r="W41">
        <v>69.221922800000002</v>
      </c>
      <c r="X41">
        <v>94.860667300000003</v>
      </c>
      <c r="Y41">
        <v>121.52199999999999</v>
      </c>
      <c r="Z41">
        <v>254.33252400000001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2.6435212136268422</v>
      </c>
    </row>
    <row r="42" spans="1:40" x14ac:dyDescent="0.3">
      <c r="A42">
        <v>36</v>
      </c>
      <c r="B42">
        <v>18</v>
      </c>
      <c r="C42">
        <v>3.719448387387609</v>
      </c>
      <c r="D42">
        <v>29</v>
      </c>
      <c r="E42">
        <v>5</v>
      </c>
      <c r="F42">
        <v>0.30390213955774142</v>
      </c>
      <c r="G42">
        <v>16</v>
      </c>
      <c r="H42">
        <v>12</v>
      </c>
      <c r="I42">
        <v>1.1631768544713179</v>
      </c>
      <c r="J42">
        <v>327643724.83571494</v>
      </c>
      <c r="K42">
        <v>165464000</v>
      </c>
      <c r="L42">
        <v>79925020.77650094</v>
      </c>
      <c r="M42">
        <v>77244100</v>
      </c>
      <c r="N42">
        <v>15759633.040000001</v>
      </c>
      <c r="O42">
        <v>231.99473399999999</v>
      </c>
      <c r="P42">
        <v>2.6373672254261495</v>
      </c>
      <c r="Q42">
        <v>43.812705800000003</v>
      </c>
      <c r="R42">
        <v>799.97957099999996</v>
      </c>
      <c r="S42">
        <v>5.7684425499999997E-8</v>
      </c>
      <c r="T42">
        <v>21.747817415733905</v>
      </c>
      <c r="U42">
        <v>100.934</v>
      </c>
      <c r="V42">
        <v>-594.50227160094812</v>
      </c>
      <c r="W42">
        <v>69.220288600000003</v>
      </c>
      <c r="X42">
        <v>94.852195800000004</v>
      </c>
      <c r="Y42">
        <v>177.97</v>
      </c>
      <c r="Z42">
        <v>255.13940500000001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2.6373672254261495</v>
      </c>
    </row>
    <row r="43" spans="1:40" x14ac:dyDescent="0.3">
      <c r="A43">
        <v>27</v>
      </c>
      <c r="B43">
        <v>13</v>
      </c>
      <c r="C43">
        <v>14.113659364131911</v>
      </c>
      <c r="D43">
        <v>21</v>
      </c>
      <c r="E43">
        <v>5</v>
      </c>
      <c r="F43">
        <v>0.31976022412030713</v>
      </c>
      <c r="G43">
        <v>15</v>
      </c>
      <c r="H43">
        <v>13</v>
      </c>
      <c r="I43">
        <v>0.71358741782683266</v>
      </c>
      <c r="J43">
        <v>329077968.66652501</v>
      </c>
      <c r="K43">
        <v>165526000</v>
      </c>
      <c r="L43">
        <v>79937233.962755352</v>
      </c>
      <c r="M43">
        <v>77406000</v>
      </c>
      <c r="N43">
        <v>15762375.200000001</v>
      </c>
      <c r="O43">
        <v>231.78966199999999</v>
      </c>
      <c r="P43">
        <v>2.641998585207864</v>
      </c>
      <c r="Q43">
        <v>43.822814200000003</v>
      </c>
      <c r="R43">
        <v>800.18937999999991</v>
      </c>
      <c r="S43">
        <v>4.9513730999999999E-8</v>
      </c>
      <c r="T43">
        <v>21.742069164385967</v>
      </c>
      <c r="U43">
        <v>100.934</v>
      </c>
      <c r="V43">
        <v>-599.26770047650064</v>
      </c>
      <c r="W43">
        <v>69.221070400000002</v>
      </c>
      <c r="X43">
        <v>94.856701000000001</v>
      </c>
      <c r="Y43">
        <v>170.55</v>
      </c>
      <c r="Z43">
        <v>261.22837299999998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2.641998585207864</v>
      </c>
    </row>
    <row r="44" spans="1:40" x14ac:dyDescent="0.3">
      <c r="A44">
        <v>27</v>
      </c>
      <c r="B44">
        <v>19</v>
      </c>
      <c r="C44">
        <v>12.091443197489806</v>
      </c>
      <c r="D44">
        <v>13</v>
      </c>
      <c r="E44">
        <v>11</v>
      </c>
      <c r="F44">
        <v>0.31933580555459129</v>
      </c>
      <c r="G44">
        <v>10</v>
      </c>
      <c r="H44">
        <v>8</v>
      </c>
      <c r="I44">
        <v>0.62202196757409811</v>
      </c>
      <c r="J44">
        <v>328520837.31464845</v>
      </c>
      <c r="K44">
        <v>165518000</v>
      </c>
      <c r="L44">
        <v>79945943.470582023</v>
      </c>
      <c r="M44">
        <v>77168500</v>
      </c>
      <c r="N44">
        <v>15764523.76</v>
      </c>
      <c r="O44">
        <v>232.24843200000001</v>
      </c>
      <c r="P44">
        <v>2.6395133585468646</v>
      </c>
      <c r="Q44">
        <v>43.717516199999999</v>
      </c>
      <c r="R44">
        <v>801.79420199999993</v>
      </c>
      <c r="S44">
        <v>4.3815786999999996E-12</v>
      </c>
      <c r="T44">
        <v>21.257666322633884</v>
      </c>
      <c r="U44">
        <v>100.934</v>
      </c>
      <c r="V44">
        <v>-618.26614448780367</v>
      </c>
      <c r="W44">
        <v>69.221552099999997</v>
      </c>
      <c r="X44">
        <v>94.857977300000002</v>
      </c>
      <c r="Y44">
        <v>121.52199999999999</v>
      </c>
      <c r="Z44">
        <v>261.90044499999999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2.6395133585468646</v>
      </c>
    </row>
    <row r="45" spans="1:40" x14ac:dyDescent="0.3">
      <c r="A45">
        <v>38</v>
      </c>
      <c r="B45">
        <v>11</v>
      </c>
      <c r="C45">
        <v>5.5396771619298564</v>
      </c>
      <c r="D45">
        <v>14</v>
      </c>
      <c r="E45">
        <v>12</v>
      </c>
      <c r="F45">
        <v>0.36762906555162361</v>
      </c>
      <c r="G45">
        <v>11</v>
      </c>
      <c r="H45">
        <v>8</v>
      </c>
      <c r="I45">
        <v>1.3296059811996006</v>
      </c>
      <c r="J45">
        <v>327739280.65072048</v>
      </c>
      <c r="K45">
        <v>165453000</v>
      </c>
      <c r="L45">
        <v>79928324.36699979</v>
      </c>
      <c r="M45">
        <v>77160800</v>
      </c>
      <c r="N45">
        <v>15760427.199999999</v>
      </c>
      <c r="O45">
        <v>231.783267</v>
      </c>
      <c r="P45">
        <v>2.6414302517502</v>
      </c>
      <c r="Q45">
        <v>43.756295799999997</v>
      </c>
      <c r="R45">
        <v>801.96321799999998</v>
      </c>
      <c r="S45">
        <v>8.1348124700000002E-14</v>
      </c>
      <c r="T45">
        <v>21.329109553625056</v>
      </c>
      <c r="U45">
        <v>100.934</v>
      </c>
      <c r="V45">
        <v>-621.7431469701404</v>
      </c>
      <c r="W45">
        <v>69.223573900000005</v>
      </c>
      <c r="X45">
        <v>94.865384399999996</v>
      </c>
      <c r="Y45">
        <v>121.52199999999999</v>
      </c>
      <c r="Z45">
        <v>255.47140099999999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2.6414302517502</v>
      </c>
    </row>
    <row r="46" spans="1:40" x14ac:dyDescent="0.3">
      <c r="A46">
        <v>27</v>
      </c>
      <c r="B46">
        <v>18</v>
      </c>
      <c r="C46">
        <v>12.553358229209717</v>
      </c>
      <c r="D46">
        <v>11</v>
      </c>
      <c r="E46">
        <v>5</v>
      </c>
      <c r="F46">
        <v>0.36084225684910598</v>
      </c>
      <c r="G46">
        <v>28</v>
      </c>
      <c r="H46">
        <v>13</v>
      </c>
      <c r="I46">
        <v>0.97446754956324333</v>
      </c>
      <c r="J46">
        <v>328957288.58074236</v>
      </c>
      <c r="K46">
        <v>165515000</v>
      </c>
      <c r="L46">
        <v>79925921.679621205</v>
      </c>
      <c r="M46">
        <v>77327400</v>
      </c>
      <c r="N46">
        <v>15759888.08</v>
      </c>
      <c r="O46">
        <v>231.32249200000001</v>
      </c>
      <c r="P46">
        <v>2.6482701223884995</v>
      </c>
      <c r="Q46">
        <v>43.833850599999998</v>
      </c>
      <c r="R46">
        <v>800.93859999999995</v>
      </c>
      <c r="S46">
        <v>3.6011572299999999E-8</v>
      </c>
      <c r="T46">
        <v>21.71501844808855</v>
      </c>
      <c r="U46">
        <v>100.934</v>
      </c>
      <c r="V46">
        <v>-614.46588199418443</v>
      </c>
      <c r="W46">
        <v>69.221150300000005</v>
      </c>
      <c r="X46">
        <v>94.856585100000004</v>
      </c>
      <c r="Y46">
        <v>144.29</v>
      </c>
      <c r="Z46">
        <v>254.13637399999999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2.6482701223884995</v>
      </c>
    </row>
    <row r="47" spans="1:40" x14ac:dyDescent="0.3">
      <c r="A47">
        <v>30</v>
      </c>
      <c r="B47">
        <v>11</v>
      </c>
      <c r="C47">
        <v>6.8509346814976171</v>
      </c>
      <c r="D47">
        <v>19</v>
      </c>
      <c r="E47">
        <v>5</v>
      </c>
      <c r="F47">
        <v>0.36244400577473168</v>
      </c>
      <c r="G47">
        <v>10</v>
      </c>
      <c r="H47">
        <v>8</v>
      </c>
      <c r="I47">
        <v>0.72981301876959703</v>
      </c>
      <c r="J47">
        <v>327742294.34951127</v>
      </c>
      <c r="K47">
        <v>165471000</v>
      </c>
      <c r="L47">
        <v>79942139.3105997</v>
      </c>
      <c r="M47">
        <v>77485400</v>
      </c>
      <c r="N47">
        <v>15763606.4</v>
      </c>
      <c r="O47">
        <v>231.370903</v>
      </c>
      <c r="P47">
        <v>2.6402971783324833</v>
      </c>
      <c r="Q47">
        <v>43.854934399999998</v>
      </c>
      <c r="R47">
        <v>800.495045</v>
      </c>
      <c r="S47">
        <v>3.3846661299999998E-8</v>
      </c>
      <c r="T47">
        <v>21.7766574182141</v>
      </c>
      <c r="U47">
        <v>100.934</v>
      </c>
      <c r="V47">
        <v>-603.94821642745308</v>
      </c>
      <c r="W47">
        <v>69.223333499999995</v>
      </c>
      <c r="X47">
        <v>94.867186599999997</v>
      </c>
      <c r="Y47">
        <v>170.55</v>
      </c>
      <c r="Z47">
        <v>260.783998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2.6402971783324833</v>
      </c>
    </row>
    <row r="48" spans="1:40" x14ac:dyDescent="0.3">
      <c r="A48">
        <v>39</v>
      </c>
      <c r="B48">
        <v>14</v>
      </c>
      <c r="C48">
        <v>8.6513447688316809</v>
      </c>
      <c r="D48">
        <v>12</v>
      </c>
      <c r="E48">
        <v>8</v>
      </c>
      <c r="F48">
        <v>0.30487735200849253</v>
      </c>
      <c r="G48">
        <v>11</v>
      </c>
      <c r="H48">
        <v>9</v>
      </c>
      <c r="I48">
        <v>0.59192806106680806</v>
      </c>
      <c r="J48">
        <v>328299590.85429782</v>
      </c>
      <c r="K48">
        <v>165493000</v>
      </c>
      <c r="L48">
        <v>79947745.471580982</v>
      </c>
      <c r="M48">
        <v>77359600</v>
      </c>
      <c r="N48">
        <v>15764957.200000001</v>
      </c>
      <c r="O48">
        <v>231.821842</v>
      </c>
      <c r="P48">
        <v>2.6396076408881628</v>
      </c>
      <c r="Q48">
        <v>43.780707800000002</v>
      </c>
      <c r="R48">
        <v>800.89626300000009</v>
      </c>
      <c r="S48">
        <v>2.6573744699999998E-10</v>
      </c>
      <c r="T48">
        <v>21.513885479139272</v>
      </c>
      <c r="U48">
        <v>100.934</v>
      </c>
      <c r="V48">
        <v>-614.41800833304558</v>
      </c>
      <c r="W48">
        <v>69.219268600000007</v>
      </c>
      <c r="X48">
        <v>94.840876600000001</v>
      </c>
      <c r="Y48">
        <v>121.52199999999999</v>
      </c>
      <c r="Z48">
        <v>262.37703800000003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2.6396076408881628</v>
      </c>
    </row>
    <row r="49" spans="1:40" x14ac:dyDescent="0.3">
      <c r="A49">
        <v>27</v>
      </c>
      <c r="B49">
        <v>10</v>
      </c>
      <c r="C49">
        <v>1.9226555051499064</v>
      </c>
      <c r="D49">
        <v>27</v>
      </c>
      <c r="E49">
        <v>7</v>
      </c>
      <c r="F49">
        <v>0.3013402704279674</v>
      </c>
      <c r="G49">
        <v>24</v>
      </c>
      <c r="H49">
        <v>12</v>
      </c>
      <c r="I49">
        <v>1.2463014211069665</v>
      </c>
      <c r="J49">
        <v>327045334.21129787</v>
      </c>
      <c r="K49">
        <v>165425000</v>
      </c>
      <c r="L49">
        <v>79924520.213180691</v>
      </c>
      <c r="M49">
        <v>77436600</v>
      </c>
      <c r="N49">
        <v>15759547.68</v>
      </c>
      <c r="O49">
        <v>231.219683</v>
      </c>
      <c r="P49">
        <v>2.640031158299172</v>
      </c>
      <c r="Q49">
        <v>43.7999133</v>
      </c>
      <c r="R49">
        <v>800.36481600000002</v>
      </c>
      <c r="S49">
        <v>1.37709297E-9</v>
      </c>
      <c r="T49">
        <v>21.730644591264038</v>
      </c>
      <c r="U49">
        <v>100.934</v>
      </c>
      <c r="V49">
        <v>-563.0249596303114</v>
      </c>
      <c r="W49">
        <v>69.319280399999997</v>
      </c>
      <c r="X49">
        <v>95.219176099999999</v>
      </c>
      <c r="Y49">
        <v>177.97</v>
      </c>
      <c r="Z49">
        <v>254.40477300000001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2.640031158299172</v>
      </c>
    </row>
    <row r="50" spans="1:40" x14ac:dyDescent="0.3">
      <c r="A50">
        <v>27</v>
      </c>
      <c r="B50">
        <v>11</v>
      </c>
      <c r="C50">
        <v>1.089529763057866</v>
      </c>
      <c r="D50">
        <v>27</v>
      </c>
      <c r="E50">
        <v>6</v>
      </c>
      <c r="F50">
        <v>0.33041912711694232</v>
      </c>
      <c r="G50">
        <v>13</v>
      </c>
      <c r="H50">
        <v>9</v>
      </c>
      <c r="I50">
        <v>0.5090351690053716</v>
      </c>
      <c r="J50">
        <v>326537484.8897754</v>
      </c>
      <c r="K50">
        <v>165417000</v>
      </c>
      <c r="L50">
        <v>79934531.04630965</v>
      </c>
      <c r="M50">
        <v>77955300</v>
      </c>
      <c r="N50">
        <v>15761898.4</v>
      </c>
      <c r="O50">
        <v>229.36391699999999</v>
      </c>
      <c r="P50">
        <v>2.6497514786612402</v>
      </c>
      <c r="Q50">
        <v>43.782539</v>
      </c>
      <c r="R50">
        <v>801.68531700000005</v>
      </c>
      <c r="S50">
        <v>5.4715753499999996E-9</v>
      </c>
      <c r="T50">
        <v>21.755605755082914</v>
      </c>
      <c r="U50">
        <v>91.850000000000009</v>
      </c>
      <c r="V50">
        <v>-486.21588096289855</v>
      </c>
      <c r="W50">
        <v>69.553604000000007</v>
      </c>
      <c r="X50">
        <v>96.528622600000006</v>
      </c>
      <c r="Y50">
        <v>177.97</v>
      </c>
      <c r="Z50">
        <v>256.34231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2.6497514786612402</v>
      </c>
    </row>
    <row r="51" spans="1:40" x14ac:dyDescent="0.3">
      <c r="A51">
        <v>33</v>
      </c>
      <c r="B51">
        <v>13</v>
      </c>
      <c r="C51">
        <v>9.4362924864254616</v>
      </c>
      <c r="D51">
        <v>29</v>
      </c>
      <c r="E51">
        <v>5</v>
      </c>
      <c r="F51">
        <v>0.3155880972590856</v>
      </c>
      <c r="G51">
        <v>27</v>
      </c>
      <c r="H51">
        <v>9</v>
      </c>
      <c r="I51">
        <v>0.96062897028991068</v>
      </c>
      <c r="J51">
        <v>329027943.28684968</v>
      </c>
      <c r="K51">
        <v>165546000</v>
      </c>
      <c r="L51">
        <v>79925421.150609672</v>
      </c>
      <c r="M51">
        <v>77247100</v>
      </c>
      <c r="N51">
        <v>15759765.279999999</v>
      </c>
      <c r="O51">
        <v>231.89428100000001</v>
      </c>
      <c r="P51">
        <v>2.6440657439864372</v>
      </c>
      <c r="Q51">
        <v>43.822926000000002</v>
      </c>
      <c r="R51">
        <v>800.02836300000001</v>
      </c>
      <c r="S51">
        <v>5.1267741299999998E-8</v>
      </c>
      <c r="T51">
        <v>21.757682261005705</v>
      </c>
      <c r="U51">
        <v>100.934</v>
      </c>
      <c r="V51">
        <v>-595.4530088423777</v>
      </c>
      <c r="W51">
        <v>69.219839199999996</v>
      </c>
      <c r="X51">
        <v>94.847153800000001</v>
      </c>
      <c r="Y51">
        <v>177.97</v>
      </c>
      <c r="Z51">
        <v>254.333865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2.6440657439864372</v>
      </c>
    </row>
    <row r="52" spans="1:40" x14ac:dyDescent="0.3">
      <c r="A52">
        <v>39</v>
      </c>
      <c r="B52">
        <v>10</v>
      </c>
      <c r="C52">
        <v>4.2317753655499892</v>
      </c>
      <c r="D52">
        <v>26</v>
      </c>
      <c r="E52">
        <v>5</v>
      </c>
      <c r="F52">
        <v>0.30193670558542235</v>
      </c>
      <c r="G52">
        <v>25</v>
      </c>
      <c r="H52">
        <v>8</v>
      </c>
      <c r="I52">
        <v>1.3367178038515541</v>
      </c>
      <c r="J52">
        <v>328076934.26830405</v>
      </c>
      <c r="K52">
        <v>165482000</v>
      </c>
      <c r="L52">
        <v>79925421.150609672</v>
      </c>
      <c r="M52">
        <v>77241700</v>
      </c>
      <c r="N52">
        <v>15759765.279999999</v>
      </c>
      <c r="O52">
        <v>231.92255499999999</v>
      </c>
      <c r="P52">
        <v>2.6398443519832435</v>
      </c>
      <c r="Q52">
        <v>43.808031100000001</v>
      </c>
      <c r="R52">
        <v>800.05575399999998</v>
      </c>
      <c r="S52">
        <v>5.87331087E-8</v>
      </c>
      <c r="T52">
        <v>21.744793257784963</v>
      </c>
      <c r="U52">
        <v>100.934</v>
      </c>
      <c r="V52">
        <v>-591.65800727115959</v>
      </c>
      <c r="W52">
        <v>69.230649200000002</v>
      </c>
      <c r="X52">
        <v>94.891496700000005</v>
      </c>
      <c r="Y52">
        <v>177.97</v>
      </c>
      <c r="Z52">
        <v>254.36254700000001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2.6398443519832435</v>
      </c>
    </row>
    <row r="53" spans="1:40" x14ac:dyDescent="0.3">
      <c r="A53">
        <v>38</v>
      </c>
      <c r="B53">
        <v>10</v>
      </c>
      <c r="C53">
        <v>6.4800765258151873</v>
      </c>
      <c r="D53">
        <v>27</v>
      </c>
      <c r="E53">
        <v>12</v>
      </c>
      <c r="F53">
        <v>0.3400285203192509</v>
      </c>
      <c r="G53">
        <v>28</v>
      </c>
      <c r="H53">
        <v>11</v>
      </c>
      <c r="I53">
        <v>0.40884242319530051</v>
      </c>
      <c r="J53">
        <v>328421677.84156621</v>
      </c>
      <c r="K53">
        <v>165507000</v>
      </c>
      <c r="L53">
        <v>79930626.819558874</v>
      </c>
      <c r="M53">
        <v>77364500</v>
      </c>
      <c r="N53">
        <v>15761088.32</v>
      </c>
      <c r="O53">
        <v>231.37335400000001</v>
      </c>
      <c r="P53">
        <v>2.6452560105270031</v>
      </c>
      <c r="Q53">
        <v>43.862161700000001</v>
      </c>
      <c r="R53">
        <v>800.16484099999991</v>
      </c>
      <c r="S53">
        <v>4.8581527099999999E-14</v>
      </c>
      <c r="T53">
        <v>21.698575580850392</v>
      </c>
      <c r="U53">
        <v>100.934</v>
      </c>
      <c r="V53">
        <v>-604.02534735470954</v>
      </c>
      <c r="W53">
        <v>69.224155199999998</v>
      </c>
      <c r="X53">
        <v>94.866834800000007</v>
      </c>
      <c r="Y53">
        <v>170.55</v>
      </c>
      <c r="Z53">
        <v>253.752453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2.6452560105270031</v>
      </c>
    </row>
    <row r="54" spans="1:40" x14ac:dyDescent="0.3">
      <c r="A54">
        <v>39</v>
      </c>
      <c r="B54">
        <v>13</v>
      </c>
      <c r="C54">
        <v>6.399432849572861</v>
      </c>
      <c r="D54">
        <v>21</v>
      </c>
      <c r="E54">
        <v>6</v>
      </c>
      <c r="F54">
        <v>0.31047680665980071</v>
      </c>
      <c r="G54">
        <v>15</v>
      </c>
      <c r="H54">
        <v>13</v>
      </c>
      <c r="I54">
        <v>1.3975346802652178</v>
      </c>
      <c r="J54">
        <v>328068136.80518335</v>
      </c>
      <c r="K54">
        <v>165466000</v>
      </c>
      <c r="L54">
        <v>79925621.386045486</v>
      </c>
      <c r="M54">
        <v>77343100</v>
      </c>
      <c r="N54">
        <v>15759651.279999999</v>
      </c>
      <c r="O54">
        <v>231.79258999999999</v>
      </c>
      <c r="P54">
        <v>2.6390629274409196</v>
      </c>
      <c r="Q54">
        <v>43.823034499999999</v>
      </c>
      <c r="R54">
        <v>800.11667199999999</v>
      </c>
      <c r="S54">
        <v>8.24511657E-9</v>
      </c>
      <c r="T54">
        <v>21.704064603803211</v>
      </c>
      <c r="U54">
        <v>100.934</v>
      </c>
      <c r="V54">
        <v>-600.53686977479447</v>
      </c>
      <c r="W54">
        <v>69.220358000000004</v>
      </c>
      <c r="X54">
        <v>94.849830299999994</v>
      </c>
      <c r="Y54">
        <v>170.55</v>
      </c>
      <c r="Z54">
        <v>257.58168999999998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2.6390629274409196</v>
      </c>
    </row>
    <row r="55" spans="1:40" x14ac:dyDescent="0.3">
      <c r="A55">
        <v>28</v>
      </c>
      <c r="B55">
        <v>18</v>
      </c>
      <c r="C55">
        <v>6.5039945042844964</v>
      </c>
      <c r="D55">
        <v>29</v>
      </c>
      <c r="E55">
        <v>6</v>
      </c>
      <c r="F55">
        <v>0.31952410690760835</v>
      </c>
      <c r="G55">
        <v>13</v>
      </c>
      <c r="H55">
        <v>11</v>
      </c>
      <c r="I55">
        <v>1.228281815494269</v>
      </c>
      <c r="J55">
        <v>327960031.44874239</v>
      </c>
      <c r="K55">
        <v>165470000</v>
      </c>
      <c r="L55">
        <v>79927523.454634652</v>
      </c>
      <c r="M55">
        <v>77369800</v>
      </c>
      <c r="N55">
        <v>15760100.479999999</v>
      </c>
      <c r="O55">
        <v>231.758871</v>
      </c>
      <c r="P55">
        <v>2.6386978633396336</v>
      </c>
      <c r="Q55">
        <v>43.834628199999997</v>
      </c>
      <c r="R55">
        <v>800.02373599999999</v>
      </c>
      <c r="S55">
        <v>7.2714354000000001E-9</v>
      </c>
      <c r="T55">
        <v>21.736470664740619</v>
      </c>
      <c r="U55">
        <v>100.934</v>
      </c>
      <c r="V55">
        <v>-596.92923975226893</v>
      </c>
      <c r="W55">
        <v>69.222198500000005</v>
      </c>
      <c r="X55">
        <v>94.862820400000004</v>
      </c>
      <c r="Y55">
        <v>177.97</v>
      </c>
      <c r="Z55">
        <v>258.09426300000001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2.6386978633396336</v>
      </c>
    </row>
    <row r="56" spans="1:40" x14ac:dyDescent="0.3">
      <c r="A56">
        <v>28</v>
      </c>
      <c r="B56">
        <v>17</v>
      </c>
      <c r="C56">
        <v>7.0958647238620483</v>
      </c>
      <c r="D56">
        <v>21</v>
      </c>
      <c r="E56">
        <v>9</v>
      </c>
      <c r="F56">
        <v>0.33183809162715089</v>
      </c>
      <c r="G56">
        <v>10</v>
      </c>
      <c r="H56">
        <v>8</v>
      </c>
      <c r="I56">
        <v>0.42726939406470854</v>
      </c>
      <c r="J56">
        <v>327737884.43455368</v>
      </c>
      <c r="K56">
        <v>165494000</v>
      </c>
      <c r="L56">
        <v>79963963.162342921</v>
      </c>
      <c r="M56">
        <v>77543700</v>
      </c>
      <c r="N56">
        <v>15768901.92</v>
      </c>
      <c r="O56">
        <v>231.451582</v>
      </c>
      <c r="P56">
        <v>2.6386906373466616</v>
      </c>
      <c r="Q56">
        <v>43.849551200000001</v>
      </c>
      <c r="R56">
        <v>800.25644</v>
      </c>
      <c r="S56">
        <v>1.95048906E-11</v>
      </c>
      <c r="T56">
        <v>21.686164080632828</v>
      </c>
      <c r="U56">
        <v>100.934</v>
      </c>
      <c r="V56">
        <v>-606.5917284474184</v>
      </c>
      <c r="W56">
        <v>69.221648900000005</v>
      </c>
      <c r="X56">
        <v>94.860211399999997</v>
      </c>
      <c r="Y56">
        <v>170.55</v>
      </c>
      <c r="Z56">
        <v>265.41646300000002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2.6386906373466616</v>
      </c>
    </row>
    <row r="57" spans="1:40" x14ac:dyDescent="0.3">
      <c r="A57">
        <v>33</v>
      </c>
      <c r="B57">
        <v>10</v>
      </c>
      <c r="C57">
        <v>3.8371631475575434</v>
      </c>
      <c r="D57">
        <v>29</v>
      </c>
      <c r="E57">
        <v>10</v>
      </c>
      <c r="F57">
        <v>0.32336555537060468</v>
      </c>
      <c r="G57">
        <v>29</v>
      </c>
      <c r="H57">
        <v>14</v>
      </c>
      <c r="I57">
        <v>0.62010893164157244</v>
      </c>
      <c r="J57">
        <v>327848534.50283223</v>
      </c>
      <c r="K57">
        <v>165485000</v>
      </c>
      <c r="L57">
        <v>79927523.522841185</v>
      </c>
      <c r="M57">
        <v>77341700</v>
      </c>
      <c r="N57">
        <v>15760318.880000001</v>
      </c>
      <c r="O57">
        <v>231.53760399999999</v>
      </c>
      <c r="P57">
        <v>2.6417143261304461</v>
      </c>
      <c r="Q57">
        <v>43.843958999999998</v>
      </c>
      <c r="R57">
        <v>800.02409799999998</v>
      </c>
      <c r="S57">
        <v>3.35812823E-12</v>
      </c>
      <c r="T57">
        <v>21.695815775258527</v>
      </c>
      <c r="U57">
        <v>100.934</v>
      </c>
      <c r="V57">
        <v>-595.72104250913424</v>
      </c>
      <c r="W57">
        <v>69.234516799999994</v>
      </c>
      <c r="X57">
        <v>94.909255299999998</v>
      </c>
      <c r="Y57">
        <v>177.97</v>
      </c>
      <c r="Z57">
        <v>253.99476300000001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2.6417143261304461</v>
      </c>
    </row>
    <row r="58" spans="1:40" x14ac:dyDescent="0.3">
      <c r="A58">
        <v>37</v>
      </c>
      <c r="B58">
        <v>19</v>
      </c>
      <c r="C58">
        <v>8.2231308741061149</v>
      </c>
      <c r="D58">
        <v>18</v>
      </c>
      <c r="E58">
        <v>6</v>
      </c>
      <c r="F58">
        <v>0.33673328511614731</v>
      </c>
      <c r="G58">
        <v>11</v>
      </c>
      <c r="H58">
        <v>9</v>
      </c>
      <c r="I58">
        <v>1.3451230458835226</v>
      </c>
      <c r="J58">
        <v>328377165.04210871</v>
      </c>
      <c r="K58">
        <v>165476000</v>
      </c>
      <c r="L58">
        <v>79929625.673606902</v>
      </c>
      <c r="M58">
        <v>77401000</v>
      </c>
      <c r="N58">
        <v>15760629.279999999</v>
      </c>
      <c r="O58">
        <v>231.48931999999999</v>
      </c>
      <c r="P58">
        <v>2.642513138885116</v>
      </c>
      <c r="Q58">
        <v>43.8449071</v>
      </c>
      <c r="R58">
        <v>800.39084000000003</v>
      </c>
      <c r="S58">
        <v>5.9878067099999998E-9</v>
      </c>
      <c r="T58">
        <v>21.723132027222412</v>
      </c>
      <c r="U58">
        <v>100.934</v>
      </c>
      <c r="V58">
        <v>-606.67754831761545</v>
      </c>
      <c r="W58">
        <v>69.218819499999995</v>
      </c>
      <c r="X58">
        <v>94.8328913</v>
      </c>
      <c r="Y58">
        <v>170.55</v>
      </c>
      <c r="Z58">
        <v>257.50712499999997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2.642513138885116</v>
      </c>
    </row>
    <row r="59" spans="1:40" x14ac:dyDescent="0.3">
      <c r="A59">
        <v>37</v>
      </c>
      <c r="B59">
        <v>19</v>
      </c>
      <c r="C59">
        <v>10.408533736299143</v>
      </c>
      <c r="D59">
        <v>29</v>
      </c>
      <c r="E59">
        <v>5</v>
      </c>
      <c r="F59">
        <v>0.3119327036379948</v>
      </c>
      <c r="G59">
        <v>12</v>
      </c>
      <c r="H59">
        <v>10</v>
      </c>
      <c r="I59">
        <v>0.53297818581769096</v>
      </c>
      <c r="J59">
        <v>328911456.07506323</v>
      </c>
      <c r="K59">
        <v>165554000</v>
      </c>
      <c r="L59">
        <v>79952450.581113338</v>
      </c>
      <c r="M59">
        <v>77412100</v>
      </c>
      <c r="N59">
        <v>15766090.800000001</v>
      </c>
      <c r="O59">
        <v>231.93371099999999</v>
      </c>
      <c r="P59">
        <v>2.6402871430930843</v>
      </c>
      <c r="Q59">
        <v>43.820088599999998</v>
      </c>
      <c r="R59">
        <v>800.00755700000002</v>
      </c>
      <c r="S59">
        <v>5.3190462099999999E-8</v>
      </c>
      <c r="T59">
        <v>21.753792918940405</v>
      </c>
      <c r="U59">
        <v>100.934</v>
      </c>
      <c r="V59">
        <v>-595.56989204209322</v>
      </c>
      <c r="W59">
        <v>69.218730199999996</v>
      </c>
      <c r="X59">
        <v>94.830406199999999</v>
      </c>
      <c r="Y59">
        <v>177.97</v>
      </c>
      <c r="Z59">
        <v>263.54893099999998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2.6402871430930843</v>
      </c>
    </row>
    <row r="60" spans="1:40" x14ac:dyDescent="0.3">
      <c r="A60">
        <v>31</v>
      </c>
      <c r="B60">
        <v>10</v>
      </c>
      <c r="C60">
        <v>2.8939627311687159</v>
      </c>
      <c r="D60">
        <v>15</v>
      </c>
      <c r="E60">
        <v>7</v>
      </c>
      <c r="F60">
        <v>0.30074390998420564</v>
      </c>
      <c r="G60">
        <v>29</v>
      </c>
      <c r="H60">
        <v>13</v>
      </c>
      <c r="I60">
        <v>0.5535844951465656</v>
      </c>
      <c r="J60">
        <v>327229973.69480664</v>
      </c>
      <c r="K60">
        <v>165445000</v>
      </c>
      <c r="L60">
        <v>79925421.102125511</v>
      </c>
      <c r="M60">
        <v>77312300</v>
      </c>
      <c r="N60">
        <v>15759758.16</v>
      </c>
      <c r="O60">
        <v>231.56853100000001</v>
      </c>
      <c r="P60">
        <v>2.6393461050220819</v>
      </c>
      <c r="Q60">
        <v>43.801858699999997</v>
      </c>
      <c r="R60">
        <v>800.43475500000011</v>
      </c>
      <c r="S60">
        <v>1.5061257899999999E-9</v>
      </c>
      <c r="T60">
        <v>21.651132101510928</v>
      </c>
      <c r="U60">
        <v>100.934</v>
      </c>
      <c r="V60">
        <v>-596.71673825519883</v>
      </c>
      <c r="W60">
        <v>69.250051200000001</v>
      </c>
      <c r="X60">
        <v>94.962708599999999</v>
      </c>
      <c r="Y60">
        <v>144.29</v>
      </c>
      <c r="Z60">
        <v>254.29911899999999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2.6393461050220819</v>
      </c>
    </row>
    <row r="61" spans="1:40" x14ac:dyDescent="0.3">
      <c r="A61">
        <v>39</v>
      </c>
      <c r="B61">
        <v>10</v>
      </c>
      <c r="C61">
        <v>4.9567710709580943</v>
      </c>
      <c r="D61">
        <v>23</v>
      </c>
      <c r="E61">
        <v>6</v>
      </c>
      <c r="F61">
        <v>0.30442229218141742</v>
      </c>
      <c r="G61">
        <v>11</v>
      </c>
      <c r="H61">
        <v>7</v>
      </c>
      <c r="I61">
        <v>1.3664612865085897</v>
      </c>
      <c r="J61">
        <v>327826223.69522887</v>
      </c>
      <c r="K61">
        <v>165469000</v>
      </c>
      <c r="L61">
        <v>79928424.445889264</v>
      </c>
      <c r="M61">
        <v>77277400</v>
      </c>
      <c r="N61">
        <v>15760486.720000001</v>
      </c>
      <c r="O61">
        <v>231.82436799999999</v>
      </c>
      <c r="P61">
        <v>2.6393009399676739</v>
      </c>
      <c r="Q61">
        <v>43.817117099999997</v>
      </c>
      <c r="R61">
        <v>800.06556699999999</v>
      </c>
      <c r="S61">
        <v>8.8788554199999995E-9</v>
      </c>
      <c r="T61">
        <v>21.706368233398994</v>
      </c>
      <c r="U61">
        <v>100.934</v>
      </c>
      <c r="V61">
        <v>-596.08385681106427</v>
      </c>
      <c r="W61">
        <v>69.227498400000002</v>
      </c>
      <c r="X61">
        <v>94.879283200000003</v>
      </c>
      <c r="Y61">
        <v>170.55</v>
      </c>
      <c r="Z61">
        <v>254.83450199999999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2.6393009399676739</v>
      </c>
    </row>
    <row r="62" spans="1:40" x14ac:dyDescent="0.3">
      <c r="A62">
        <v>30</v>
      </c>
      <c r="B62">
        <v>11</v>
      </c>
      <c r="C62">
        <v>2.5372707663525271</v>
      </c>
      <c r="D62">
        <v>26</v>
      </c>
      <c r="E62">
        <v>5</v>
      </c>
      <c r="F62">
        <v>0.30487193465990831</v>
      </c>
      <c r="G62">
        <v>27</v>
      </c>
      <c r="H62">
        <v>14</v>
      </c>
      <c r="I62">
        <v>0.79465848710294562</v>
      </c>
      <c r="J62">
        <v>327331369.32225299</v>
      </c>
      <c r="K62">
        <v>165445000</v>
      </c>
      <c r="L62">
        <v>79927323.290692434</v>
      </c>
      <c r="M62">
        <v>77287300</v>
      </c>
      <c r="N62">
        <v>15760263.360000001</v>
      </c>
      <c r="O62">
        <v>231.731075</v>
      </c>
      <c r="P62">
        <v>2.6382680518649653</v>
      </c>
      <c r="Q62">
        <v>43.805079399999997</v>
      </c>
      <c r="R62">
        <v>800.17689900000005</v>
      </c>
      <c r="S62">
        <v>5.6467419499999998E-8</v>
      </c>
      <c r="T62">
        <v>21.760830620844551</v>
      </c>
      <c r="U62">
        <v>100.934</v>
      </c>
      <c r="V62">
        <v>-583.52420740368666</v>
      </c>
      <c r="W62">
        <v>69.254707699999997</v>
      </c>
      <c r="X62">
        <v>94.976915300000002</v>
      </c>
      <c r="Y62">
        <v>177.97</v>
      </c>
      <c r="Z62">
        <v>254.22342499999999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2.6382680518649653</v>
      </c>
    </row>
    <row r="63" spans="1:40" x14ac:dyDescent="0.3">
      <c r="A63">
        <v>27</v>
      </c>
      <c r="B63">
        <v>11</v>
      </c>
      <c r="C63">
        <v>8.811822225374689</v>
      </c>
      <c r="D63">
        <v>24</v>
      </c>
      <c r="E63">
        <v>10</v>
      </c>
      <c r="F63">
        <v>0.33577137188702211</v>
      </c>
      <c r="G63">
        <v>29</v>
      </c>
      <c r="H63">
        <v>14</v>
      </c>
      <c r="I63">
        <v>0.56236125660711211</v>
      </c>
      <c r="J63">
        <v>328497780.02973759</v>
      </c>
      <c r="K63">
        <v>165489000</v>
      </c>
      <c r="L63">
        <v>79925120.803208306</v>
      </c>
      <c r="M63">
        <v>77361000</v>
      </c>
      <c r="N63">
        <v>15759688.800000001</v>
      </c>
      <c r="O63">
        <v>231.414401</v>
      </c>
      <c r="P63">
        <v>2.6447334613626707</v>
      </c>
      <c r="Q63">
        <v>43.855873699999997</v>
      </c>
      <c r="R63">
        <v>800.203665</v>
      </c>
      <c r="S63">
        <v>2.5826368500000002E-12</v>
      </c>
      <c r="T63">
        <v>21.696484868741472</v>
      </c>
      <c r="U63">
        <v>100.934</v>
      </c>
      <c r="V63">
        <v>-604.45741718936915</v>
      </c>
      <c r="W63">
        <v>69.223671199999998</v>
      </c>
      <c r="X63">
        <v>94.869315700000001</v>
      </c>
      <c r="Y63">
        <v>170.55</v>
      </c>
      <c r="Z63">
        <v>254.09258800000001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2.6447334613626707</v>
      </c>
    </row>
    <row r="64" spans="1:40" x14ac:dyDescent="0.3">
      <c r="A64">
        <v>38</v>
      </c>
      <c r="B64">
        <v>10</v>
      </c>
      <c r="C64">
        <v>6.4347912510464473</v>
      </c>
      <c r="D64">
        <v>26</v>
      </c>
      <c r="E64">
        <v>5</v>
      </c>
      <c r="F64">
        <v>0.34306440630776858</v>
      </c>
      <c r="G64">
        <v>27</v>
      </c>
      <c r="H64">
        <v>14</v>
      </c>
      <c r="I64">
        <v>0.83565667918174968</v>
      </c>
      <c r="J64">
        <v>328382339.00260174</v>
      </c>
      <c r="K64">
        <v>165501000</v>
      </c>
      <c r="L64">
        <v>79924520.189349487</v>
      </c>
      <c r="M64">
        <v>77311300</v>
      </c>
      <c r="N64">
        <v>15759543.120000001</v>
      </c>
      <c r="O64">
        <v>231.60520399999999</v>
      </c>
      <c r="P64">
        <v>2.643392273898939</v>
      </c>
      <c r="Q64">
        <v>43.843814000000002</v>
      </c>
      <c r="R64">
        <v>800.22353999999996</v>
      </c>
      <c r="S64">
        <v>3.9658362200000003E-8</v>
      </c>
      <c r="T64">
        <v>21.778259810987848</v>
      </c>
      <c r="U64">
        <v>100.934</v>
      </c>
      <c r="V64">
        <v>-597.21410132749816</v>
      </c>
      <c r="W64">
        <v>69.224220799999998</v>
      </c>
      <c r="X64">
        <v>94.867085200000005</v>
      </c>
      <c r="Y64">
        <v>177.97</v>
      </c>
      <c r="Z64">
        <v>254.31763799999999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2.643392273898939</v>
      </c>
    </row>
    <row r="65" spans="1:40" x14ac:dyDescent="0.3">
      <c r="A65">
        <v>30</v>
      </c>
      <c r="B65">
        <v>14</v>
      </c>
      <c r="C65">
        <v>1.705826943213512</v>
      </c>
      <c r="D65">
        <v>16</v>
      </c>
      <c r="E65">
        <v>14</v>
      </c>
      <c r="F65">
        <v>0.31362381451114352</v>
      </c>
      <c r="G65">
        <v>11</v>
      </c>
      <c r="H65">
        <v>9</v>
      </c>
      <c r="I65">
        <v>1.016590893509993</v>
      </c>
      <c r="J65">
        <v>326633915.31276512</v>
      </c>
      <c r="K65">
        <v>165416000</v>
      </c>
      <c r="L65">
        <v>79931728.049741805</v>
      </c>
      <c r="M65">
        <v>77275300</v>
      </c>
      <c r="N65">
        <v>15761120.639999999</v>
      </c>
      <c r="O65">
        <v>231.68885700000001</v>
      </c>
      <c r="P65">
        <v>2.6363813335172583</v>
      </c>
      <c r="Q65">
        <v>43.691603499999999</v>
      </c>
      <c r="R65">
        <v>802.10777499999995</v>
      </c>
      <c r="S65">
        <v>8.1180486700000005E-15</v>
      </c>
      <c r="T65">
        <v>21.29177832411607</v>
      </c>
      <c r="U65">
        <v>100.934</v>
      </c>
      <c r="V65">
        <v>-585.86948522405999</v>
      </c>
      <c r="W65">
        <v>69.3125359</v>
      </c>
      <c r="X65">
        <v>95.197884700000003</v>
      </c>
      <c r="Y65">
        <v>121.52199999999999</v>
      </c>
      <c r="Z65">
        <v>258.821438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2.6363813335172583</v>
      </c>
    </row>
    <row r="66" spans="1:40" x14ac:dyDescent="0.3">
      <c r="A66">
        <v>35</v>
      </c>
      <c r="B66">
        <v>15</v>
      </c>
      <c r="C66">
        <v>2.627513909412591</v>
      </c>
      <c r="D66">
        <v>25</v>
      </c>
      <c r="E66">
        <v>10</v>
      </c>
      <c r="F66">
        <v>0.31719604752505254</v>
      </c>
      <c r="G66">
        <v>14</v>
      </c>
      <c r="H66">
        <v>7</v>
      </c>
      <c r="I66">
        <v>0.69123738718903915</v>
      </c>
      <c r="J66">
        <v>327144782.95289403</v>
      </c>
      <c r="K66">
        <v>165449000</v>
      </c>
      <c r="L66">
        <v>79929025.093235031</v>
      </c>
      <c r="M66">
        <v>77324700</v>
      </c>
      <c r="N66">
        <v>15760662.48</v>
      </c>
      <c r="O66">
        <v>231.61013299999999</v>
      </c>
      <c r="P66">
        <v>2.638462228713609</v>
      </c>
      <c r="Q66">
        <v>43.836130900000001</v>
      </c>
      <c r="R66">
        <v>800.03208100000006</v>
      </c>
      <c r="S66">
        <v>3.9555512900000003E-12</v>
      </c>
      <c r="T66">
        <v>21.671291257400259</v>
      </c>
      <c r="U66">
        <v>100.934</v>
      </c>
      <c r="V66">
        <v>-599.28067425545748</v>
      </c>
      <c r="W66">
        <v>69.229344600000005</v>
      </c>
      <c r="X66">
        <v>94.893005200000005</v>
      </c>
      <c r="Y66">
        <v>170.55</v>
      </c>
      <c r="Z66">
        <v>254.17226099999999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2.638462228713609</v>
      </c>
    </row>
    <row r="67" spans="1:40" x14ac:dyDescent="0.3">
      <c r="A67">
        <v>37</v>
      </c>
      <c r="B67">
        <v>15</v>
      </c>
      <c r="C67">
        <v>8.1908632707512155</v>
      </c>
      <c r="D67">
        <v>10</v>
      </c>
      <c r="E67">
        <v>6</v>
      </c>
      <c r="F67">
        <v>0.30272406673105962</v>
      </c>
      <c r="G67">
        <v>29</v>
      </c>
      <c r="H67">
        <v>14</v>
      </c>
      <c r="I67">
        <v>0.86093900933908052</v>
      </c>
      <c r="J67">
        <v>328464316.71548402</v>
      </c>
      <c r="K67">
        <v>165486000</v>
      </c>
      <c r="L67">
        <v>79924520.15545167</v>
      </c>
      <c r="M67">
        <v>77181200</v>
      </c>
      <c r="N67">
        <v>15759535.120000001</v>
      </c>
      <c r="O67">
        <v>231.864169</v>
      </c>
      <c r="P67">
        <v>2.6428712598636004</v>
      </c>
      <c r="Q67">
        <v>43.773799699999998</v>
      </c>
      <c r="R67">
        <v>801.01529600000003</v>
      </c>
      <c r="S67">
        <v>1.04945478E-8</v>
      </c>
      <c r="T67">
        <v>21.550897722214135</v>
      </c>
      <c r="U67">
        <v>100.934</v>
      </c>
      <c r="V67">
        <v>-613.64619668510068</v>
      </c>
      <c r="W67">
        <v>69.219182599999996</v>
      </c>
      <c r="X67">
        <v>94.8401839</v>
      </c>
      <c r="Y67">
        <v>121.52199999999999</v>
      </c>
      <c r="Z67">
        <v>254.377501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2.6428712598636004</v>
      </c>
    </row>
    <row r="68" spans="1:40" x14ac:dyDescent="0.3">
      <c r="A68">
        <v>30</v>
      </c>
      <c r="B68">
        <v>13</v>
      </c>
      <c r="C68">
        <v>14.58262148616399</v>
      </c>
      <c r="D68">
        <v>12</v>
      </c>
      <c r="E68">
        <v>5</v>
      </c>
      <c r="F68">
        <v>0.32625577123471122</v>
      </c>
      <c r="G68">
        <v>10</v>
      </c>
      <c r="H68">
        <v>8</v>
      </c>
      <c r="I68">
        <v>0.52861407043495257</v>
      </c>
      <c r="J68">
        <v>329179633.14288276</v>
      </c>
      <c r="K68">
        <v>165548000</v>
      </c>
      <c r="L68">
        <v>79954152.416115671</v>
      </c>
      <c r="M68">
        <v>77443300</v>
      </c>
      <c r="N68">
        <v>15766512.4</v>
      </c>
      <c r="O68">
        <v>231.620619</v>
      </c>
      <c r="P68">
        <v>2.6439331599801981</v>
      </c>
      <c r="Q68">
        <v>43.814394700000001</v>
      </c>
      <c r="R68">
        <v>800.64166799999998</v>
      </c>
      <c r="S68">
        <v>4.80955042E-8</v>
      </c>
      <c r="T68">
        <v>21.698756261904123</v>
      </c>
      <c r="U68">
        <v>100.934</v>
      </c>
      <c r="V68">
        <v>-609.81629858126905</v>
      </c>
      <c r="W68">
        <v>69.2197307</v>
      </c>
      <c r="X68">
        <v>94.846642299999999</v>
      </c>
      <c r="Y68">
        <v>144.29</v>
      </c>
      <c r="Z68">
        <v>263.41120599999999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2.6439331599801981</v>
      </c>
    </row>
    <row r="69" spans="1:40" x14ac:dyDescent="0.3">
      <c r="A69">
        <v>36</v>
      </c>
      <c r="B69">
        <v>10</v>
      </c>
      <c r="C69">
        <v>2.2442722003662703</v>
      </c>
      <c r="D69">
        <v>16</v>
      </c>
      <c r="E69">
        <v>9</v>
      </c>
      <c r="F69">
        <v>0.31498076836794897</v>
      </c>
      <c r="G69">
        <v>29</v>
      </c>
      <c r="H69">
        <v>7</v>
      </c>
      <c r="I69">
        <v>0.376487643088524</v>
      </c>
      <c r="J69">
        <v>327228110.78617263</v>
      </c>
      <c r="K69">
        <v>165456000</v>
      </c>
      <c r="L69">
        <v>79936433.229535103</v>
      </c>
      <c r="M69">
        <v>77369800</v>
      </c>
      <c r="N69">
        <v>15762579.6</v>
      </c>
      <c r="O69">
        <v>231.231784</v>
      </c>
      <c r="P69">
        <v>2.642296652684232</v>
      </c>
      <c r="Q69">
        <v>43.809879500000001</v>
      </c>
      <c r="R69">
        <v>800.63858600000003</v>
      </c>
      <c r="S69">
        <v>2.8324409800000002E-11</v>
      </c>
      <c r="T69">
        <v>21.645988691936022</v>
      </c>
      <c r="U69">
        <v>100.934</v>
      </c>
      <c r="V69">
        <v>-592.04939287496518</v>
      </c>
      <c r="W69">
        <v>69.273298199999999</v>
      </c>
      <c r="X69">
        <v>95.036909100000003</v>
      </c>
      <c r="Y69">
        <v>144.29</v>
      </c>
      <c r="Z69">
        <v>253.550444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2.642296652684232</v>
      </c>
    </row>
    <row r="70" spans="1:40" x14ac:dyDescent="0.3">
      <c r="A70">
        <v>27</v>
      </c>
      <c r="B70">
        <v>13</v>
      </c>
      <c r="C70">
        <v>11.97629313615354</v>
      </c>
      <c r="D70">
        <v>11</v>
      </c>
      <c r="E70">
        <v>5</v>
      </c>
      <c r="F70">
        <v>0.30079562182504765</v>
      </c>
      <c r="G70">
        <v>29</v>
      </c>
      <c r="H70">
        <v>14</v>
      </c>
      <c r="I70">
        <v>1.1369042560936042</v>
      </c>
      <c r="J70">
        <v>328818248.77385527</v>
      </c>
      <c r="K70">
        <v>165512000</v>
      </c>
      <c r="L70">
        <v>79924420.067933649</v>
      </c>
      <c r="M70">
        <v>77216200</v>
      </c>
      <c r="N70">
        <v>15759514</v>
      </c>
      <c r="O70">
        <v>231.84531000000001</v>
      </c>
      <c r="P70">
        <v>2.6439512102619509</v>
      </c>
      <c r="Q70">
        <v>43.787685799999998</v>
      </c>
      <c r="R70">
        <v>800.63447200000007</v>
      </c>
      <c r="S70">
        <v>6.2491813700000003E-8</v>
      </c>
      <c r="T70">
        <v>21.660072032782342</v>
      </c>
      <c r="U70">
        <v>100.934</v>
      </c>
      <c r="V70">
        <v>-608.1305180589253</v>
      </c>
      <c r="W70">
        <v>69.221420100000003</v>
      </c>
      <c r="X70">
        <v>94.858696699999996</v>
      </c>
      <c r="Y70">
        <v>144.29</v>
      </c>
      <c r="Z70">
        <v>254.37014199999999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2.6439512102619509</v>
      </c>
    </row>
    <row r="71" spans="1:40" x14ac:dyDescent="0.3">
      <c r="A71">
        <v>27</v>
      </c>
      <c r="B71">
        <v>18</v>
      </c>
      <c r="C71">
        <v>14.747936684193466</v>
      </c>
      <c r="D71">
        <v>26</v>
      </c>
      <c r="E71">
        <v>9</v>
      </c>
      <c r="F71">
        <v>0.32283322712654289</v>
      </c>
      <c r="G71">
        <v>28</v>
      </c>
      <c r="H71">
        <v>13</v>
      </c>
      <c r="I71">
        <v>0.3426158305614479</v>
      </c>
      <c r="J71">
        <v>329719659.58224094</v>
      </c>
      <c r="K71">
        <v>165565000</v>
      </c>
      <c r="L71">
        <v>79936433.136675611</v>
      </c>
      <c r="M71">
        <v>77297400</v>
      </c>
      <c r="N71">
        <v>15762553.040000001</v>
      </c>
      <c r="O71">
        <v>231.625608</v>
      </c>
      <c r="P71">
        <v>2.6485634995452689</v>
      </c>
      <c r="Q71">
        <v>43.844385500000001</v>
      </c>
      <c r="R71">
        <v>800.02600099999995</v>
      </c>
      <c r="S71">
        <v>2.35013828E-11</v>
      </c>
      <c r="T71">
        <v>21.688311613895621</v>
      </c>
      <c r="U71">
        <v>100.934</v>
      </c>
      <c r="V71">
        <v>-601.72231461191666</v>
      </c>
      <c r="W71">
        <v>69.220857699999996</v>
      </c>
      <c r="X71">
        <v>94.854818199999997</v>
      </c>
      <c r="Y71">
        <v>177.97</v>
      </c>
      <c r="Z71">
        <v>253.453159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2.6485634995452689</v>
      </c>
    </row>
    <row r="72" spans="1:40" x14ac:dyDescent="0.3">
      <c r="A72">
        <v>38</v>
      </c>
      <c r="B72">
        <v>19</v>
      </c>
      <c r="C72">
        <v>1.5947434338102946</v>
      </c>
      <c r="D72">
        <v>26</v>
      </c>
      <c r="E72">
        <v>7</v>
      </c>
      <c r="F72">
        <v>0.31606251036810978</v>
      </c>
      <c r="G72">
        <v>26</v>
      </c>
      <c r="H72">
        <v>9</v>
      </c>
      <c r="I72">
        <v>1.1444197438935897</v>
      </c>
      <c r="J72">
        <v>327446777.85449231</v>
      </c>
      <c r="K72">
        <v>165463000</v>
      </c>
      <c r="L72">
        <v>79925220.909216061</v>
      </c>
      <c r="M72">
        <v>77436100</v>
      </c>
      <c r="N72">
        <v>15759708.720000001</v>
      </c>
      <c r="O72">
        <v>231.20312200000001</v>
      </c>
      <c r="P72">
        <v>2.6421340526678083</v>
      </c>
      <c r="Q72">
        <v>43.816095099999998</v>
      </c>
      <c r="R72">
        <v>800.32243400000004</v>
      </c>
      <c r="S72">
        <v>1.09924746E-9</v>
      </c>
      <c r="T72">
        <v>21.755974158265872</v>
      </c>
      <c r="U72">
        <v>100.934</v>
      </c>
      <c r="V72">
        <v>-571.25485971771479</v>
      </c>
      <c r="W72">
        <v>69.297461600000005</v>
      </c>
      <c r="X72">
        <v>95.147186300000001</v>
      </c>
      <c r="Y72">
        <v>177.97</v>
      </c>
      <c r="Z72">
        <v>254.31853799999999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2.6421340526678083</v>
      </c>
    </row>
    <row r="73" spans="1:40" x14ac:dyDescent="0.3">
      <c r="A73">
        <v>34</v>
      </c>
      <c r="B73">
        <v>13</v>
      </c>
      <c r="C73">
        <v>2.8797022935899692</v>
      </c>
      <c r="D73">
        <v>13</v>
      </c>
      <c r="E73">
        <v>7</v>
      </c>
      <c r="F73">
        <v>0.30872982363533186</v>
      </c>
      <c r="G73">
        <v>12</v>
      </c>
      <c r="H73">
        <v>7</v>
      </c>
      <c r="I73">
        <v>1.2582247076763988</v>
      </c>
      <c r="J73">
        <v>326974526.98016697</v>
      </c>
      <c r="K73">
        <v>165431000</v>
      </c>
      <c r="L73">
        <v>79927623.608921126</v>
      </c>
      <c r="M73">
        <v>77287400</v>
      </c>
      <c r="N73">
        <v>15760312.08</v>
      </c>
      <c r="O73">
        <v>231.61366200000001</v>
      </c>
      <c r="P73">
        <v>2.6382908506583385</v>
      </c>
      <c r="Q73">
        <v>43.803240600000002</v>
      </c>
      <c r="R73">
        <v>800.59442200000001</v>
      </c>
      <c r="S73">
        <v>1.3846994600000001E-9</v>
      </c>
      <c r="T73">
        <v>21.623946368916258</v>
      </c>
      <c r="U73">
        <v>100.934</v>
      </c>
      <c r="V73">
        <v>-606.82133216260127</v>
      </c>
      <c r="W73">
        <v>69.231758200000002</v>
      </c>
      <c r="X73">
        <v>94.901213900000002</v>
      </c>
      <c r="Y73">
        <v>144.29</v>
      </c>
      <c r="Z73">
        <v>254.50703200000001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2.6382908506583385</v>
      </c>
    </row>
    <row r="74" spans="1:40" x14ac:dyDescent="0.3">
      <c r="A74">
        <v>39</v>
      </c>
      <c r="B74">
        <v>11</v>
      </c>
      <c r="C74">
        <v>2.3540390666217936</v>
      </c>
      <c r="D74">
        <v>15</v>
      </c>
      <c r="E74">
        <v>12</v>
      </c>
      <c r="F74">
        <v>0.30537242708314777</v>
      </c>
      <c r="G74">
        <v>25</v>
      </c>
      <c r="H74">
        <v>10</v>
      </c>
      <c r="I74">
        <v>1.1862593670451052</v>
      </c>
      <c r="J74">
        <v>327347538.86007136</v>
      </c>
      <c r="K74">
        <v>165443000</v>
      </c>
      <c r="L74">
        <v>79924820.539421588</v>
      </c>
      <c r="M74">
        <v>77202100</v>
      </c>
      <c r="N74">
        <v>15759622.880000001</v>
      </c>
      <c r="O74">
        <v>231.75173599999999</v>
      </c>
      <c r="P74">
        <v>2.6396649805834733</v>
      </c>
      <c r="Q74">
        <v>43.748222800000001</v>
      </c>
      <c r="R74">
        <v>801.300749</v>
      </c>
      <c r="S74">
        <v>2.2788175299999999E-13</v>
      </c>
      <c r="T74">
        <v>21.411645728047208</v>
      </c>
      <c r="U74">
        <v>100.934</v>
      </c>
      <c r="V74">
        <v>-603.5820951024732</v>
      </c>
      <c r="W74">
        <v>69.255532000000002</v>
      </c>
      <c r="X74">
        <v>94.979081300000004</v>
      </c>
      <c r="Y74">
        <v>121.52199999999999</v>
      </c>
      <c r="Z74">
        <v>254.27027899999999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2.6396649805834733</v>
      </c>
    </row>
    <row r="75" spans="1:40" x14ac:dyDescent="0.3">
      <c r="A75">
        <v>36</v>
      </c>
      <c r="B75">
        <v>19</v>
      </c>
      <c r="C75">
        <v>1.5071903911366571</v>
      </c>
      <c r="D75">
        <v>24</v>
      </c>
      <c r="E75">
        <v>13</v>
      </c>
      <c r="F75">
        <v>0.37090336505770782</v>
      </c>
      <c r="G75">
        <v>29</v>
      </c>
      <c r="H75">
        <v>14</v>
      </c>
      <c r="I75">
        <v>1.3801476047180226</v>
      </c>
      <c r="J75">
        <v>327384227.04026663</v>
      </c>
      <c r="K75">
        <v>165462000</v>
      </c>
      <c r="L75">
        <v>79924420.032186851</v>
      </c>
      <c r="M75">
        <v>77669900</v>
      </c>
      <c r="N75">
        <v>15759505.520000001</v>
      </c>
      <c r="O75">
        <v>230.13464400000001</v>
      </c>
      <c r="P75">
        <v>2.6497127116806256</v>
      </c>
      <c r="Q75">
        <v>43.864810599999998</v>
      </c>
      <c r="R75">
        <v>801.14145299999996</v>
      </c>
      <c r="S75">
        <v>2.71260609E-15</v>
      </c>
      <c r="T75">
        <v>21.818597551124981</v>
      </c>
      <c r="U75">
        <v>100.934</v>
      </c>
      <c r="V75">
        <v>-573.09417775696454</v>
      </c>
      <c r="W75">
        <v>69.334966899999998</v>
      </c>
      <c r="X75">
        <v>95.300400999999994</v>
      </c>
      <c r="Y75">
        <v>165.7</v>
      </c>
      <c r="Z75">
        <v>254.00856200000001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2.6497127116806256</v>
      </c>
    </row>
    <row r="76" spans="1:40" x14ac:dyDescent="0.3">
      <c r="A76">
        <v>33</v>
      </c>
      <c r="B76">
        <v>13</v>
      </c>
      <c r="C76">
        <v>10.775600065868042</v>
      </c>
      <c r="D76">
        <v>10</v>
      </c>
      <c r="E76">
        <v>5</v>
      </c>
      <c r="F76">
        <v>0.30670429114170428</v>
      </c>
      <c r="G76">
        <v>15</v>
      </c>
      <c r="H76">
        <v>13</v>
      </c>
      <c r="I76">
        <v>1.2199389154243236</v>
      </c>
      <c r="J76">
        <v>328529165.80745578</v>
      </c>
      <c r="K76">
        <v>165496000</v>
      </c>
      <c r="L76">
        <v>79926021.805762202</v>
      </c>
      <c r="M76">
        <v>77291800</v>
      </c>
      <c r="N76">
        <v>15759722.32</v>
      </c>
      <c r="O76">
        <v>231.820775</v>
      </c>
      <c r="P76">
        <v>2.6416402452105285</v>
      </c>
      <c r="Q76">
        <v>43.7841643</v>
      </c>
      <c r="R76">
        <v>800.83825400000001</v>
      </c>
      <c r="S76">
        <v>6.0266961100000005E-8</v>
      </c>
      <c r="T76">
        <v>21.635277060093237</v>
      </c>
      <c r="U76">
        <v>100.934</v>
      </c>
      <c r="V76">
        <v>-611.08975794412095</v>
      </c>
      <c r="W76">
        <v>69.219625199999996</v>
      </c>
      <c r="X76">
        <v>94.845209100000005</v>
      </c>
      <c r="Y76">
        <v>144.29</v>
      </c>
      <c r="Z76">
        <v>258.122186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2.6416402452105285</v>
      </c>
    </row>
    <row r="77" spans="1:40" x14ac:dyDescent="0.3">
      <c r="A77">
        <v>27</v>
      </c>
      <c r="B77">
        <v>16</v>
      </c>
      <c r="C77">
        <v>7.7215609116174715</v>
      </c>
      <c r="D77">
        <v>26</v>
      </c>
      <c r="E77">
        <v>5</v>
      </c>
      <c r="F77">
        <v>0.34017982357094623</v>
      </c>
      <c r="G77">
        <v>10</v>
      </c>
      <c r="H77">
        <v>8</v>
      </c>
      <c r="I77">
        <v>1.3437003773936362</v>
      </c>
      <c r="J77">
        <v>328015341.7796154</v>
      </c>
      <c r="K77">
        <v>165461000</v>
      </c>
      <c r="L77">
        <v>79931527.799103335</v>
      </c>
      <c r="M77">
        <v>77374000</v>
      </c>
      <c r="N77">
        <v>15761117.200000001</v>
      </c>
      <c r="O77">
        <v>231.64670599999999</v>
      </c>
      <c r="P77">
        <v>2.6398860863717242</v>
      </c>
      <c r="Q77">
        <v>43.841726100000002</v>
      </c>
      <c r="R77">
        <v>800.19519600000001</v>
      </c>
      <c r="S77">
        <v>4.07549064E-8</v>
      </c>
      <c r="T77">
        <v>21.77475501745802</v>
      </c>
      <c r="U77">
        <v>100.934</v>
      </c>
      <c r="V77">
        <v>-597.84816229645821</v>
      </c>
      <c r="W77">
        <v>69.222386</v>
      </c>
      <c r="X77">
        <v>94.864005800000001</v>
      </c>
      <c r="Y77">
        <v>177.97</v>
      </c>
      <c r="Z77">
        <v>257.50969700000002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2.6398860863717242</v>
      </c>
    </row>
    <row r="78" spans="1:40" x14ac:dyDescent="0.3">
      <c r="A78">
        <v>38</v>
      </c>
      <c r="B78">
        <v>13</v>
      </c>
      <c r="C78">
        <v>1.5253503113641296</v>
      </c>
      <c r="D78">
        <v>19</v>
      </c>
      <c r="E78">
        <v>5</v>
      </c>
      <c r="F78">
        <v>0.33332424320781645</v>
      </c>
      <c r="G78">
        <v>10</v>
      </c>
      <c r="H78">
        <v>7</v>
      </c>
      <c r="I78">
        <v>1.0242387552689642</v>
      </c>
      <c r="J78">
        <v>326885819.77950531</v>
      </c>
      <c r="K78">
        <v>165434000</v>
      </c>
      <c r="L78">
        <v>79931828.13849248</v>
      </c>
      <c r="M78">
        <v>77563000</v>
      </c>
      <c r="N78">
        <v>15761257.359999999</v>
      </c>
      <c r="O78">
        <v>230.77368999999999</v>
      </c>
      <c r="P78">
        <v>2.6424183656113529</v>
      </c>
      <c r="Q78">
        <v>43.804676000000001</v>
      </c>
      <c r="R78">
        <v>800.90711399999998</v>
      </c>
      <c r="S78">
        <v>4.1750237100000001E-8</v>
      </c>
      <c r="T78">
        <v>21.817551812510551</v>
      </c>
      <c r="U78">
        <v>100.934</v>
      </c>
      <c r="V78">
        <v>-558.20680400567858</v>
      </c>
      <c r="W78">
        <v>69.345721699999999</v>
      </c>
      <c r="X78">
        <v>95.329217700000001</v>
      </c>
      <c r="Y78">
        <v>170.55</v>
      </c>
      <c r="Z78">
        <v>256.03739100000001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2.6424183656113529</v>
      </c>
    </row>
    <row r="79" spans="1:40" x14ac:dyDescent="0.3">
      <c r="A79">
        <v>38</v>
      </c>
      <c r="B79">
        <v>15</v>
      </c>
      <c r="C79">
        <v>3.1988393716480066</v>
      </c>
      <c r="D79">
        <v>11</v>
      </c>
      <c r="E79">
        <v>7</v>
      </c>
      <c r="F79">
        <v>0.3106507002962286</v>
      </c>
      <c r="G79">
        <v>28</v>
      </c>
      <c r="H79">
        <v>7</v>
      </c>
      <c r="I79">
        <v>1.2214416979491485</v>
      </c>
      <c r="J79">
        <v>327539433.66000372</v>
      </c>
      <c r="K79">
        <v>165466000</v>
      </c>
      <c r="L79">
        <v>79926121.9164951</v>
      </c>
      <c r="M79">
        <v>77213700</v>
      </c>
      <c r="N79">
        <v>15759942.24</v>
      </c>
      <c r="O79">
        <v>231.73882900000001</v>
      </c>
      <c r="P79">
        <v>2.6405912923622816</v>
      </c>
      <c r="Q79">
        <v>43.783047699999997</v>
      </c>
      <c r="R79">
        <v>801.00354300000004</v>
      </c>
      <c r="S79">
        <v>1.49414288E-9</v>
      </c>
      <c r="T79">
        <v>21.54070637509837</v>
      </c>
      <c r="U79">
        <v>100.934</v>
      </c>
      <c r="V79">
        <v>-613.52947119538203</v>
      </c>
      <c r="W79">
        <v>69.2232956</v>
      </c>
      <c r="X79">
        <v>94.867590100000001</v>
      </c>
      <c r="Y79">
        <v>121.52199999999999</v>
      </c>
      <c r="Z79">
        <v>254.261911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2.6405912923622816</v>
      </c>
    </row>
    <row r="80" spans="1:40" x14ac:dyDescent="0.3">
      <c r="A80">
        <v>27</v>
      </c>
      <c r="B80">
        <v>19</v>
      </c>
      <c r="C80">
        <v>3.8495419608985224</v>
      </c>
      <c r="D80">
        <v>19</v>
      </c>
      <c r="E80">
        <v>13</v>
      </c>
      <c r="F80">
        <v>0.32330949948496529</v>
      </c>
      <c r="G80">
        <v>10</v>
      </c>
      <c r="H80">
        <v>8</v>
      </c>
      <c r="I80">
        <v>1.0612215531991007</v>
      </c>
      <c r="J80">
        <v>327050309.73319852</v>
      </c>
      <c r="K80">
        <v>165439000</v>
      </c>
      <c r="L80">
        <v>79934030.459158212</v>
      </c>
      <c r="M80">
        <v>77435100</v>
      </c>
      <c r="N80">
        <v>15761675.6</v>
      </c>
      <c r="O80">
        <v>231.486253</v>
      </c>
      <c r="P80">
        <v>2.6373011768864991</v>
      </c>
      <c r="Q80">
        <v>43.833659699999998</v>
      </c>
      <c r="R80">
        <v>800.29395599999998</v>
      </c>
      <c r="S80">
        <v>1.0548958199999999E-9</v>
      </c>
      <c r="T80">
        <v>21.700421974371519</v>
      </c>
      <c r="U80">
        <v>91.850000000000009</v>
      </c>
      <c r="V80">
        <v>-600.84904834628355</v>
      </c>
      <c r="W80">
        <v>69.237554299999999</v>
      </c>
      <c r="X80">
        <v>94.923631200000003</v>
      </c>
      <c r="Y80">
        <v>170.55</v>
      </c>
      <c r="Z80">
        <v>258.60173300000002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2.6373011768864991</v>
      </c>
    </row>
    <row r="81" spans="1:40" x14ac:dyDescent="0.3">
      <c r="A81">
        <v>30</v>
      </c>
      <c r="B81">
        <v>19</v>
      </c>
      <c r="C81">
        <v>5.8002187865131303</v>
      </c>
      <c r="D81">
        <v>28</v>
      </c>
      <c r="E81">
        <v>14</v>
      </c>
      <c r="F81">
        <v>0.30553495114462054</v>
      </c>
      <c r="G81">
        <v>24</v>
      </c>
      <c r="H81">
        <v>7</v>
      </c>
      <c r="I81">
        <v>0.99279687522536375</v>
      </c>
      <c r="J81">
        <v>328070816.63739604</v>
      </c>
      <c r="K81">
        <v>165466000</v>
      </c>
      <c r="L81">
        <v>79926622.479609907</v>
      </c>
      <c r="M81">
        <v>77281400</v>
      </c>
      <c r="N81">
        <v>15760073.84</v>
      </c>
      <c r="O81">
        <v>231.812027</v>
      </c>
      <c r="P81">
        <v>2.6400244330617677</v>
      </c>
      <c r="Q81">
        <v>43.826404599999996</v>
      </c>
      <c r="R81">
        <v>799.830197</v>
      </c>
      <c r="S81">
        <v>1.1587943600000001E-13</v>
      </c>
      <c r="T81">
        <v>21.627160919307151</v>
      </c>
      <c r="U81">
        <v>100.934</v>
      </c>
      <c r="V81">
        <v>-601.90341416851436</v>
      </c>
      <c r="W81">
        <v>69.220912100000007</v>
      </c>
      <c r="X81">
        <v>94.855664599999997</v>
      </c>
      <c r="Y81">
        <v>170.55</v>
      </c>
      <c r="Z81">
        <v>254.12972300000001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2.6400244330617677</v>
      </c>
    </row>
    <row r="82" spans="1:40" x14ac:dyDescent="0.3">
      <c r="A82">
        <v>36</v>
      </c>
      <c r="B82">
        <v>18</v>
      </c>
      <c r="C82">
        <v>2.5672472925315413</v>
      </c>
      <c r="D82">
        <v>18</v>
      </c>
      <c r="E82">
        <v>14</v>
      </c>
      <c r="F82">
        <v>0.30851457045018371</v>
      </c>
      <c r="G82">
        <v>10</v>
      </c>
      <c r="H82">
        <v>8</v>
      </c>
      <c r="I82">
        <v>0.420527191050312</v>
      </c>
      <c r="J82">
        <v>326909865.24817199</v>
      </c>
      <c r="K82">
        <v>165466000</v>
      </c>
      <c r="L82">
        <v>79963862.993470117</v>
      </c>
      <c r="M82">
        <v>77424000</v>
      </c>
      <c r="N82">
        <v>15768863.84</v>
      </c>
      <c r="O82">
        <v>231.766774</v>
      </c>
      <c r="P82">
        <v>2.6344233983629421</v>
      </c>
      <c r="Q82">
        <v>43.785276199999998</v>
      </c>
      <c r="R82">
        <v>800.75206900000001</v>
      </c>
      <c r="S82">
        <v>4.4517303500000002E-15</v>
      </c>
      <c r="T82">
        <v>21.488437816374603</v>
      </c>
      <c r="U82">
        <v>100.934</v>
      </c>
      <c r="V82">
        <v>-613.17001006734699</v>
      </c>
      <c r="W82">
        <v>69.224740699999998</v>
      </c>
      <c r="X82">
        <v>94.875973799999997</v>
      </c>
      <c r="Y82">
        <v>121.52199999999999</v>
      </c>
      <c r="Z82">
        <v>265.54429900000002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2.6344233983629421</v>
      </c>
    </row>
    <row r="83" spans="1:40" x14ac:dyDescent="0.3">
      <c r="A83">
        <v>35</v>
      </c>
      <c r="B83">
        <v>15</v>
      </c>
      <c r="C83">
        <v>5.79515899424268</v>
      </c>
      <c r="D83">
        <v>29</v>
      </c>
      <c r="E83">
        <v>14</v>
      </c>
      <c r="F83">
        <v>0.32866917708659277</v>
      </c>
      <c r="G83">
        <v>11</v>
      </c>
      <c r="H83">
        <v>7</v>
      </c>
      <c r="I83">
        <v>1.1383064755717165</v>
      </c>
      <c r="J83">
        <v>327998122.24228209</v>
      </c>
      <c r="K83">
        <v>165472000</v>
      </c>
      <c r="L83">
        <v>79929025.120558739</v>
      </c>
      <c r="M83">
        <v>77356100</v>
      </c>
      <c r="N83">
        <v>15760630.16</v>
      </c>
      <c r="O83">
        <v>231.55116100000001</v>
      </c>
      <c r="P83">
        <v>2.641475855072636</v>
      </c>
      <c r="Q83">
        <v>43.851607399999999</v>
      </c>
      <c r="R83">
        <v>799.98810400000002</v>
      </c>
      <c r="S83">
        <v>1.4750614400000001E-15</v>
      </c>
      <c r="T83">
        <v>21.668698849515277</v>
      </c>
      <c r="U83">
        <v>100.934</v>
      </c>
      <c r="V83">
        <v>-604.08407603603689</v>
      </c>
      <c r="W83">
        <v>69.219926900000004</v>
      </c>
      <c r="X83">
        <v>94.848262500000004</v>
      </c>
      <c r="Y83">
        <v>170.55</v>
      </c>
      <c r="Z83">
        <v>254.80365699999999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2.641475855072636</v>
      </c>
    </row>
    <row r="84" spans="1:40" x14ac:dyDescent="0.3">
      <c r="A84">
        <v>29</v>
      </c>
      <c r="B84">
        <v>10</v>
      </c>
      <c r="C84">
        <v>14.114450383145646</v>
      </c>
      <c r="D84">
        <v>29</v>
      </c>
      <c r="E84">
        <v>13</v>
      </c>
      <c r="F84">
        <v>0.31440627473860783</v>
      </c>
      <c r="G84">
        <v>28</v>
      </c>
      <c r="H84">
        <v>14</v>
      </c>
      <c r="I84">
        <v>0.58722414405902867</v>
      </c>
      <c r="J84">
        <v>329752782.7037378</v>
      </c>
      <c r="K84">
        <v>165552000</v>
      </c>
      <c r="L84">
        <v>79929225.382907361</v>
      </c>
      <c r="M84">
        <v>77297500</v>
      </c>
      <c r="N84">
        <v>15760751.6</v>
      </c>
      <c r="O84">
        <v>231.71779900000001</v>
      </c>
      <c r="P84">
        <v>2.6473572228588838</v>
      </c>
      <c r="Q84">
        <v>43.836969400000001</v>
      </c>
      <c r="R84">
        <v>799.87089700000001</v>
      </c>
      <c r="S84">
        <v>1.5613645199999999E-14</v>
      </c>
      <c r="T84">
        <v>21.651524752953875</v>
      </c>
      <c r="U84">
        <v>100.934</v>
      </c>
      <c r="V84">
        <v>-601.10460687006548</v>
      </c>
      <c r="W84">
        <v>69.2213694</v>
      </c>
      <c r="X84">
        <v>94.857262300000002</v>
      </c>
      <c r="Y84">
        <v>170.55</v>
      </c>
      <c r="Z84">
        <v>253.92656199999999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2.6473572228588838</v>
      </c>
    </row>
    <row r="85" spans="1:40" x14ac:dyDescent="0.3">
      <c r="A85">
        <v>39</v>
      </c>
      <c r="B85">
        <v>10</v>
      </c>
      <c r="C85">
        <v>2.0803317772302661</v>
      </c>
      <c r="D85">
        <v>19</v>
      </c>
      <c r="E85">
        <v>5</v>
      </c>
      <c r="F85">
        <v>0.32775758070002564</v>
      </c>
      <c r="G85">
        <v>26</v>
      </c>
      <c r="H85">
        <v>11</v>
      </c>
      <c r="I85">
        <v>0.30264763284111507</v>
      </c>
      <c r="J85">
        <v>327353535.5160597</v>
      </c>
      <c r="K85">
        <v>165479000</v>
      </c>
      <c r="L85">
        <v>79941538.769672573</v>
      </c>
      <c r="M85">
        <v>77367300</v>
      </c>
      <c r="N85">
        <v>15763862.960000001</v>
      </c>
      <c r="O85">
        <v>231.241142</v>
      </c>
      <c r="P85">
        <v>2.6430447215284105</v>
      </c>
      <c r="Q85">
        <v>43.814260500000003</v>
      </c>
      <c r="R85">
        <v>800.59330699999998</v>
      </c>
      <c r="S85">
        <v>4.49168008E-8</v>
      </c>
      <c r="T85">
        <v>21.771304417704901</v>
      </c>
      <c r="U85">
        <v>100.934</v>
      </c>
      <c r="V85">
        <v>-578.82053112191397</v>
      </c>
      <c r="W85">
        <v>69.285650500000003</v>
      </c>
      <c r="X85">
        <v>95.081376700000007</v>
      </c>
      <c r="Y85">
        <v>170.55</v>
      </c>
      <c r="Z85">
        <v>253.27910600000001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2.6430447215284105</v>
      </c>
    </row>
    <row r="86" spans="1:40" x14ac:dyDescent="0.3">
      <c r="A86">
        <v>38</v>
      </c>
      <c r="B86">
        <v>12</v>
      </c>
      <c r="C86">
        <v>8.2160296229197556</v>
      </c>
      <c r="D86">
        <v>29</v>
      </c>
      <c r="E86">
        <v>14</v>
      </c>
      <c r="F86">
        <v>0.32217174395114345</v>
      </c>
      <c r="G86">
        <v>25</v>
      </c>
      <c r="H86">
        <v>7</v>
      </c>
      <c r="I86">
        <v>0.83060744808915943</v>
      </c>
      <c r="J86">
        <v>328882255.6158821</v>
      </c>
      <c r="K86">
        <v>165509000</v>
      </c>
      <c r="L86">
        <v>79927223.125517577</v>
      </c>
      <c r="M86">
        <v>77321100</v>
      </c>
      <c r="N86">
        <v>15760224.720000001</v>
      </c>
      <c r="O86">
        <v>231.625956</v>
      </c>
      <c r="P86">
        <v>2.644586308753754</v>
      </c>
      <c r="Q86">
        <v>43.8448718</v>
      </c>
      <c r="R86">
        <v>799.93264500000009</v>
      </c>
      <c r="S86">
        <v>1.8409709499999998E-15</v>
      </c>
      <c r="T86">
        <v>21.657670015462514</v>
      </c>
      <c r="U86">
        <v>100.934</v>
      </c>
      <c r="V86">
        <v>-603.08261521546751</v>
      </c>
      <c r="W86">
        <v>69.220288800000006</v>
      </c>
      <c r="X86">
        <v>94.849091099999995</v>
      </c>
      <c r="Y86">
        <v>170.55</v>
      </c>
      <c r="Z86">
        <v>254.04943800000001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2.644586308753754</v>
      </c>
    </row>
    <row r="87" spans="1:40" x14ac:dyDescent="0.3">
      <c r="A87">
        <v>38</v>
      </c>
      <c r="B87">
        <v>19</v>
      </c>
      <c r="C87">
        <v>7.98323631953917</v>
      </c>
      <c r="D87">
        <v>28</v>
      </c>
      <c r="E87">
        <v>5</v>
      </c>
      <c r="F87">
        <v>0.32228150752316925</v>
      </c>
      <c r="G87">
        <v>28</v>
      </c>
      <c r="H87">
        <v>7</v>
      </c>
      <c r="I87">
        <v>0.48349513831258106</v>
      </c>
      <c r="J87">
        <v>328903403.48235345</v>
      </c>
      <c r="K87">
        <v>165530000</v>
      </c>
      <c r="L87">
        <v>79931527.775272131</v>
      </c>
      <c r="M87">
        <v>77245400</v>
      </c>
      <c r="N87">
        <v>15761309.199999999</v>
      </c>
      <c r="O87">
        <v>231.83736999999999</v>
      </c>
      <c r="P87">
        <v>2.6440778510533534</v>
      </c>
      <c r="Q87">
        <v>43.828576300000002</v>
      </c>
      <c r="R87">
        <v>800.066733</v>
      </c>
      <c r="S87">
        <v>4.8091269199999997E-8</v>
      </c>
      <c r="T87">
        <v>21.76087019257568</v>
      </c>
      <c r="U87">
        <v>100.934</v>
      </c>
      <c r="V87">
        <v>-596.68202389266048</v>
      </c>
      <c r="W87">
        <v>69.218783700000003</v>
      </c>
      <c r="X87">
        <v>94.832140699999997</v>
      </c>
      <c r="Y87">
        <v>177.97</v>
      </c>
      <c r="Z87">
        <v>253.91748799999999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2.6440778510533534</v>
      </c>
    </row>
    <row r="88" spans="1:40" x14ac:dyDescent="0.3">
      <c r="A88">
        <v>39</v>
      </c>
      <c r="B88">
        <v>18</v>
      </c>
      <c r="C88">
        <v>1.3311181833008834</v>
      </c>
      <c r="D88">
        <v>21</v>
      </c>
      <c r="E88">
        <v>14</v>
      </c>
      <c r="F88">
        <v>0.37604831196619515</v>
      </c>
      <c r="G88">
        <v>20</v>
      </c>
      <c r="H88">
        <v>7</v>
      </c>
      <c r="I88">
        <v>0.75863420910176327</v>
      </c>
      <c r="J88">
        <v>327041589.24896199</v>
      </c>
      <c r="K88">
        <v>165447000</v>
      </c>
      <c r="L88">
        <v>79927723.650214836</v>
      </c>
      <c r="M88">
        <v>77789500</v>
      </c>
      <c r="N88">
        <v>15760346.879999999</v>
      </c>
      <c r="O88">
        <v>229.55805100000001</v>
      </c>
      <c r="P88">
        <v>2.6527665541972372</v>
      </c>
      <c r="Q88">
        <v>43.843310500000001</v>
      </c>
      <c r="R88">
        <v>801.80554800000004</v>
      </c>
      <c r="S88">
        <v>3.2949930099999998E-16</v>
      </c>
      <c r="T88">
        <v>21.839290325956707</v>
      </c>
      <c r="U88">
        <v>100.934</v>
      </c>
      <c r="V88">
        <v>-555.36016682400339</v>
      </c>
      <c r="W88">
        <v>69.403705500000001</v>
      </c>
      <c r="X88">
        <v>95.865832400000002</v>
      </c>
      <c r="Y88">
        <v>144.29</v>
      </c>
      <c r="Z88">
        <v>253.77104700000001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2.6527665541972372</v>
      </c>
    </row>
    <row r="89" spans="1:40" x14ac:dyDescent="0.3">
      <c r="A89">
        <v>30</v>
      </c>
      <c r="B89">
        <v>10</v>
      </c>
      <c r="C89">
        <v>14.10390895941452</v>
      </c>
      <c r="D89">
        <v>29</v>
      </c>
      <c r="E89">
        <v>7</v>
      </c>
      <c r="F89">
        <v>0.32493742240514456</v>
      </c>
      <c r="G89">
        <v>17</v>
      </c>
      <c r="H89">
        <v>14</v>
      </c>
      <c r="I89">
        <v>0.3319649347068635</v>
      </c>
      <c r="J89">
        <v>329436491.045699</v>
      </c>
      <c r="K89">
        <v>165566000</v>
      </c>
      <c r="L89">
        <v>79958257.007319435</v>
      </c>
      <c r="M89">
        <v>77434000</v>
      </c>
      <c r="N89">
        <v>15767630.08</v>
      </c>
      <c r="O89">
        <v>231.66049799999999</v>
      </c>
      <c r="P89">
        <v>2.6447509230126838</v>
      </c>
      <c r="Q89">
        <v>43.844524499999999</v>
      </c>
      <c r="R89">
        <v>800.0340460000001</v>
      </c>
      <c r="S89">
        <v>9.9659277699999991E-10</v>
      </c>
      <c r="T89">
        <v>21.725047965228139</v>
      </c>
      <c r="U89">
        <v>100.934</v>
      </c>
      <c r="V89">
        <v>-598.56623553047586</v>
      </c>
      <c r="W89">
        <v>69.221063599999994</v>
      </c>
      <c r="X89">
        <v>94.855289099999993</v>
      </c>
      <c r="Y89">
        <v>177.97</v>
      </c>
      <c r="Z89">
        <v>261.069749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2.6447509230126838</v>
      </c>
    </row>
    <row r="90" spans="1:40" x14ac:dyDescent="0.3">
      <c r="A90">
        <v>38</v>
      </c>
      <c r="B90">
        <v>18</v>
      </c>
      <c r="C90">
        <v>5.2702394393203589</v>
      </c>
      <c r="D90">
        <v>27</v>
      </c>
      <c r="E90">
        <v>5</v>
      </c>
      <c r="F90">
        <v>0.30589249959220421</v>
      </c>
      <c r="G90">
        <v>19</v>
      </c>
      <c r="H90">
        <v>7</v>
      </c>
      <c r="I90">
        <v>0.46676827123747183</v>
      </c>
      <c r="J90">
        <v>327936735.08955389</v>
      </c>
      <c r="K90">
        <v>165472000</v>
      </c>
      <c r="L90">
        <v>79932128.480346918</v>
      </c>
      <c r="M90">
        <v>77214300</v>
      </c>
      <c r="N90">
        <v>15761469.199999999</v>
      </c>
      <c r="O90">
        <v>231.97355899999999</v>
      </c>
      <c r="P90">
        <v>2.6391847594576676</v>
      </c>
      <c r="Q90">
        <v>43.814222299999997</v>
      </c>
      <c r="R90">
        <v>800.00763600000005</v>
      </c>
      <c r="S90">
        <v>5.6606926000000001E-8</v>
      </c>
      <c r="T90">
        <v>21.744619684563379</v>
      </c>
      <c r="U90">
        <v>100.934</v>
      </c>
      <c r="V90">
        <v>-595.68308238296322</v>
      </c>
      <c r="W90">
        <v>69.219170399999996</v>
      </c>
      <c r="X90">
        <v>94.840230300000002</v>
      </c>
      <c r="Y90">
        <v>177.97</v>
      </c>
      <c r="Z90">
        <v>253.953318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2.6391847594576676</v>
      </c>
    </row>
    <row r="91" spans="1:40" x14ac:dyDescent="0.3">
      <c r="A91">
        <v>33</v>
      </c>
      <c r="B91">
        <v>10</v>
      </c>
      <c r="C91">
        <v>4.9056484786700256</v>
      </c>
      <c r="D91">
        <v>29</v>
      </c>
      <c r="E91">
        <v>6</v>
      </c>
      <c r="F91">
        <v>0.31574009748695991</v>
      </c>
      <c r="G91">
        <v>10</v>
      </c>
      <c r="H91">
        <v>8</v>
      </c>
      <c r="I91">
        <v>1.1843483695232409</v>
      </c>
      <c r="J91">
        <v>327691739.31043535</v>
      </c>
      <c r="K91">
        <v>165457000</v>
      </c>
      <c r="L91">
        <v>79932629.011412874</v>
      </c>
      <c r="M91">
        <v>77373000</v>
      </c>
      <c r="N91">
        <v>15761368.800000001</v>
      </c>
      <c r="O91">
        <v>231.74748399999999</v>
      </c>
      <c r="P91">
        <v>2.6377330331975406</v>
      </c>
      <c r="Q91">
        <v>43.829777399999998</v>
      </c>
      <c r="R91">
        <v>800.03761299999996</v>
      </c>
      <c r="S91">
        <v>7.60344948E-9</v>
      </c>
      <c r="T91">
        <v>21.735350423416151</v>
      </c>
      <c r="U91">
        <v>100.934</v>
      </c>
      <c r="V91">
        <v>-594.04742816619842</v>
      </c>
      <c r="W91">
        <v>69.228467600000002</v>
      </c>
      <c r="X91">
        <v>94.885587999999998</v>
      </c>
      <c r="Y91">
        <v>177.97</v>
      </c>
      <c r="Z91">
        <v>258.13059700000002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2.6377330331975406</v>
      </c>
    </row>
    <row r="92" spans="1:40" x14ac:dyDescent="0.3">
      <c r="A92">
        <v>36</v>
      </c>
      <c r="B92">
        <v>10</v>
      </c>
      <c r="C92">
        <v>10.832085063655088</v>
      </c>
      <c r="D92">
        <v>29</v>
      </c>
      <c r="E92">
        <v>5</v>
      </c>
      <c r="F92">
        <v>0.30790966739236403</v>
      </c>
      <c r="G92">
        <v>11</v>
      </c>
      <c r="H92">
        <v>9</v>
      </c>
      <c r="I92">
        <v>1.3109578909524477</v>
      </c>
      <c r="J92">
        <v>329062061.97808111</v>
      </c>
      <c r="K92">
        <v>165536000</v>
      </c>
      <c r="L92">
        <v>79929725.82419543</v>
      </c>
      <c r="M92">
        <v>77311900</v>
      </c>
      <c r="N92">
        <v>15760659.680000002</v>
      </c>
      <c r="O92">
        <v>231.951472</v>
      </c>
      <c r="P92">
        <v>2.6420901247381576</v>
      </c>
      <c r="Q92">
        <v>43.816115600000003</v>
      </c>
      <c r="R92">
        <v>800.00125600000001</v>
      </c>
      <c r="S92">
        <v>5.5333962399999999E-8</v>
      </c>
      <c r="T92">
        <v>21.751634664189336</v>
      </c>
      <c r="U92">
        <v>100.934</v>
      </c>
      <c r="V92">
        <v>-594.37004917710624</v>
      </c>
      <c r="W92">
        <v>69.221200600000003</v>
      </c>
      <c r="X92">
        <v>94.854131100000004</v>
      </c>
      <c r="Y92">
        <v>177.97</v>
      </c>
      <c r="Z92">
        <v>257.74348800000001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2.6420901247381576</v>
      </c>
    </row>
    <row r="93" spans="1:40" x14ac:dyDescent="0.3">
      <c r="A93">
        <v>29</v>
      </c>
      <c r="B93">
        <v>14</v>
      </c>
      <c r="C93">
        <v>2.8276630672299556</v>
      </c>
      <c r="D93">
        <v>18</v>
      </c>
      <c r="E93">
        <v>6</v>
      </c>
      <c r="F93">
        <v>0.31941730612029151</v>
      </c>
      <c r="G93">
        <v>16</v>
      </c>
      <c r="H93">
        <v>14</v>
      </c>
      <c r="I93">
        <v>1.1251533616188238</v>
      </c>
      <c r="J93">
        <v>327049754.90780926</v>
      </c>
      <c r="K93">
        <v>165428000</v>
      </c>
      <c r="L93">
        <v>79925521.288255394</v>
      </c>
      <c r="M93">
        <v>77324500</v>
      </c>
      <c r="N93">
        <v>15759791.199999999</v>
      </c>
      <c r="O93">
        <v>231.54018600000001</v>
      </c>
      <c r="P93">
        <v>2.6385841252973345</v>
      </c>
      <c r="Q93">
        <v>43.825013800000001</v>
      </c>
      <c r="R93">
        <v>800.34849799999995</v>
      </c>
      <c r="S93">
        <v>7.3394798399999997E-9</v>
      </c>
      <c r="T93">
        <v>21.714205390826688</v>
      </c>
      <c r="U93">
        <v>100.934</v>
      </c>
      <c r="V93">
        <v>-598.35399479382863</v>
      </c>
      <c r="W93">
        <v>69.237330099999994</v>
      </c>
      <c r="X93">
        <v>94.9253432</v>
      </c>
      <c r="Y93">
        <v>170.55</v>
      </c>
      <c r="Z93">
        <v>254.36569299999999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2.6385841252973345</v>
      </c>
    </row>
    <row r="94" spans="1:40" x14ac:dyDescent="0.3">
      <c r="A94">
        <v>31</v>
      </c>
      <c r="B94">
        <v>10</v>
      </c>
      <c r="C94">
        <v>2.6463282094344369</v>
      </c>
      <c r="D94">
        <v>28</v>
      </c>
      <c r="E94">
        <v>14</v>
      </c>
      <c r="F94">
        <v>0.32958347354210776</v>
      </c>
      <c r="G94">
        <v>28</v>
      </c>
      <c r="H94">
        <v>12</v>
      </c>
      <c r="I94">
        <v>0.86738206757955005</v>
      </c>
      <c r="J94">
        <v>327419482.52151924</v>
      </c>
      <c r="K94">
        <v>165462000</v>
      </c>
      <c r="L94">
        <v>79924720.416567653</v>
      </c>
      <c r="M94">
        <v>77415200</v>
      </c>
      <c r="N94">
        <v>15759595.68</v>
      </c>
      <c r="O94">
        <v>231.25735700000001</v>
      </c>
      <c r="P94">
        <v>2.6418141478659178</v>
      </c>
      <c r="Q94">
        <v>43.844001200000001</v>
      </c>
      <c r="R94">
        <v>800.21245900000008</v>
      </c>
      <c r="S94">
        <v>1.3796603999999999E-15</v>
      </c>
      <c r="T94">
        <v>21.685544426116213</v>
      </c>
      <c r="U94">
        <v>100.934</v>
      </c>
      <c r="V94">
        <v>-591.99340148915837</v>
      </c>
      <c r="W94">
        <v>69.257603200000005</v>
      </c>
      <c r="X94">
        <v>94.988441199999997</v>
      </c>
      <c r="Y94">
        <v>170.55</v>
      </c>
      <c r="Z94">
        <v>254.17503199999999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2.6418141478659178</v>
      </c>
    </row>
    <row r="95" spans="1:40" x14ac:dyDescent="0.3">
      <c r="A95">
        <v>32</v>
      </c>
      <c r="B95">
        <v>11</v>
      </c>
      <c r="C95">
        <v>1.1156883988485065</v>
      </c>
      <c r="D95">
        <v>29</v>
      </c>
      <c r="E95">
        <v>13</v>
      </c>
      <c r="F95">
        <v>0.31704469872506214</v>
      </c>
      <c r="G95">
        <v>12</v>
      </c>
      <c r="H95">
        <v>7</v>
      </c>
      <c r="I95">
        <v>0.37795878760418089</v>
      </c>
      <c r="J95">
        <v>326819002.69137561</v>
      </c>
      <c r="K95">
        <v>165443000</v>
      </c>
      <c r="L95">
        <v>79942339.57993333</v>
      </c>
      <c r="M95">
        <v>77899800</v>
      </c>
      <c r="N95">
        <v>15763891.92</v>
      </c>
      <c r="O95">
        <v>229.533996</v>
      </c>
      <c r="P95">
        <v>2.6501880653158958</v>
      </c>
      <c r="Q95">
        <v>43.781286999999999</v>
      </c>
      <c r="R95">
        <v>801.40284599999995</v>
      </c>
      <c r="S95">
        <v>1.02731273E-14</v>
      </c>
      <c r="T95">
        <v>21.691145413264419</v>
      </c>
      <c r="U95">
        <v>100.934</v>
      </c>
      <c r="V95">
        <v>-495.16203137510496</v>
      </c>
      <c r="W95">
        <v>69.528261999999998</v>
      </c>
      <c r="X95">
        <v>96.421650400000004</v>
      </c>
      <c r="Y95">
        <v>177.97</v>
      </c>
      <c r="Z95">
        <v>255.34314599999999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2.6501880653158958</v>
      </c>
    </row>
    <row r="96" spans="1:40" x14ac:dyDescent="0.3">
      <c r="A96">
        <v>36</v>
      </c>
      <c r="B96">
        <v>12</v>
      </c>
      <c r="C96">
        <v>3.2178495597129859</v>
      </c>
      <c r="D96">
        <v>18</v>
      </c>
      <c r="E96">
        <v>6</v>
      </c>
      <c r="F96">
        <v>0.31391219880214694</v>
      </c>
      <c r="G96">
        <v>28</v>
      </c>
      <c r="H96">
        <v>14</v>
      </c>
      <c r="I96">
        <v>1.2052773392614582</v>
      </c>
      <c r="J96">
        <v>327595484.07140416</v>
      </c>
      <c r="K96">
        <v>165466000</v>
      </c>
      <c r="L96">
        <v>79926221.989837676</v>
      </c>
      <c r="M96">
        <v>77295400</v>
      </c>
      <c r="N96">
        <v>15759959.360000001</v>
      </c>
      <c r="O96">
        <v>231.645715</v>
      </c>
      <c r="P96">
        <v>2.6402600731953463</v>
      </c>
      <c r="Q96">
        <v>43.821557400000003</v>
      </c>
      <c r="R96">
        <v>800.28271900000004</v>
      </c>
      <c r="S96">
        <v>7.8934653200000007E-9</v>
      </c>
      <c r="T96">
        <v>21.702350786123585</v>
      </c>
      <c r="U96">
        <v>100.934</v>
      </c>
      <c r="V96">
        <v>-599.97884851103959</v>
      </c>
      <c r="W96">
        <v>69.230479700000004</v>
      </c>
      <c r="X96">
        <v>94.894316200000006</v>
      </c>
      <c r="Y96">
        <v>170.55</v>
      </c>
      <c r="Z96">
        <v>254.246904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2.6402600731953463</v>
      </c>
    </row>
    <row r="97" spans="1:40" x14ac:dyDescent="0.3">
      <c r="A97">
        <v>30</v>
      </c>
      <c r="B97">
        <v>13</v>
      </c>
      <c r="C97">
        <v>2.621461644801669</v>
      </c>
      <c r="D97">
        <v>22</v>
      </c>
      <c r="E97">
        <v>6</v>
      </c>
      <c r="F97">
        <v>0.30279718318113119</v>
      </c>
      <c r="G97">
        <v>25</v>
      </c>
      <c r="H97">
        <v>8</v>
      </c>
      <c r="I97">
        <v>0.56669079569828718</v>
      </c>
      <c r="J97">
        <v>327195984.8076694</v>
      </c>
      <c r="K97">
        <v>165428000</v>
      </c>
      <c r="L97">
        <v>79928224.206344634</v>
      </c>
      <c r="M97">
        <v>77282700</v>
      </c>
      <c r="N97">
        <v>15760478.08</v>
      </c>
      <c r="O97">
        <v>231.735176</v>
      </c>
      <c r="P97">
        <v>2.6375885528140972</v>
      </c>
      <c r="Q97">
        <v>43.811502500000003</v>
      </c>
      <c r="R97">
        <v>800.13690599999995</v>
      </c>
      <c r="S97">
        <v>9.0260046300000002E-9</v>
      </c>
      <c r="T97">
        <v>21.711211077896326</v>
      </c>
      <c r="U97">
        <v>100.934</v>
      </c>
      <c r="V97">
        <v>-591.59756756234515</v>
      </c>
      <c r="W97">
        <v>69.241792000000004</v>
      </c>
      <c r="X97">
        <v>94.940642400000002</v>
      </c>
      <c r="Y97">
        <v>170.55</v>
      </c>
      <c r="Z97">
        <v>254.155564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2.6375885528140972</v>
      </c>
    </row>
    <row r="98" spans="1:40" x14ac:dyDescent="0.3">
      <c r="A98">
        <v>30</v>
      </c>
      <c r="B98">
        <v>15</v>
      </c>
      <c r="C98">
        <v>2.4298456700504398</v>
      </c>
      <c r="D98">
        <v>21</v>
      </c>
      <c r="E98">
        <v>11</v>
      </c>
      <c r="F98">
        <v>0.3321682931544333</v>
      </c>
      <c r="G98">
        <v>10</v>
      </c>
      <c r="H98">
        <v>7</v>
      </c>
      <c r="I98">
        <v>1.172560110945307</v>
      </c>
      <c r="J98">
        <v>326909024.2108652</v>
      </c>
      <c r="K98">
        <v>165416000</v>
      </c>
      <c r="L98">
        <v>79930927.200652614</v>
      </c>
      <c r="M98">
        <v>77429600</v>
      </c>
      <c r="N98">
        <v>15761058.639999999</v>
      </c>
      <c r="O98">
        <v>231.26500899999999</v>
      </c>
      <c r="P98">
        <v>2.639075434488487</v>
      </c>
      <c r="Q98">
        <v>43.844170200000001</v>
      </c>
      <c r="R98">
        <v>800.38152200000002</v>
      </c>
      <c r="S98">
        <v>4.1853782899999998E-13</v>
      </c>
      <c r="T98">
        <v>21.68025668602041</v>
      </c>
      <c r="U98">
        <v>100.934</v>
      </c>
      <c r="V98">
        <v>-601.60293135595759</v>
      </c>
      <c r="W98">
        <v>69.2425456</v>
      </c>
      <c r="X98">
        <v>94.945371100000003</v>
      </c>
      <c r="Y98">
        <v>165.7</v>
      </c>
      <c r="Z98">
        <v>255.57999599999999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2.639075434488487</v>
      </c>
    </row>
    <row r="99" spans="1:40" x14ac:dyDescent="0.3">
      <c r="A99">
        <v>27</v>
      </c>
      <c r="B99">
        <v>13</v>
      </c>
      <c r="C99">
        <v>8.8626552495027902</v>
      </c>
      <c r="D99">
        <v>29</v>
      </c>
      <c r="E99">
        <v>12</v>
      </c>
      <c r="F99">
        <v>0.34608317640715391</v>
      </c>
      <c r="G99">
        <v>29</v>
      </c>
      <c r="H99">
        <v>7</v>
      </c>
      <c r="I99">
        <v>1.1019240000925679</v>
      </c>
      <c r="J99">
        <v>328782637.55757958</v>
      </c>
      <c r="K99">
        <v>165509000</v>
      </c>
      <c r="L99">
        <v>79926322.215412304</v>
      </c>
      <c r="M99">
        <v>77383400</v>
      </c>
      <c r="N99">
        <v>15760012.08</v>
      </c>
      <c r="O99">
        <v>231.32935499999999</v>
      </c>
      <c r="P99">
        <v>2.6464959120329636</v>
      </c>
      <c r="Q99">
        <v>43.870273900000001</v>
      </c>
      <c r="R99">
        <v>800.17184299999997</v>
      </c>
      <c r="S99">
        <v>4.0982124099999999E-14</v>
      </c>
      <c r="T99">
        <v>21.71589778512913</v>
      </c>
      <c r="U99">
        <v>100.934</v>
      </c>
      <c r="V99">
        <v>-604.1798914199079</v>
      </c>
      <c r="W99">
        <v>69.222404600000004</v>
      </c>
      <c r="X99">
        <v>94.864921899999999</v>
      </c>
      <c r="Y99">
        <v>177.97</v>
      </c>
      <c r="Z99">
        <v>254.01931200000001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2.6464959120329636</v>
      </c>
    </row>
    <row r="100" spans="1:40" x14ac:dyDescent="0.3">
      <c r="A100">
        <v>28</v>
      </c>
      <c r="B100">
        <v>17</v>
      </c>
      <c r="C100">
        <v>7.5345825360452663</v>
      </c>
      <c r="D100">
        <v>27</v>
      </c>
      <c r="E100">
        <v>14</v>
      </c>
      <c r="F100">
        <v>0.32821879206281962</v>
      </c>
      <c r="G100">
        <v>26</v>
      </c>
      <c r="H100">
        <v>14</v>
      </c>
      <c r="I100">
        <v>1.2369646520454967</v>
      </c>
      <c r="J100">
        <v>328418237.45113838</v>
      </c>
      <c r="K100">
        <v>165489000</v>
      </c>
      <c r="L100">
        <v>79924420.054374516</v>
      </c>
      <c r="M100">
        <v>77346800</v>
      </c>
      <c r="N100">
        <v>15759511.039999999</v>
      </c>
      <c r="O100">
        <v>231.513857</v>
      </c>
      <c r="P100">
        <v>2.6436348279379311</v>
      </c>
      <c r="Q100">
        <v>43.849736</v>
      </c>
      <c r="R100">
        <v>800.05956000000003</v>
      </c>
      <c r="S100">
        <v>7.0663129200000003E-14</v>
      </c>
      <c r="T100">
        <v>21.66102472939831</v>
      </c>
      <c r="U100">
        <v>100.934</v>
      </c>
      <c r="V100">
        <v>-605.53017832353532</v>
      </c>
      <c r="W100">
        <v>69.221422200000006</v>
      </c>
      <c r="X100">
        <v>94.858911399999997</v>
      </c>
      <c r="Y100">
        <v>170.55</v>
      </c>
      <c r="Z100">
        <v>254.20132100000001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2.6436348279379311</v>
      </c>
    </row>
    <row r="101" spans="1:40" x14ac:dyDescent="0.3">
      <c r="A101">
        <v>35</v>
      </c>
      <c r="B101">
        <v>14</v>
      </c>
      <c r="C101">
        <v>1.8821497872590567</v>
      </c>
      <c r="D101">
        <v>10</v>
      </c>
      <c r="E101">
        <v>6</v>
      </c>
      <c r="F101">
        <v>0.35004125194378383</v>
      </c>
      <c r="G101">
        <v>29</v>
      </c>
      <c r="H101">
        <v>14</v>
      </c>
      <c r="I101">
        <v>0.97709710516144233</v>
      </c>
      <c r="J101">
        <v>327092279.61443025</v>
      </c>
      <c r="K101">
        <v>165444000</v>
      </c>
      <c r="L101">
        <v>79924420.106556624</v>
      </c>
      <c r="M101">
        <v>77371500</v>
      </c>
      <c r="N101">
        <v>15759511.039999999</v>
      </c>
      <c r="O101">
        <v>231.079251</v>
      </c>
      <c r="P101">
        <v>2.6433800527778852</v>
      </c>
      <c r="Q101">
        <v>43.7997066</v>
      </c>
      <c r="R101">
        <v>801.47257999999999</v>
      </c>
      <c r="S101">
        <v>5.8557357399999999E-9</v>
      </c>
      <c r="T101">
        <v>21.638388001144151</v>
      </c>
      <c r="U101">
        <v>100.934</v>
      </c>
      <c r="V101">
        <v>-600.9205790988043</v>
      </c>
      <c r="W101">
        <v>69.269156899999999</v>
      </c>
      <c r="X101">
        <v>95.030695100000003</v>
      </c>
      <c r="Y101">
        <v>121.52199999999999</v>
      </c>
      <c r="Z101">
        <v>254.25702699999999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2.6433800527778852</v>
      </c>
    </row>
    <row r="102" spans="1:40" x14ac:dyDescent="0.3">
      <c r="A102">
        <v>37</v>
      </c>
      <c r="B102">
        <v>14</v>
      </c>
      <c r="C102">
        <v>5.0709923071920455</v>
      </c>
      <c r="D102">
        <v>11</v>
      </c>
      <c r="E102">
        <v>7</v>
      </c>
      <c r="F102">
        <v>0.32687893110122102</v>
      </c>
      <c r="G102">
        <v>18</v>
      </c>
      <c r="H102">
        <v>7</v>
      </c>
      <c r="I102">
        <v>0.59678088291731768</v>
      </c>
      <c r="J102">
        <v>327509529.3472017</v>
      </c>
      <c r="K102">
        <v>165453000</v>
      </c>
      <c r="L102">
        <v>79929125.194928512</v>
      </c>
      <c r="M102">
        <v>77239200</v>
      </c>
      <c r="N102">
        <v>15760704.08</v>
      </c>
      <c r="O102">
        <v>231.59375900000001</v>
      </c>
      <c r="P102">
        <v>2.6414238612985907</v>
      </c>
      <c r="Q102">
        <v>43.797699199999997</v>
      </c>
      <c r="R102">
        <v>801.08398899999997</v>
      </c>
      <c r="S102">
        <v>1.1737141800000001E-9</v>
      </c>
      <c r="T102">
        <v>21.561724157821399</v>
      </c>
      <c r="U102">
        <v>100.934</v>
      </c>
      <c r="V102">
        <v>-616.24542287358736</v>
      </c>
      <c r="W102">
        <v>69.220694899999998</v>
      </c>
      <c r="X102">
        <v>94.853090899999998</v>
      </c>
      <c r="Y102">
        <v>121.52199999999999</v>
      </c>
      <c r="Z102">
        <v>254.05487299999999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2.6414238612985907</v>
      </c>
    </row>
    <row r="103" spans="1:40" x14ac:dyDescent="0.3">
      <c r="A103">
        <v>27</v>
      </c>
      <c r="B103">
        <v>19</v>
      </c>
      <c r="C103">
        <v>7.7529609589481971</v>
      </c>
      <c r="D103">
        <v>29</v>
      </c>
      <c r="E103">
        <v>12</v>
      </c>
      <c r="F103">
        <v>0.40648899925414372</v>
      </c>
      <c r="G103">
        <v>13</v>
      </c>
      <c r="H103">
        <v>11</v>
      </c>
      <c r="I103">
        <v>0.34700562811383651</v>
      </c>
      <c r="J103">
        <v>327988938.06316793</v>
      </c>
      <c r="K103">
        <v>165521000</v>
      </c>
      <c r="L103">
        <v>79973273.376477033</v>
      </c>
      <c r="M103">
        <v>77756200</v>
      </c>
      <c r="N103">
        <v>15771172.720000001</v>
      </c>
      <c r="O103">
        <v>230.554136</v>
      </c>
      <c r="P103">
        <v>2.6461494114450188</v>
      </c>
      <c r="Q103">
        <v>43.932523799999998</v>
      </c>
      <c r="R103">
        <v>800.90513599999997</v>
      </c>
      <c r="S103">
        <v>5.8619999299999997E-12</v>
      </c>
      <c r="T103">
        <v>21.842985683208457</v>
      </c>
      <c r="U103">
        <v>100.934</v>
      </c>
      <c r="V103">
        <v>-612.92132175819938</v>
      </c>
      <c r="W103">
        <v>69.223394200000001</v>
      </c>
      <c r="X103">
        <v>94.866941600000004</v>
      </c>
      <c r="Y103">
        <v>177.97</v>
      </c>
      <c r="Z103">
        <v>274.35498999999999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2.6461494114450188</v>
      </c>
    </row>
    <row r="104" spans="1:40" x14ac:dyDescent="0.3">
      <c r="A104">
        <v>34</v>
      </c>
      <c r="B104">
        <v>19</v>
      </c>
      <c r="C104">
        <v>2.8031201750755157</v>
      </c>
      <c r="D104">
        <v>18</v>
      </c>
      <c r="E104">
        <v>14</v>
      </c>
      <c r="F104">
        <v>0.30476819312505349</v>
      </c>
      <c r="G104">
        <v>14</v>
      </c>
      <c r="H104">
        <v>12</v>
      </c>
      <c r="I104">
        <v>1.3178010322238574</v>
      </c>
      <c r="J104">
        <v>327094055.48578453</v>
      </c>
      <c r="K104">
        <v>165427000</v>
      </c>
      <c r="L104">
        <v>79926322.137755468</v>
      </c>
      <c r="M104">
        <v>77296400</v>
      </c>
      <c r="N104">
        <v>15759813.6</v>
      </c>
      <c r="O104">
        <v>231.81403900000001</v>
      </c>
      <c r="P104">
        <v>2.6361128259910207</v>
      </c>
      <c r="Q104">
        <v>43.781923499999998</v>
      </c>
      <c r="R104">
        <v>800.72838100000001</v>
      </c>
      <c r="S104">
        <v>5.0784328500000002E-15</v>
      </c>
      <c r="T104">
        <v>21.482212227654738</v>
      </c>
      <c r="U104">
        <v>100.934</v>
      </c>
      <c r="V104">
        <v>-613.09663172122555</v>
      </c>
      <c r="W104">
        <v>69.223922999999999</v>
      </c>
      <c r="X104">
        <v>94.873246600000002</v>
      </c>
      <c r="Y104">
        <v>121.52199999999999</v>
      </c>
      <c r="Z104">
        <v>257.683651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2.6361128259910207</v>
      </c>
    </row>
    <row r="105" spans="1:40" x14ac:dyDescent="0.3">
      <c r="A105">
        <v>39</v>
      </c>
      <c r="B105">
        <v>12</v>
      </c>
      <c r="C105">
        <v>2.9752814886469174</v>
      </c>
      <c r="D105">
        <v>27</v>
      </c>
      <c r="E105">
        <v>13</v>
      </c>
      <c r="F105">
        <v>0.306566193945216</v>
      </c>
      <c r="G105">
        <v>29</v>
      </c>
      <c r="H105">
        <v>14</v>
      </c>
      <c r="I105">
        <v>0.79872792699239303</v>
      </c>
      <c r="J105">
        <v>327697358.63628423</v>
      </c>
      <c r="K105">
        <v>165480000</v>
      </c>
      <c r="L105">
        <v>79924520.211331725</v>
      </c>
      <c r="M105">
        <v>77310100</v>
      </c>
      <c r="N105">
        <v>15759548.479999999</v>
      </c>
      <c r="O105">
        <v>231.71114399999999</v>
      </c>
      <c r="P105">
        <v>2.6397996657130975</v>
      </c>
      <c r="Q105">
        <v>43.824704500000003</v>
      </c>
      <c r="R105">
        <v>799.91257999999993</v>
      </c>
      <c r="S105">
        <v>2.0166668900000001E-14</v>
      </c>
      <c r="T105">
        <v>21.638969675514179</v>
      </c>
      <c r="U105">
        <v>100.934</v>
      </c>
      <c r="V105">
        <v>-597.53706489842807</v>
      </c>
      <c r="W105">
        <v>69.232712500000005</v>
      </c>
      <c r="X105">
        <v>94.902014199999996</v>
      </c>
      <c r="Y105">
        <v>170.55</v>
      </c>
      <c r="Z105">
        <v>254.248625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2.6397996657130975</v>
      </c>
    </row>
    <row r="106" spans="1:40" x14ac:dyDescent="0.3">
      <c r="A106">
        <v>32</v>
      </c>
      <c r="B106">
        <v>10</v>
      </c>
      <c r="C106">
        <v>2.4258365817491594</v>
      </c>
      <c r="D106">
        <v>16</v>
      </c>
      <c r="E106">
        <v>11</v>
      </c>
      <c r="F106">
        <v>0.32003402213127136</v>
      </c>
      <c r="G106">
        <v>17</v>
      </c>
      <c r="H106">
        <v>13</v>
      </c>
      <c r="I106">
        <v>0.30765011364021411</v>
      </c>
      <c r="J106">
        <v>326869341.35056609</v>
      </c>
      <c r="K106">
        <v>165455000</v>
      </c>
      <c r="L106">
        <v>79952350.47346206</v>
      </c>
      <c r="M106">
        <v>77436100</v>
      </c>
      <c r="N106">
        <v>15766262.720000001</v>
      </c>
      <c r="O106">
        <v>231.26361600000001</v>
      </c>
      <c r="P106">
        <v>2.639595202322004</v>
      </c>
      <c r="Q106">
        <v>43.802511199999998</v>
      </c>
      <c r="R106">
        <v>800.85195399999998</v>
      </c>
      <c r="S106">
        <v>6.5960710600000001E-13</v>
      </c>
      <c r="T106">
        <v>21.589649948135424</v>
      </c>
      <c r="U106">
        <v>100.934</v>
      </c>
      <c r="V106">
        <v>-598.76089004489347</v>
      </c>
      <c r="W106">
        <v>69.265507099999994</v>
      </c>
      <c r="X106">
        <v>95.012968599999994</v>
      </c>
      <c r="Y106">
        <v>144.29</v>
      </c>
      <c r="Z106">
        <v>257.65493099999998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2.639595202322004</v>
      </c>
    </row>
    <row r="107" spans="1:40" x14ac:dyDescent="0.3">
      <c r="A107">
        <v>33</v>
      </c>
      <c r="B107">
        <v>19</v>
      </c>
      <c r="C107">
        <v>4.730258699455181</v>
      </c>
      <c r="D107">
        <v>19</v>
      </c>
      <c r="E107">
        <v>5</v>
      </c>
      <c r="F107">
        <v>0.3024553579589056</v>
      </c>
      <c r="G107">
        <v>22</v>
      </c>
      <c r="H107">
        <v>8</v>
      </c>
      <c r="I107">
        <v>1.1414184612253067</v>
      </c>
      <c r="J107">
        <v>327652099.12221229</v>
      </c>
      <c r="K107">
        <v>165446000</v>
      </c>
      <c r="L107">
        <v>79925621.398371965</v>
      </c>
      <c r="M107">
        <v>77227200</v>
      </c>
      <c r="N107">
        <v>15759822.640000001</v>
      </c>
      <c r="O107">
        <v>231.932773</v>
      </c>
      <c r="P107">
        <v>2.6380753748660131</v>
      </c>
      <c r="Q107">
        <v>43.807174400000001</v>
      </c>
      <c r="R107">
        <v>800.15144599999996</v>
      </c>
      <c r="S107">
        <v>5.9044963899999997E-8</v>
      </c>
      <c r="T107">
        <v>21.719648784522622</v>
      </c>
      <c r="U107">
        <v>100.934</v>
      </c>
      <c r="V107">
        <v>-599.63154493997138</v>
      </c>
      <c r="W107">
        <v>69.220058600000002</v>
      </c>
      <c r="X107">
        <v>94.850074500000005</v>
      </c>
      <c r="Y107">
        <v>170.55</v>
      </c>
      <c r="Z107">
        <v>254.326673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2.6380753748660131</v>
      </c>
    </row>
    <row r="108" spans="1:40" x14ac:dyDescent="0.3">
      <c r="A108">
        <v>28</v>
      </c>
      <c r="B108">
        <v>19</v>
      </c>
      <c r="C108">
        <v>7.2543394084777555</v>
      </c>
      <c r="D108">
        <v>10</v>
      </c>
      <c r="E108">
        <v>8</v>
      </c>
      <c r="F108">
        <v>0.32754565566631261</v>
      </c>
      <c r="G108">
        <v>12</v>
      </c>
      <c r="H108">
        <v>10</v>
      </c>
      <c r="I108">
        <v>0.47582180368737059</v>
      </c>
      <c r="J108">
        <v>327622324.57406026</v>
      </c>
      <c r="K108">
        <v>165467000</v>
      </c>
      <c r="L108">
        <v>79955754.172433943</v>
      </c>
      <c r="M108">
        <v>77213300</v>
      </c>
      <c r="N108">
        <v>15766890.16</v>
      </c>
      <c r="O108">
        <v>232.16064</v>
      </c>
      <c r="P108">
        <v>2.6360626200814394</v>
      </c>
      <c r="Q108">
        <v>43.721924899999998</v>
      </c>
      <c r="R108">
        <v>801.9501489999999</v>
      </c>
      <c r="S108">
        <v>2.8070265899999999E-10</v>
      </c>
      <c r="T108">
        <v>21.297165286021958</v>
      </c>
      <c r="U108">
        <v>100.934</v>
      </c>
      <c r="V108">
        <v>-618.77350198989802</v>
      </c>
      <c r="W108">
        <v>69.222028100000003</v>
      </c>
      <c r="X108">
        <v>94.861136900000005</v>
      </c>
      <c r="Y108">
        <v>121.52199999999999</v>
      </c>
      <c r="Z108">
        <v>264.11410899999998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2.6360626200814394</v>
      </c>
    </row>
    <row r="109" spans="1:40" x14ac:dyDescent="0.3">
      <c r="A109">
        <v>34</v>
      </c>
      <c r="B109">
        <v>14</v>
      </c>
      <c r="C109">
        <v>14.139808450897434</v>
      </c>
      <c r="D109">
        <v>10</v>
      </c>
      <c r="E109">
        <v>6</v>
      </c>
      <c r="F109">
        <v>0.31023850758590982</v>
      </c>
      <c r="G109">
        <v>26</v>
      </c>
      <c r="H109">
        <v>7</v>
      </c>
      <c r="I109">
        <v>0.45032780546364715</v>
      </c>
      <c r="J109">
        <v>329507945.61096174</v>
      </c>
      <c r="K109">
        <v>165557000</v>
      </c>
      <c r="L109">
        <v>79932228.584505692</v>
      </c>
      <c r="M109">
        <v>77180500</v>
      </c>
      <c r="N109">
        <v>15761497.520000001</v>
      </c>
      <c r="O109">
        <v>231.79491999999999</v>
      </c>
      <c r="P109">
        <v>2.6480827512801257</v>
      </c>
      <c r="Q109">
        <v>43.779998399999997</v>
      </c>
      <c r="R109">
        <v>801.04739999999993</v>
      </c>
      <c r="S109">
        <v>9.5313179700000004E-9</v>
      </c>
      <c r="T109">
        <v>21.559029316782453</v>
      </c>
      <c r="U109">
        <v>100.934</v>
      </c>
      <c r="V109">
        <v>-614.47413298653782</v>
      </c>
      <c r="W109">
        <v>69.219061199999999</v>
      </c>
      <c r="X109">
        <v>94.838494499999996</v>
      </c>
      <c r="Y109">
        <v>121.52199999999999</v>
      </c>
      <c r="Z109">
        <v>253.859118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2.6480827512801257</v>
      </c>
    </row>
    <row r="110" spans="1:40" x14ac:dyDescent="0.3">
      <c r="A110">
        <v>28</v>
      </c>
      <c r="B110">
        <v>16</v>
      </c>
      <c r="C110">
        <v>14.409598784498597</v>
      </c>
      <c r="D110">
        <v>29</v>
      </c>
      <c r="E110">
        <v>13</v>
      </c>
      <c r="F110">
        <v>0.33256776999567894</v>
      </c>
      <c r="G110">
        <v>17</v>
      </c>
      <c r="H110">
        <v>13</v>
      </c>
      <c r="I110">
        <v>1.370042504859238</v>
      </c>
      <c r="J110">
        <v>329631935.13222671</v>
      </c>
      <c r="K110">
        <v>165536000</v>
      </c>
      <c r="L110">
        <v>79924720.419649273</v>
      </c>
      <c r="M110">
        <v>77324400</v>
      </c>
      <c r="N110">
        <v>15759560.960000001</v>
      </c>
      <c r="O110">
        <v>231.64013199999999</v>
      </c>
      <c r="P110">
        <v>2.6470731576108317</v>
      </c>
      <c r="Q110">
        <v>43.8470412</v>
      </c>
      <c r="R110">
        <v>800.09944899999994</v>
      </c>
      <c r="S110">
        <v>6.1926548399999998E-9</v>
      </c>
      <c r="T110">
        <v>21.751349442117736</v>
      </c>
      <c r="U110">
        <v>100.934</v>
      </c>
      <c r="V110">
        <v>-598.57568468058298</v>
      </c>
      <c r="W110">
        <v>69.220123099999995</v>
      </c>
      <c r="X110">
        <v>94.850296299999997</v>
      </c>
      <c r="Y110">
        <v>177.97</v>
      </c>
      <c r="Z110">
        <v>254.89935600000001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2.6470731576108317</v>
      </c>
    </row>
    <row r="111" spans="1:40" x14ac:dyDescent="0.3">
      <c r="A111">
        <v>33</v>
      </c>
      <c r="B111">
        <v>13</v>
      </c>
      <c r="C111">
        <v>5.5021464919250871</v>
      </c>
      <c r="D111">
        <v>22</v>
      </c>
      <c r="E111">
        <v>12</v>
      </c>
      <c r="F111">
        <v>0.31099456552172422</v>
      </c>
      <c r="G111">
        <v>20</v>
      </c>
      <c r="H111">
        <v>14</v>
      </c>
      <c r="I111">
        <v>1.1239722173863012</v>
      </c>
      <c r="J111">
        <v>327856820.81570899</v>
      </c>
      <c r="K111">
        <v>165465000</v>
      </c>
      <c r="L111">
        <v>79924520.171476096</v>
      </c>
      <c r="M111">
        <v>77308300</v>
      </c>
      <c r="N111">
        <v>15759526.959999999</v>
      </c>
      <c r="O111">
        <v>231.67502500000001</v>
      </c>
      <c r="P111">
        <v>2.6404269639973341</v>
      </c>
      <c r="Q111">
        <v>43.827352099999999</v>
      </c>
      <c r="R111">
        <v>800.07212699999991</v>
      </c>
      <c r="S111">
        <v>1.1644506999999999E-13</v>
      </c>
      <c r="T111">
        <v>21.624543459925007</v>
      </c>
      <c r="U111">
        <v>100.934</v>
      </c>
      <c r="V111">
        <v>-605.93667797442117</v>
      </c>
      <c r="W111">
        <v>69.221639800000005</v>
      </c>
      <c r="X111">
        <v>94.858915199999998</v>
      </c>
      <c r="Y111">
        <v>165.7</v>
      </c>
      <c r="Z111">
        <v>254.39662000000001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2.6404269639973341</v>
      </c>
    </row>
    <row r="112" spans="1:40" x14ac:dyDescent="0.3">
      <c r="A112">
        <v>35</v>
      </c>
      <c r="B112">
        <v>18</v>
      </c>
      <c r="C112">
        <v>6.9107393371936849</v>
      </c>
      <c r="D112">
        <v>11</v>
      </c>
      <c r="E112">
        <v>9</v>
      </c>
      <c r="F112">
        <v>0.31860482470799018</v>
      </c>
      <c r="G112">
        <v>13</v>
      </c>
      <c r="H112">
        <v>7</v>
      </c>
      <c r="I112">
        <v>1.1071310230055089</v>
      </c>
      <c r="J112">
        <v>327830644.46737576</v>
      </c>
      <c r="K112">
        <v>165456000</v>
      </c>
      <c r="L112">
        <v>79927223.133324355</v>
      </c>
      <c r="M112">
        <v>77014300</v>
      </c>
      <c r="N112">
        <v>15760211.6</v>
      </c>
      <c r="O112">
        <v>232.25231099999999</v>
      </c>
      <c r="P112">
        <v>2.6392043092245436</v>
      </c>
      <c r="Q112">
        <v>43.716642800000002</v>
      </c>
      <c r="R112">
        <v>801.87496199999998</v>
      </c>
      <c r="S112">
        <v>5.4666343199999999E-11</v>
      </c>
      <c r="T112">
        <v>21.272283515309809</v>
      </c>
      <c r="U112">
        <v>100.934</v>
      </c>
      <c r="V112">
        <v>-618.66787198235795</v>
      </c>
      <c r="W112">
        <v>69.219114399999995</v>
      </c>
      <c r="X112">
        <v>94.839123599999994</v>
      </c>
      <c r="Y112">
        <v>121.52199999999999</v>
      </c>
      <c r="Z112">
        <v>254.54001099999999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2.6392043092245436</v>
      </c>
    </row>
    <row r="113" spans="1:40" x14ac:dyDescent="0.3">
      <c r="A113">
        <v>39</v>
      </c>
      <c r="B113">
        <v>14</v>
      </c>
      <c r="C113">
        <v>13.341679157083346</v>
      </c>
      <c r="D113">
        <v>29</v>
      </c>
      <c r="E113">
        <v>6</v>
      </c>
      <c r="F113">
        <v>0.39475506540465122</v>
      </c>
      <c r="G113">
        <v>28</v>
      </c>
      <c r="H113">
        <v>14</v>
      </c>
      <c r="I113">
        <v>1.2850315627407072</v>
      </c>
      <c r="J113">
        <v>330100234.87112063</v>
      </c>
      <c r="K113">
        <v>165585000</v>
      </c>
      <c r="L113">
        <v>79924420.045335099</v>
      </c>
      <c r="M113">
        <v>77432800</v>
      </c>
      <c r="N113">
        <v>15759508.799999999</v>
      </c>
      <c r="O113">
        <v>231.050738</v>
      </c>
      <c r="P113">
        <v>2.6540667075814017</v>
      </c>
      <c r="Q113">
        <v>43.9008951</v>
      </c>
      <c r="R113">
        <v>800.51787899999999</v>
      </c>
      <c r="S113">
        <v>3.1519478800000001E-9</v>
      </c>
      <c r="T113">
        <v>21.82632562307208</v>
      </c>
      <c r="U113">
        <v>100.934</v>
      </c>
      <c r="V113">
        <v>-604.80014226389187</v>
      </c>
      <c r="W113">
        <v>69.218880100000007</v>
      </c>
      <c r="X113">
        <v>94.835511100000005</v>
      </c>
      <c r="Y113">
        <v>177.97</v>
      </c>
      <c r="Z113">
        <v>254.169848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2.6540667075814017</v>
      </c>
    </row>
    <row r="114" spans="1:40" x14ac:dyDescent="0.3">
      <c r="A114">
        <v>27</v>
      </c>
      <c r="B114">
        <v>10</v>
      </c>
      <c r="C114">
        <v>10.16548353177493</v>
      </c>
      <c r="D114">
        <v>10</v>
      </c>
      <c r="E114">
        <v>8</v>
      </c>
      <c r="F114">
        <v>0.40039124363339051</v>
      </c>
      <c r="G114">
        <v>13</v>
      </c>
      <c r="H114">
        <v>10</v>
      </c>
      <c r="I114">
        <v>0.41833447848013627</v>
      </c>
      <c r="J114">
        <v>328121672.41710877</v>
      </c>
      <c r="K114">
        <v>165496000</v>
      </c>
      <c r="L114">
        <v>79946443.990554139</v>
      </c>
      <c r="M114">
        <v>77288300</v>
      </c>
      <c r="N114">
        <v>15764720.719999999</v>
      </c>
      <c r="O114">
        <v>231.48252500000001</v>
      </c>
      <c r="P114">
        <v>2.6443720109418054</v>
      </c>
      <c r="Q114">
        <v>43.776725399999997</v>
      </c>
      <c r="R114">
        <v>802.30284299999994</v>
      </c>
      <c r="S114">
        <v>1.00317658E-10</v>
      </c>
      <c r="T114">
        <v>21.414917497387506</v>
      </c>
      <c r="U114">
        <v>100.934</v>
      </c>
      <c r="V114">
        <v>-624.41781057192736</v>
      </c>
      <c r="W114">
        <v>69.223879699999998</v>
      </c>
      <c r="X114">
        <v>94.869772600000005</v>
      </c>
      <c r="Y114">
        <v>121.52199999999999</v>
      </c>
      <c r="Z114">
        <v>259.19412999999997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2.6443720109418054</v>
      </c>
    </row>
    <row r="115" spans="1:40" x14ac:dyDescent="0.3">
      <c r="A115">
        <v>30</v>
      </c>
      <c r="B115">
        <v>18</v>
      </c>
      <c r="C115">
        <v>6.6012054281031292</v>
      </c>
      <c r="D115">
        <v>28</v>
      </c>
      <c r="E115">
        <v>8</v>
      </c>
      <c r="F115">
        <v>0.30800198393511824</v>
      </c>
      <c r="G115">
        <v>21</v>
      </c>
      <c r="H115">
        <v>9</v>
      </c>
      <c r="I115">
        <v>0.89356257599132016</v>
      </c>
      <c r="J115">
        <v>328158040.25724453</v>
      </c>
      <c r="K115">
        <v>165465000</v>
      </c>
      <c r="L115">
        <v>79925521.32297498</v>
      </c>
      <c r="M115">
        <v>77274900</v>
      </c>
      <c r="N115">
        <v>15759805.439999999</v>
      </c>
      <c r="O115">
        <v>231.82691</v>
      </c>
      <c r="P115">
        <v>2.6402150907853033</v>
      </c>
      <c r="Q115">
        <v>43.829356199999999</v>
      </c>
      <c r="R115">
        <v>799.89346599999999</v>
      </c>
      <c r="S115">
        <v>2.0226526200000001E-10</v>
      </c>
      <c r="T115">
        <v>21.681995637912639</v>
      </c>
      <c r="U115">
        <v>100.934</v>
      </c>
      <c r="V115">
        <v>-598.36435911670219</v>
      </c>
      <c r="W115">
        <v>69.220414599999998</v>
      </c>
      <c r="X115">
        <v>94.852509600000005</v>
      </c>
      <c r="Y115">
        <v>177.97</v>
      </c>
      <c r="Z115">
        <v>254.333732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2.6402150907853033</v>
      </c>
    </row>
    <row r="116" spans="1:40" x14ac:dyDescent="0.3">
      <c r="A116">
        <v>35</v>
      </c>
      <c r="B116">
        <v>19</v>
      </c>
      <c r="C116">
        <v>1.2997828905234459</v>
      </c>
      <c r="D116">
        <v>29</v>
      </c>
      <c r="E116">
        <v>5</v>
      </c>
      <c r="F116">
        <v>0.53972254026062794</v>
      </c>
      <c r="G116">
        <v>10</v>
      </c>
      <c r="H116">
        <v>7</v>
      </c>
      <c r="I116">
        <v>0.70125219272075645</v>
      </c>
      <c r="J116">
        <v>327098748.12258208</v>
      </c>
      <c r="K116">
        <v>165458000</v>
      </c>
      <c r="L116">
        <v>79936633.326708868</v>
      </c>
      <c r="M116">
        <v>78046500</v>
      </c>
      <c r="N116">
        <v>15762382.32</v>
      </c>
      <c r="O116">
        <v>228.769092</v>
      </c>
      <c r="P116">
        <v>2.6573379709234031</v>
      </c>
      <c r="Q116">
        <v>43.925161500000002</v>
      </c>
      <c r="R116">
        <v>802.20486000000005</v>
      </c>
      <c r="S116">
        <v>1.0003665000000001E-8</v>
      </c>
      <c r="T116">
        <v>22.066860202991538</v>
      </c>
      <c r="U116">
        <v>91.850000000000009</v>
      </c>
      <c r="V116">
        <v>-540.68746200917974</v>
      </c>
      <c r="W116">
        <v>69.431046899999998</v>
      </c>
      <c r="X116">
        <v>95.982307000000006</v>
      </c>
      <c r="Y116">
        <v>177.97</v>
      </c>
      <c r="Z116">
        <v>256.71795100000003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2.6573379709234031</v>
      </c>
    </row>
    <row r="117" spans="1:40" x14ac:dyDescent="0.3">
      <c r="A117">
        <v>39</v>
      </c>
      <c r="B117">
        <v>11</v>
      </c>
      <c r="C117">
        <v>2.250528386349</v>
      </c>
      <c r="D117">
        <v>11</v>
      </c>
      <c r="E117">
        <v>7</v>
      </c>
      <c r="F117">
        <v>0.31334309840312513</v>
      </c>
      <c r="G117">
        <v>12</v>
      </c>
      <c r="H117">
        <v>9</v>
      </c>
      <c r="I117">
        <v>0.47410210548819648</v>
      </c>
      <c r="J117">
        <v>326928749.97206807</v>
      </c>
      <c r="K117">
        <v>165445000</v>
      </c>
      <c r="L117">
        <v>79942940.201598927</v>
      </c>
      <c r="M117">
        <v>77387100</v>
      </c>
      <c r="N117">
        <v>15763876.48</v>
      </c>
      <c r="O117">
        <v>231.44896</v>
      </c>
      <c r="P117">
        <v>2.6383995002434473</v>
      </c>
      <c r="Q117">
        <v>43.776947399999997</v>
      </c>
      <c r="R117">
        <v>801.19274399999995</v>
      </c>
      <c r="S117">
        <v>1.4057931800000001E-9</v>
      </c>
      <c r="T117">
        <v>21.563964000459809</v>
      </c>
      <c r="U117">
        <v>100.934</v>
      </c>
      <c r="V117">
        <v>-600.60268457757377</v>
      </c>
      <c r="W117">
        <v>69.260988499999996</v>
      </c>
      <c r="X117">
        <v>94.995848499999994</v>
      </c>
      <c r="Y117">
        <v>121.52199999999999</v>
      </c>
      <c r="Z117">
        <v>258.91933899999998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2.6383995002434473</v>
      </c>
    </row>
    <row r="118" spans="1:40" x14ac:dyDescent="0.3">
      <c r="A118">
        <v>27</v>
      </c>
      <c r="B118">
        <v>19</v>
      </c>
      <c r="C118">
        <v>6.2820054850237437</v>
      </c>
      <c r="D118">
        <v>18</v>
      </c>
      <c r="E118">
        <v>7</v>
      </c>
      <c r="F118">
        <v>0.30153517641386579</v>
      </c>
      <c r="G118">
        <v>18</v>
      </c>
      <c r="H118">
        <v>9</v>
      </c>
      <c r="I118">
        <v>0.7495475527796851</v>
      </c>
      <c r="J118">
        <v>327578272.79838115</v>
      </c>
      <c r="K118">
        <v>165448000</v>
      </c>
      <c r="L118">
        <v>79926121.928205267</v>
      </c>
      <c r="M118">
        <v>77267900</v>
      </c>
      <c r="N118">
        <v>15759942.32</v>
      </c>
      <c r="O118">
        <v>231.78971300000001</v>
      </c>
      <c r="P118">
        <v>2.6387503431446322</v>
      </c>
      <c r="Q118">
        <v>43.813982799999998</v>
      </c>
      <c r="R118">
        <v>800.13745000000006</v>
      </c>
      <c r="S118">
        <v>1.48264777E-9</v>
      </c>
      <c r="T118">
        <v>21.658732494286088</v>
      </c>
      <c r="U118">
        <v>100.934</v>
      </c>
      <c r="V118">
        <v>-602.80067257268945</v>
      </c>
      <c r="W118">
        <v>69.225141100000002</v>
      </c>
      <c r="X118">
        <v>94.874918300000004</v>
      </c>
      <c r="Y118">
        <v>165.7</v>
      </c>
      <c r="Z118">
        <v>254.34093200000001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2.6387503431446322</v>
      </c>
    </row>
    <row r="119" spans="1:40" x14ac:dyDescent="0.3">
      <c r="A119">
        <v>39</v>
      </c>
      <c r="B119">
        <v>19</v>
      </c>
      <c r="C119">
        <v>1.1532783152932977</v>
      </c>
      <c r="D119">
        <v>12</v>
      </c>
      <c r="E119">
        <v>6</v>
      </c>
      <c r="F119">
        <v>0.40274718479117311</v>
      </c>
      <c r="G119">
        <v>29</v>
      </c>
      <c r="H119">
        <v>7</v>
      </c>
      <c r="I119">
        <v>0.55641470599539633</v>
      </c>
      <c r="J119">
        <v>327140202.71437222</v>
      </c>
      <c r="K119">
        <v>165448000</v>
      </c>
      <c r="L119">
        <v>79929825.993273675</v>
      </c>
      <c r="M119">
        <v>77932900</v>
      </c>
      <c r="N119">
        <v>15760894.08</v>
      </c>
      <c r="O119">
        <v>228.86248699999999</v>
      </c>
      <c r="P119">
        <v>2.6583747737296104</v>
      </c>
      <c r="Q119">
        <v>43.816746000000002</v>
      </c>
      <c r="R119">
        <v>802.70708300000001</v>
      </c>
      <c r="S119">
        <v>2.8371845200000002E-9</v>
      </c>
      <c r="T119">
        <v>21.934276441078175</v>
      </c>
      <c r="U119">
        <v>100.934</v>
      </c>
      <c r="V119">
        <v>-525.65631148697128</v>
      </c>
      <c r="W119">
        <v>69.499794800000004</v>
      </c>
      <c r="X119">
        <v>96.271039900000005</v>
      </c>
      <c r="Y119">
        <v>144.29</v>
      </c>
      <c r="Z119">
        <v>253.72349500000001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2.6583747737296104</v>
      </c>
    </row>
    <row r="120" spans="1:40" x14ac:dyDescent="0.3">
      <c r="A120">
        <v>29</v>
      </c>
      <c r="B120">
        <v>19</v>
      </c>
      <c r="C120">
        <v>6.5673251774811323</v>
      </c>
      <c r="D120">
        <v>18</v>
      </c>
      <c r="E120">
        <v>14</v>
      </c>
      <c r="F120">
        <v>0.32671277947808758</v>
      </c>
      <c r="G120">
        <v>17</v>
      </c>
      <c r="H120">
        <v>7</v>
      </c>
      <c r="I120">
        <v>0.39157986727480798</v>
      </c>
      <c r="J120">
        <v>327730244.04963571</v>
      </c>
      <c r="K120">
        <v>165460000</v>
      </c>
      <c r="L120">
        <v>79936032.755787298</v>
      </c>
      <c r="M120">
        <v>77289200</v>
      </c>
      <c r="N120">
        <v>15762453.120000001</v>
      </c>
      <c r="O120">
        <v>231.578339</v>
      </c>
      <c r="P120">
        <v>2.6414270887878151</v>
      </c>
      <c r="Q120">
        <v>43.835466199999999</v>
      </c>
      <c r="R120">
        <v>800.32724499999995</v>
      </c>
      <c r="S120">
        <v>6.7539516300000003E-9</v>
      </c>
      <c r="T120">
        <v>21.712362141786119</v>
      </c>
      <c r="U120">
        <v>100.934</v>
      </c>
      <c r="V120">
        <v>-605.04820905938118</v>
      </c>
      <c r="W120">
        <v>69.221318699999998</v>
      </c>
      <c r="X120">
        <v>94.857744100000005</v>
      </c>
      <c r="Y120">
        <v>170.55</v>
      </c>
      <c r="Z120">
        <v>253.720359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2.6414270887878151</v>
      </c>
    </row>
    <row r="121" spans="1:40" x14ac:dyDescent="0.3">
      <c r="A121">
        <v>27</v>
      </c>
      <c r="B121">
        <v>10</v>
      </c>
      <c r="C121">
        <v>7.0442572310717644</v>
      </c>
      <c r="D121">
        <v>20</v>
      </c>
      <c r="E121">
        <v>6</v>
      </c>
      <c r="F121">
        <v>0.30282306091871269</v>
      </c>
      <c r="G121">
        <v>24</v>
      </c>
      <c r="H121">
        <v>12</v>
      </c>
      <c r="I121">
        <v>0.47174236035889594</v>
      </c>
      <c r="J121">
        <v>327977088.29745209</v>
      </c>
      <c r="K121">
        <v>165453000</v>
      </c>
      <c r="L121">
        <v>79927122.975134492</v>
      </c>
      <c r="M121">
        <v>77259800</v>
      </c>
      <c r="N121">
        <v>15760191.68</v>
      </c>
      <c r="O121">
        <v>231.81762800000001</v>
      </c>
      <c r="P121">
        <v>2.6398499363601737</v>
      </c>
      <c r="Q121">
        <v>43.813597299999998</v>
      </c>
      <c r="R121">
        <v>800.12228600000003</v>
      </c>
      <c r="S121">
        <v>9.1119857700000001E-9</v>
      </c>
      <c r="T121">
        <v>21.694768612144713</v>
      </c>
      <c r="U121">
        <v>100.934</v>
      </c>
      <c r="V121">
        <v>-598.20416070239241</v>
      </c>
      <c r="W121">
        <v>69.226919899999999</v>
      </c>
      <c r="X121">
        <v>94.881685000000004</v>
      </c>
      <c r="Y121">
        <v>170.55</v>
      </c>
      <c r="Z121">
        <v>254.24702400000001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2.6398499363601737</v>
      </c>
    </row>
    <row r="122" spans="1:40" x14ac:dyDescent="0.3">
      <c r="A122">
        <v>34</v>
      </c>
      <c r="B122">
        <v>16</v>
      </c>
      <c r="C122">
        <v>6.9400801284812825</v>
      </c>
      <c r="D122">
        <v>25</v>
      </c>
      <c r="E122">
        <v>12</v>
      </c>
      <c r="F122">
        <v>0.31189189651189919</v>
      </c>
      <c r="G122">
        <v>29</v>
      </c>
      <c r="H122">
        <v>9</v>
      </c>
      <c r="I122">
        <v>1.3689402872097651</v>
      </c>
      <c r="J122">
        <v>328503649.21345097</v>
      </c>
      <c r="K122">
        <v>165488000</v>
      </c>
      <c r="L122">
        <v>79925020.728633091</v>
      </c>
      <c r="M122">
        <v>77298500</v>
      </c>
      <c r="N122">
        <v>15759666.08</v>
      </c>
      <c r="O122">
        <v>231.72430399999999</v>
      </c>
      <c r="P122">
        <v>2.6423852201469855</v>
      </c>
      <c r="Q122">
        <v>43.832150300000002</v>
      </c>
      <c r="R122">
        <v>799.94764599999996</v>
      </c>
      <c r="S122">
        <v>1.10343527E-13</v>
      </c>
      <c r="T122">
        <v>21.638282933854878</v>
      </c>
      <c r="U122">
        <v>100.934</v>
      </c>
      <c r="V122">
        <v>-603.81443162809626</v>
      </c>
      <c r="W122">
        <v>69.219431499999999</v>
      </c>
      <c r="X122">
        <v>94.843613000000005</v>
      </c>
      <c r="Y122">
        <v>170.55</v>
      </c>
      <c r="Z122">
        <v>254.201089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2.6423852201469855</v>
      </c>
    </row>
    <row r="123" spans="1:40" x14ac:dyDescent="0.3">
      <c r="A123">
        <v>28</v>
      </c>
      <c r="B123">
        <v>19</v>
      </c>
      <c r="C123">
        <v>13.732588432950882</v>
      </c>
      <c r="D123">
        <v>25</v>
      </c>
      <c r="E123">
        <v>5</v>
      </c>
      <c r="F123">
        <v>0.30846011434370824</v>
      </c>
      <c r="G123">
        <v>21</v>
      </c>
      <c r="H123">
        <v>7</v>
      </c>
      <c r="I123">
        <v>0.58650930564826154</v>
      </c>
      <c r="J123">
        <v>329352751.24138093</v>
      </c>
      <c r="K123">
        <v>165534000</v>
      </c>
      <c r="L123">
        <v>79929225.379003972</v>
      </c>
      <c r="M123">
        <v>77227400</v>
      </c>
      <c r="N123">
        <v>15760749.84</v>
      </c>
      <c r="O123">
        <v>231.932525</v>
      </c>
      <c r="P123">
        <v>2.6447270066379485</v>
      </c>
      <c r="Q123">
        <v>43.8155079</v>
      </c>
      <c r="R123">
        <v>800.04977700000006</v>
      </c>
      <c r="S123">
        <v>5.5205909100000001E-8</v>
      </c>
      <c r="T123">
        <v>21.742730202002079</v>
      </c>
      <c r="U123">
        <v>100.934</v>
      </c>
      <c r="V123">
        <v>-596.51766436550997</v>
      </c>
      <c r="W123">
        <v>69.220360200000002</v>
      </c>
      <c r="X123">
        <v>94.850963800000002</v>
      </c>
      <c r="Y123">
        <v>177.97</v>
      </c>
      <c r="Z123">
        <v>254.09654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2.6447270066379485</v>
      </c>
    </row>
    <row r="124" spans="1:40" x14ac:dyDescent="0.3">
      <c r="A124">
        <v>32</v>
      </c>
      <c r="B124">
        <v>18</v>
      </c>
      <c r="C124">
        <v>4.1486927080068252</v>
      </c>
      <c r="D124">
        <v>15</v>
      </c>
      <c r="E124">
        <v>13</v>
      </c>
      <c r="F124">
        <v>0.30438479318482287</v>
      </c>
      <c r="G124">
        <v>13</v>
      </c>
      <c r="H124">
        <v>8</v>
      </c>
      <c r="I124">
        <v>1.191353215364547</v>
      </c>
      <c r="J124">
        <v>327246809.28466493</v>
      </c>
      <c r="K124">
        <v>165430000</v>
      </c>
      <c r="L124">
        <v>79926522.425989702</v>
      </c>
      <c r="M124">
        <v>76995200</v>
      </c>
      <c r="N124">
        <v>15760038.959999999</v>
      </c>
      <c r="O124">
        <v>232.38862700000001</v>
      </c>
      <c r="P124">
        <v>2.6358196159198184</v>
      </c>
      <c r="Q124">
        <v>43.705595700000003</v>
      </c>
      <c r="R124">
        <v>801.72749799999997</v>
      </c>
      <c r="S124">
        <v>6.8205932900000004E-14</v>
      </c>
      <c r="T124">
        <v>21.230588773126755</v>
      </c>
      <c r="U124">
        <v>100.934</v>
      </c>
      <c r="V124">
        <v>-616.7276658609718</v>
      </c>
      <c r="W124">
        <v>69.221171100000007</v>
      </c>
      <c r="X124">
        <v>94.858222499999997</v>
      </c>
      <c r="Y124">
        <v>121.52199999999999</v>
      </c>
      <c r="Z124">
        <v>254.62272200000001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2.6358196159198184</v>
      </c>
    </row>
    <row r="125" spans="1:40" x14ac:dyDescent="0.3">
      <c r="A125">
        <v>39</v>
      </c>
      <c r="B125">
        <v>11</v>
      </c>
      <c r="C125">
        <v>2.4018571751252455</v>
      </c>
      <c r="D125">
        <v>14</v>
      </c>
      <c r="E125">
        <v>12</v>
      </c>
      <c r="F125">
        <v>0.30362756159633891</v>
      </c>
      <c r="G125">
        <v>21</v>
      </c>
      <c r="H125">
        <v>14</v>
      </c>
      <c r="I125">
        <v>0.96519925311195665</v>
      </c>
      <c r="J125">
        <v>327233001.37931526</v>
      </c>
      <c r="K125">
        <v>165442000</v>
      </c>
      <c r="L125">
        <v>79924520.163463876</v>
      </c>
      <c r="M125">
        <v>77050500</v>
      </c>
      <c r="N125">
        <v>15759529.360000001</v>
      </c>
      <c r="O125">
        <v>232.16765699999999</v>
      </c>
      <c r="P125">
        <v>2.637464644990803</v>
      </c>
      <c r="Q125">
        <v>43.697463300000003</v>
      </c>
      <c r="R125">
        <v>801.89212399999997</v>
      </c>
      <c r="S125">
        <v>3.8492119499999998E-13</v>
      </c>
      <c r="T125">
        <v>21.248984653580017</v>
      </c>
      <c r="U125">
        <v>100.934</v>
      </c>
      <c r="V125">
        <v>-605.25568446119428</v>
      </c>
      <c r="W125">
        <v>69.253369599999999</v>
      </c>
      <c r="X125">
        <v>94.968532199999999</v>
      </c>
      <c r="Y125">
        <v>121.52199999999999</v>
      </c>
      <c r="Z125">
        <v>254.51134300000001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2.637464644990803</v>
      </c>
    </row>
    <row r="126" spans="1:40" x14ac:dyDescent="0.3">
      <c r="A126">
        <v>31</v>
      </c>
      <c r="B126">
        <v>15</v>
      </c>
      <c r="C126">
        <v>6.3526914206288074</v>
      </c>
      <c r="D126">
        <v>25</v>
      </c>
      <c r="E126">
        <v>7</v>
      </c>
      <c r="F126">
        <v>0.30700993098549062</v>
      </c>
      <c r="G126">
        <v>14</v>
      </c>
      <c r="H126">
        <v>7</v>
      </c>
      <c r="I126">
        <v>1.0279897982839843</v>
      </c>
      <c r="J126">
        <v>327840853.47680151</v>
      </c>
      <c r="K126">
        <v>165467000</v>
      </c>
      <c r="L126">
        <v>79927223.122846842</v>
      </c>
      <c r="M126">
        <v>77268500</v>
      </c>
      <c r="N126">
        <v>15760214.319999998</v>
      </c>
      <c r="O126">
        <v>231.829511</v>
      </c>
      <c r="P126">
        <v>2.6394166134532955</v>
      </c>
      <c r="Q126">
        <v>43.825392700000002</v>
      </c>
      <c r="R126">
        <v>799.97337199999993</v>
      </c>
      <c r="S126">
        <v>1.328946E-9</v>
      </c>
      <c r="T126">
        <v>21.689216134844429</v>
      </c>
      <c r="U126">
        <v>100.934</v>
      </c>
      <c r="V126">
        <v>-598.85804692776151</v>
      </c>
      <c r="W126">
        <v>69.220515800000001</v>
      </c>
      <c r="X126">
        <v>94.853236100000004</v>
      </c>
      <c r="Y126">
        <v>177.97</v>
      </c>
      <c r="Z126">
        <v>254.352844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2.6394166134532955</v>
      </c>
    </row>
    <row r="127" spans="1:40" x14ac:dyDescent="0.3">
      <c r="A127">
        <v>36</v>
      </c>
      <c r="B127">
        <v>18</v>
      </c>
      <c r="C127">
        <v>5.4533674793583264</v>
      </c>
      <c r="D127">
        <v>17</v>
      </c>
      <c r="E127">
        <v>11</v>
      </c>
      <c r="F127">
        <v>0.30861851015639724</v>
      </c>
      <c r="G127">
        <v>13</v>
      </c>
      <c r="H127">
        <v>9</v>
      </c>
      <c r="I127">
        <v>0.80685106361593451</v>
      </c>
      <c r="J127">
        <v>327594154.82776982</v>
      </c>
      <c r="K127">
        <v>165450000</v>
      </c>
      <c r="L127">
        <v>79927923.876816675</v>
      </c>
      <c r="M127">
        <v>77301900</v>
      </c>
      <c r="N127">
        <v>15760314.399999999</v>
      </c>
      <c r="O127">
        <v>231.693377</v>
      </c>
      <c r="P127">
        <v>2.6392843651023261</v>
      </c>
      <c r="Q127">
        <v>43.810662499999999</v>
      </c>
      <c r="R127">
        <v>800.38119700000004</v>
      </c>
      <c r="S127">
        <v>8.6697510999999999E-13</v>
      </c>
      <c r="T127">
        <v>21.578686739319465</v>
      </c>
      <c r="U127">
        <v>100.934</v>
      </c>
      <c r="V127">
        <v>-611.72304015369127</v>
      </c>
      <c r="W127">
        <v>69.219279599999993</v>
      </c>
      <c r="X127">
        <v>94.841763200000003</v>
      </c>
      <c r="Y127">
        <v>144.29</v>
      </c>
      <c r="Z127">
        <v>255.32950600000001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2.6392843651023261</v>
      </c>
    </row>
    <row r="128" spans="1:40" x14ac:dyDescent="0.3">
      <c r="A128">
        <v>33</v>
      </c>
      <c r="B128">
        <v>10</v>
      </c>
      <c r="C128">
        <v>2.4804898172951937</v>
      </c>
      <c r="D128">
        <v>15</v>
      </c>
      <c r="E128">
        <v>12</v>
      </c>
      <c r="F128">
        <v>0.32845525600437797</v>
      </c>
      <c r="G128">
        <v>29</v>
      </c>
      <c r="H128">
        <v>13</v>
      </c>
      <c r="I128">
        <v>0.4062796272922331</v>
      </c>
      <c r="J128">
        <v>327260346.18765891</v>
      </c>
      <c r="K128">
        <v>165448000</v>
      </c>
      <c r="L128">
        <v>79928724.782402232</v>
      </c>
      <c r="M128">
        <v>77260000</v>
      </c>
      <c r="N128">
        <v>15760615.120000001</v>
      </c>
      <c r="O128">
        <v>231.470215</v>
      </c>
      <c r="P128">
        <v>2.6416108521707455</v>
      </c>
      <c r="Q128">
        <v>43.7672721</v>
      </c>
      <c r="R128">
        <v>801.44048099999998</v>
      </c>
      <c r="S128">
        <v>1.1981125699999999E-13</v>
      </c>
      <c r="T128">
        <v>21.44894557506543</v>
      </c>
      <c r="U128">
        <v>100.934</v>
      </c>
      <c r="V128">
        <v>-603.8192083530613</v>
      </c>
      <c r="W128">
        <v>69.262421000000003</v>
      </c>
      <c r="X128">
        <v>95.002342100000007</v>
      </c>
      <c r="Y128">
        <v>121.52199999999999</v>
      </c>
      <c r="Z128">
        <v>253.95855299999999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2.6416108521707455</v>
      </c>
    </row>
    <row r="129" spans="1:40" x14ac:dyDescent="0.3">
      <c r="A129">
        <v>28</v>
      </c>
      <c r="B129">
        <v>10</v>
      </c>
      <c r="C129">
        <v>2.8735684684817837</v>
      </c>
      <c r="D129">
        <v>27</v>
      </c>
      <c r="E129">
        <v>5</v>
      </c>
      <c r="F129">
        <v>0.31873214163250685</v>
      </c>
      <c r="G129">
        <v>28</v>
      </c>
      <c r="H129">
        <v>7</v>
      </c>
      <c r="I129">
        <v>1.3860178255160407</v>
      </c>
      <c r="J129">
        <v>327467304.85180902</v>
      </c>
      <c r="K129">
        <v>165448000</v>
      </c>
      <c r="L129">
        <v>79925921.726050958</v>
      </c>
      <c r="M129">
        <v>77317700</v>
      </c>
      <c r="N129">
        <v>15759897.68</v>
      </c>
      <c r="O129">
        <v>231.61284499999999</v>
      </c>
      <c r="P129">
        <v>2.6394909979841912</v>
      </c>
      <c r="Q129">
        <v>43.817314199999998</v>
      </c>
      <c r="R129">
        <v>800.22837599999991</v>
      </c>
      <c r="S129">
        <v>4.9128675099999997E-8</v>
      </c>
      <c r="T129">
        <v>21.773771794337417</v>
      </c>
      <c r="U129">
        <v>100.934</v>
      </c>
      <c r="V129">
        <v>-584.16308774504341</v>
      </c>
      <c r="W129">
        <v>69.254958400000007</v>
      </c>
      <c r="X129">
        <v>94.977197599999997</v>
      </c>
      <c r="Y129">
        <v>177.97</v>
      </c>
      <c r="Z129">
        <v>254.29134999999999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2.6394909979841912</v>
      </c>
    </row>
    <row r="130" spans="1:40" x14ac:dyDescent="0.3">
      <c r="A130">
        <v>38</v>
      </c>
      <c r="B130">
        <v>10</v>
      </c>
      <c r="C130">
        <v>7.4621119167747532</v>
      </c>
      <c r="D130">
        <v>10</v>
      </c>
      <c r="E130">
        <v>5</v>
      </c>
      <c r="F130">
        <v>0.45599003504586011</v>
      </c>
      <c r="G130">
        <v>29</v>
      </c>
      <c r="H130">
        <v>9</v>
      </c>
      <c r="I130">
        <v>0.74766922256985435</v>
      </c>
      <c r="J130">
        <v>328319353.24694848</v>
      </c>
      <c r="K130">
        <v>165489000</v>
      </c>
      <c r="L130">
        <v>79925921.726050958</v>
      </c>
      <c r="M130">
        <v>77463300</v>
      </c>
      <c r="N130">
        <v>15759897.68</v>
      </c>
      <c r="O130">
        <v>230.615295</v>
      </c>
      <c r="P130">
        <v>2.6514143252574875</v>
      </c>
      <c r="Q130">
        <v>43.8843806</v>
      </c>
      <c r="R130">
        <v>801.60592200000008</v>
      </c>
      <c r="S130">
        <v>1.8920407699999999E-8</v>
      </c>
      <c r="T130">
        <v>21.784370037525985</v>
      </c>
      <c r="U130">
        <v>100.934</v>
      </c>
      <c r="V130">
        <v>-623.40571803665568</v>
      </c>
      <c r="W130">
        <v>69.223014399999997</v>
      </c>
      <c r="X130">
        <v>94.862488400000004</v>
      </c>
      <c r="Y130">
        <v>144.29</v>
      </c>
      <c r="Z130">
        <v>253.9341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2.6514143252574875</v>
      </c>
    </row>
    <row r="131" spans="1:40" x14ac:dyDescent="0.3">
      <c r="A131">
        <v>34</v>
      </c>
      <c r="B131">
        <v>14</v>
      </c>
      <c r="C131">
        <v>6.2476721431300266</v>
      </c>
      <c r="D131">
        <v>13</v>
      </c>
      <c r="E131">
        <v>6</v>
      </c>
      <c r="F131">
        <v>0.31515122432894233</v>
      </c>
      <c r="G131">
        <v>11</v>
      </c>
      <c r="H131">
        <v>9</v>
      </c>
      <c r="I131">
        <v>0.31245437758923889</v>
      </c>
      <c r="J131">
        <v>327537188.29655099</v>
      </c>
      <c r="K131">
        <v>165503000</v>
      </c>
      <c r="L131">
        <v>79976777.170157388</v>
      </c>
      <c r="M131">
        <v>77502900</v>
      </c>
      <c r="N131">
        <v>15772019.840000002</v>
      </c>
      <c r="O131">
        <v>231.640523</v>
      </c>
      <c r="P131">
        <v>2.6368992138001497</v>
      </c>
      <c r="Q131">
        <v>43.814119099999999</v>
      </c>
      <c r="R131">
        <v>800.53695199999993</v>
      </c>
      <c r="S131">
        <v>8.0715101800000008E-9</v>
      </c>
      <c r="T131">
        <v>21.663126235107256</v>
      </c>
      <c r="U131">
        <v>100.934</v>
      </c>
      <c r="V131">
        <v>-609.73118325749181</v>
      </c>
      <c r="W131">
        <v>69.220241299999998</v>
      </c>
      <c r="X131">
        <v>94.850549299999997</v>
      </c>
      <c r="Y131">
        <v>144.29</v>
      </c>
      <c r="Z131">
        <v>275.341341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2.6368992138001497</v>
      </c>
    </row>
    <row r="132" spans="1:40" x14ac:dyDescent="0.3">
      <c r="A132">
        <v>34</v>
      </c>
      <c r="B132">
        <v>10</v>
      </c>
      <c r="C132">
        <v>11.848835424157979</v>
      </c>
      <c r="D132">
        <v>29</v>
      </c>
      <c r="E132">
        <v>13</v>
      </c>
      <c r="F132">
        <v>0.3076902730264291</v>
      </c>
      <c r="G132">
        <v>12</v>
      </c>
      <c r="H132">
        <v>7</v>
      </c>
      <c r="I132">
        <v>0.6291168287733252</v>
      </c>
      <c r="J132">
        <v>329141462.57277793</v>
      </c>
      <c r="K132">
        <v>165537000</v>
      </c>
      <c r="L132">
        <v>79931627.870186046</v>
      </c>
      <c r="M132">
        <v>77303600</v>
      </c>
      <c r="N132">
        <v>15761254.48</v>
      </c>
      <c r="O132">
        <v>231.79987199999999</v>
      </c>
      <c r="P132">
        <v>2.6442277261387712</v>
      </c>
      <c r="Q132">
        <v>43.829973600000002</v>
      </c>
      <c r="R132">
        <v>799.8179520000001</v>
      </c>
      <c r="S132">
        <v>1.9538786699999999E-14</v>
      </c>
      <c r="T132">
        <v>21.640577296984134</v>
      </c>
      <c r="U132">
        <v>100.934</v>
      </c>
      <c r="V132">
        <v>-600.36396519547077</v>
      </c>
      <c r="W132">
        <v>69.221018799999996</v>
      </c>
      <c r="X132">
        <v>94.853794199999996</v>
      </c>
      <c r="Y132">
        <v>170.55</v>
      </c>
      <c r="Z132">
        <v>254.866983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2.6442277261387712</v>
      </c>
    </row>
    <row r="133" spans="1:40" x14ac:dyDescent="0.3">
      <c r="A133">
        <v>36</v>
      </c>
      <c r="B133">
        <v>16</v>
      </c>
      <c r="C133">
        <v>3.8339917118016631</v>
      </c>
      <c r="D133">
        <v>10</v>
      </c>
      <c r="E133">
        <v>5</v>
      </c>
      <c r="F133">
        <v>0.31876858156247739</v>
      </c>
      <c r="G133">
        <v>10</v>
      </c>
      <c r="H133">
        <v>7</v>
      </c>
      <c r="I133">
        <v>1.387091801865769</v>
      </c>
      <c r="J133">
        <v>327170389.37768245</v>
      </c>
      <c r="K133">
        <v>165435000</v>
      </c>
      <c r="L133">
        <v>79930126.250897154</v>
      </c>
      <c r="M133">
        <v>77258800</v>
      </c>
      <c r="N133">
        <v>15760860.800000001</v>
      </c>
      <c r="O133">
        <v>231.706649</v>
      </c>
      <c r="P133">
        <v>2.6384269837583281</v>
      </c>
      <c r="Q133">
        <v>43.793111799999998</v>
      </c>
      <c r="R133">
        <v>800.89615000000003</v>
      </c>
      <c r="S133">
        <v>5.3533190400000001E-8</v>
      </c>
      <c r="T133">
        <v>21.646551118837312</v>
      </c>
      <c r="U133">
        <v>100.934</v>
      </c>
      <c r="V133">
        <v>-611.84078750582717</v>
      </c>
      <c r="W133">
        <v>69.221018799999996</v>
      </c>
      <c r="X133">
        <v>94.856219699999997</v>
      </c>
      <c r="Y133">
        <v>144.29</v>
      </c>
      <c r="Z133">
        <v>255.44085200000001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2.6384269837583281</v>
      </c>
    </row>
    <row r="134" spans="1:40" x14ac:dyDescent="0.3">
      <c r="A134">
        <v>28</v>
      </c>
      <c r="B134">
        <v>19</v>
      </c>
      <c r="C134">
        <v>14.132073351626154</v>
      </c>
      <c r="D134">
        <v>19</v>
      </c>
      <c r="E134">
        <v>6</v>
      </c>
      <c r="F134">
        <v>0.32132430228632508</v>
      </c>
      <c r="G134">
        <v>27</v>
      </c>
      <c r="H134">
        <v>7</v>
      </c>
      <c r="I134">
        <v>1.1391351319657228</v>
      </c>
      <c r="J134">
        <v>329532572.86917841</v>
      </c>
      <c r="K134">
        <v>165534000</v>
      </c>
      <c r="L134">
        <v>79926322.119060293</v>
      </c>
      <c r="M134">
        <v>77291000</v>
      </c>
      <c r="N134">
        <v>15759989.600000001</v>
      </c>
      <c r="O134">
        <v>231.65683899999999</v>
      </c>
      <c r="P134">
        <v>2.6471894203659385</v>
      </c>
      <c r="Q134">
        <v>43.831603399999999</v>
      </c>
      <c r="R134">
        <v>800.24732600000004</v>
      </c>
      <c r="S134">
        <v>7.2056155699999997E-9</v>
      </c>
      <c r="T134">
        <v>21.709428043874592</v>
      </c>
      <c r="U134">
        <v>100.934</v>
      </c>
      <c r="V134">
        <v>-603.6577853421619</v>
      </c>
      <c r="W134">
        <v>69.220321100000007</v>
      </c>
      <c r="X134">
        <v>94.850684999999999</v>
      </c>
      <c r="Y134">
        <v>170.55</v>
      </c>
      <c r="Z134">
        <v>254.22272799999999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2.6471894203659385</v>
      </c>
    </row>
    <row r="135" spans="1:40" x14ac:dyDescent="0.3">
      <c r="A135">
        <v>39</v>
      </c>
      <c r="B135">
        <v>19</v>
      </c>
      <c r="C135">
        <v>13.831243599297382</v>
      </c>
      <c r="D135">
        <v>28</v>
      </c>
      <c r="E135">
        <v>12</v>
      </c>
      <c r="F135">
        <v>0.34089869665060984</v>
      </c>
      <c r="G135">
        <v>29</v>
      </c>
      <c r="H135">
        <v>9</v>
      </c>
      <c r="I135">
        <v>0.83778202086866416</v>
      </c>
      <c r="J135">
        <v>330073143.56322712</v>
      </c>
      <c r="K135">
        <v>165586000</v>
      </c>
      <c r="L135">
        <v>79925621.435351416</v>
      </c>
      <c r="M135">
        <v>77366300</v>
      </c>
      <c r="N135">
        <v>15759832.08</v>
      </c>
      <c r="O135">
        <v>231.40667300000001</v>
      </c>
      <c r="P135">
        <v>2.6511925540084911</v>
      </c>
      <c r="Q135">
        <v>43.865299299999997</v>
      </c>
      <c r="R135">
        <v>800.1291940000001</v>
      </c>
      <c r="S135">
        <v>4.7490337100000001E-14</v>
      </c>
      <c r="T135">
        <v>21.700646144068354</v>
      </c>
      <c r="U135">
        <v>100.934</v>
      </c>
      <c r="V135">
        <v>-605.47512661591327</v>
      </c>
      <c r="W135">
        <v>69.218587499999998</v>
      </c>
      <c r="X135">
        <v>94.826134699999997</v>
      </c>
      <c r="Y135">
        <v>177.97</v>
      </c>
      <c r="Z135">
        <v>254.07472200000001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2.6511925540084911</v>
      </c>
    </row>
    <row r="136" spans="1:40" x14ac:dyDescent="0.3">
      <c r="A136">
        <v>35</v>
      </c>
      <c r="B136">
        <v>10</v>
      </c>
      <c r="C136">
        <v>1.4831944558849839</v>
      </c>
      <c r="D136">
        <v>20</v>
      </c>
      <c r="E136">
        <v>14</v>
      </c>
      <c r="F136">
        <v>0.34551160993379737</v>
      </c>
      <c r="G136">
        <v>27</v>
      </c>
      <c r="H136">
        <v>7</v>
      </c>
      <c r="I136">
        <v>1.1650510993211085</v>
      </c>
      <c r="J136">
        <v>327147541.37539577</v>
      </c>
      <c r="K136">
        <v>165447000</v>
      </c>
      <c r="L136">
        <v>79926222.071192458</v>
      </c>
      <c r="M136">
        <v>77686000</v>
      </c>
      <c r="N136">
        <v>15759978.48</v>
      </c>
      <c r="O136">
        <v>230.03524100000001</v>
      </c>
      <c r="P136">
        <v>2.6495624222022895</v>
      </c>
      <c r="Q136">
        <v>43.812344500000002</v>
      </c>
      <c r="R136">
        <v>801.50053099999991</v>
      </c>
      <c r="S136">
        <v>8.5244831999999998E-16</v>
      </c>
      <c r="T136">
        <v>21.689346373133748</v>
      </c>
      <c r="U136">
        <v>100.934</v>
      </c>
      <c r="V136">
        <v>-556.42475234485164</v>
      </c>
      <c r="W136">
        <v>69.393089200000006</v>
      </c>
      <c r="X136">
        <v>95.805457599999997</v>
      </c>
      <c r="Y136">
        <v>144.29</v>
      </c>
      <c r="Z136">
        <v>253.987818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2.6495624222022895</v>
      </c>
    </row>
    <row r="137" spans="1:40" x14ac:dyDescent="0.3">
      <c r="A137">
        <v>30</v>
      </c>
      <c r="B137">
        <v>18</v>
      </c>
      <c r="C137">
        <v>4.3321679812745835</v>
      </c>
      <c r="D137">
        <v>10</v>
      </c>
      <c r="E137">
        <v>6</v>
      </c>
      <c r="F137">
        <v>0.30622573264798569</v>
      </c>
      <c r="G137">
        <v>22</v>
      </c>
      <c r="H137">
        <v>8</v>
      </c>
      <c r="I137">
        <v>0.91807601849091558</v>
      </c>
      <c r="J137">
        <v>327338358.47486573</v>
      </c>
      <c r="K137">
        <v>165428000</v>
      </c>
      <c r="L137">
        <v>79926021.785628945</v>
      </c>
      <c r="M137">
        <v>77191300</v>
      </c>
      <c r="N137">
        <v>15759912.959999999</v>
      </c>
      <c r="O137">
        <v>231.81285299999999</v>
      </c>
      <c r="P137">
        <v>2.6388621744220466</v>
      </c>
      <c r="Q137">
        <v>43.7757857</v>
      </c>
      <c r="R137">
        <v>801.03919599999995</v>
      </c>
      <c r="S137">
        <v>1.0015715800000001E-8</v>
      </c>
      <c r="T137">
        <v>21.556386448089036</v>
      </c>
      <c r="U137">
        <v>100.934</v>
      </c>
      <c r="V137">
        <v>-613.10863890306723</v>
      </c>
      <c r="W137">
        <v>69.222538700000001</v>
      </c>
      <c r="X137">
        <v>94.865413500000003</v>
      </c>
      <c r="Y137">
        <v>121.52199999999999</v>
      </c>
      <c r="Z137">
        <v>254.27911599999999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2.6388621744220466</v>
      </c>
    </row>
    <row r="138" spans="1:40" x14ac:dyDescent="0.3">
      <c r="A138">
        <v>38</v>
      </c>
      <c r="B138">
        <v>10</v>
      </c>
      <c r="C138">
        <v>6.8044523656643197</v>
      </c>
      <c r="D138">
        <v>22</v>
      </c>
      <c r="E138">
        <v>14</v>
      </c>
      <c r="F138">
        <v>0.31849535532230133</v>
      </c>
      <c r="G138">
        <v>18</v>
      </c>
      <c r="H138">
        <v>13</v>
      </c>
      <c r="I138">
        <v>1.3829704325468635</v>
      </c>
      <c r="J138">
        <v>328381689.43375099</v>
      </c>
      <c r="K138">
        <v>165489000</v>
      </c>
      <c r="L138">
        <v>79924620.284263402</v>
      </c>
      <c r="M138">
        <v>77298300</v>
      </c>
      <c r="N138">
        <v>15759548.960000001</v>
      </c>
      <c r="O138">
        <v>231.69819699999999</v>
      </c>
      <c r="P138">
        <v>2.6423484867508424</v>
      </c>
      <c r="Q138">
        <v>43.830384600000002</v>
      </c>
      <c r="R138">
        <v>800.15708299999994</v>
      </c>
      <c r="S138">
        <v>7.4140680499999996E-9</v>
      </c>
      <c r="T138">
        <v>21.71781798573452</v>
      </c>
      <c r="U138">
        <v>100.934</v>
      </c>
      <c r="V138">
        <v>-599.45881209853917</v>
      </c>
      <c r="W138">
        <v>69.223723699999994</v>
      </c>
      <c r="X138">
        <v>94.865187700000007</v>
      </c>
      <c r="Y138">
        <v>170.55</v>
      </c>
      <c r="Z138">
        <v>254.607077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2.6423484867508424</v>
      </c>
    </row>
    <row r="139" spans="1:40" x14ac:dyDescent="0.3">
      <c r="A139">
        <v>34</v>
      </c>
      <c r="B139">
        <v>19</v>
      </c>
      <c r="C139">
        <v>2.7104045812981168</v>
      </c>
      <c r="D139">
        <v>10</v>
      </c>
      <c r="E139">
        <v>8</v>
      </c>
      <c r="F139">
        <v>0.32245339857147953</v>
      </c>
      <c r="G139">
        <v>10</v>
      </c>
      <c r="H139">
        <v>7</v>
      </c>
      <c r="I139">
        <v>0.5270349344885692</v>
      </c>
      <c r="J139">
        <v>326787500.67319489</v>
      </c>
      <c r="K139">
        <v>165426000</v>
      </c>
      <c r="L139">
        <v>79941338.43583034</v>
      </c>
      <c r="M139">
        <v>77107900</v>
      </c>
      <c r="N139">
        <v>15763507.199999999</v>
      </c>
      <c r="O139">
        <v>232.182523</v>
      </c>
      <c r="P139">
        <v>2.6345977126393811</v>
      </c>
      <c r="Q139">
        <v>43.716989400000003</v>
      </c>
      <c r="R139">
        <v>801.95295399999998</v>
      </c>
      <c r="S139">
        <v>3.0342245200000002E-10</v>
      </c>
      <c r="T139">
        <v>21.292860896442871</v>
      </c>
      <c r="U139">
        <v>100.934</v>
      </c>
      <c r="V139">
        <v>-617.03720976498653</v>
      </c>
      <c r="W139">
        <v>69.224730300000004</v>
      </c>
      <c r="X139">
        <v>94.876608000000004</v>
      </c>
      <c r="Y139">
        <v>121.52199999999999</v>
      </c>
      <c r="Z139">
        <v>258.34903500000001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2.6345977126393811</v>
      </c>
    </row>
    <row r="140" spans="1:40" x14ac:dyDescent="0.3">
      <c r="A140">
        <v>36</v>
      </c>
      <c r="B140">
        <v>13</v>
      </c>
      <c r="C140">
        <v>3.5180681509728355</v>
      </c>
      <c r="D140">
        <v>15</v>
      </c>
      <c r="E140">
        <v>10</v>
      </c>
      <c r="F140">
        <v>0.33127433032217135</v>
      </c>
      <c r="G140">
        <v>12</v>
      </c>
      <c r="H140">
        <v>10</v>
      </c>
      <c r="I140">
        <v>0.35395329772707479</v>
      </c>
      <c r="J140">
        <v>327112552.99824935</v>
      </c>
      <c r="K140">
        <v>165477000</v>
      </c>
      <c r="L140">
        <v>79971571.419237077</v>
      </c>
      <c r="M140">
        <v>77536800</v>
      </c>
      <c r="N140">
        <v>15770735.92</v>
      </c>
      <c r="O140">
        <v>231.409896</v>
      </c>
      <c r="P140">
        <v>2.6371388548262211</v>
      </c>
      <c r="Q140">
        <v>43.8215115</v>
      </c>
      <c r="R140">
        <v>800.78523599999994</v>
      </c>
      <c r="S140">
        <v>3.4135597299999999E-12</v>
      </c>
      <c r="T140">
        <v>21.596405478472956</v>
      </c>
      <c r="U140">
        <v>100.934</v>
      </c>
      <c r="V140">
        <v>-614.07784299698835</v>
      </c>
      <c r="W140">
        <v>69.225568300000006</v>
      </c>
      <c r="X140">
        <v>94.875632499999995</v>
      </c>
      <c r="Y140">
        <v>144.29</v>
      </c>
      <c r="Z140">
        <v>274.27332699999999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2.6371388548262211</v>
      </c>
    </row>
    <row r="141" spans="1:40" x14ac:dyDescent="0.3">
      <c r="A141">
        <v>36</v>
      </c>
      <c r="B141">
        <v>17</v>
      </c>
      <c r="C141">
        <v>10.190130704306759</v>
      </c>
      <c r="D141">
        <v>16</v>
      </c>
      <c r="E141">
        <v>14</v>
      </c>
      <c r="F141">
        <v>0.30450257010424631</v>
      </c>
      <c r="G141">
        <v>12</v>
      </c>
      <c r="H141">
        <v>8</v>
      </c>
      <c r="I141">
        <v>0.33748569221415869</v>
      </c>
      <c r="J141">
        <v>328555712.87578422</v>
      </c>
      <c r="K141">
        <v>165530000</v>
      </c>
      <c r="L141">
        <v>79946944.584690586</v>
      </c>
      <c r="M141">
        <v>77043900</v>
      </c>
      <c r="N141">
        <v>15764948.560000001</v>
      </c>
      <c r="O141">
        <v>232.403673</v>
      </c>
      <c r="P141">
        <v>2.6404467073347884</v>
      </c>
      <c r="Q141">
        <v>43.706488</v>
      </c>
      <c r="R141">
        <v>801.70472599999994</v>
      </c>
      <c r="S141">
        <v>1.19478402E-14</v>
      </c>
      <c r="T141">
        <v>21.227490055896471</v>
      </c>
      <c r="U141">
        <v>100.934</v>
      </c>
      <c r="V141">
        <v>-617.38903455255343</v>
      </c>
      <c r="W141">
        <v>69.218847999999994</v>
      </c>
      <c r="X141">
        <v>94.8342648</v>
      </c>
      <c r="Y141">
        <v>121.52199999999999</v>
      </c>
      <c r="Z141">
        <v>257.31450999999998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2.6404467073347884</v>
      </c>
    </row>
    <row r="142" spans="1:40" x14ac:dyDescent="0.3">
      <c r="A142">
        <v>27</v>
      </c>
      <c r="B142">
        <v>10</v>
      </c>
      <c r="C142">
        <v>12.923815167087172</v>
      </c>
      <c r="D142">
        <v>11</v>
      </c>
      <c r="E142">
        <v>5</v>
      </c>
      <c r="F142">
        <v>0.34807103403449569</v>
      </c>
      <c r="G142">
        <v>29</v>
      </c>
      <c r="H142">
        <v>9</v>
      </c>
      <c r="I142">
        <v>0.92257071351225783</v>
      </c>
      <c r="J142">
        <v>329122988.52947789</v>
      </c>
      <c r="K142">
        <v>165532000</v>
      </c>
      <c r="L142">
        <v>79925421.215940028</v>
      </c>
      <c r="M142">
        <v>77308400</v>
      </c>
      <c r="N142">
        <v>15759780.640000001</v>
      </c>
      <c r="O142">
        <v>231.41740999999999</v>
      </c>
      <c r="P142">
        <v>2.6483566933056446</v>
      </c>
      <c r="Q142">
        <v>43.8240628</v>
      </c>
      <c r="R142">
        <v>800.88038200000005</v>
      </c>
      <c r="S142">
        <v>4.0067164499999999E-8</v>
      </c>
      <c r="T142">
        <v>21.703224305107216</v>
      </c>
      <c r="U142">
        <v>100.934</v>
      </c>
      <c r="V142">
        <v>-612.4372140229965</v>
      </c>
      <c r="W142">
        <v>69.222701799999996</v>
      </c>
      <c r="X142">
        <v>94.865214600000002</v>
      </c>
      <c r="Y142">
        <v>144.29</v>
      </c>
      <c r="Z142">
        <v>254.191587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2.6483566933056446</v>
      </c>
    </row>
    <row r="143" spans="1:40" x14ac:dyDescent="0.3">
      <c r="A143">
        <v>29</v>
      </c>
      <c r="B143">
        <v>16</v>
      </c>
      <c r="C143">
        <v>6.2138615119348151</v>
      </c>
      <c r="D143">
        <v>17</v>
      </c>
      <c r="E143">
        <v>11</v>
      </c>
      <c r="F143">
        <v>0.30494063138702032</v>
      </c>
      <c r="G143">
        <v>13</v>
      </c>
      <c r="H143">
        <v>10</v>
      </c>
      <c r="I143">
        <v>0.53296637192745056</v>
      </c>
      <c r="J143">
        <v>327565870.43777126</v>
      </c>
      <c r="K143">
        <v>165443000</v>
      </c>
      <c r="L143">
        <v>79938034.927918926</v>
      </c>
      <c r="M143">
        <v>77357900</v>
      </c>
      <c r="N143">
        <v>15762690.4</v>
      </c>
      <c r="O143">
        <v>231.72355099999999</v>
      </c>
      <c r="P143">
        <v>2.6376576757740633</v>
      </c>
      <c r="Q143">
        <v>43.806386799999999</v>
      </c>
      <c r="R143">
        <v>800.36076400000002</v>
      </c>
      <c r="S143">
        <v>9.5875403600000009E-13</v>
      </c>
      <c r="T143">
        <v>21.573972529091236</v>
      </c>
      <c r="U143">
        <v>100.934</v>
      </c>
      <c r="V143">
        <v>-610.55954302425505</v>
      </c>
      <c r="W143">
        <v>69.221418</v>
      </c>
      <c r="X143">
        <v>94.859132200000005</v>
      </c>
      <c r="Y143">
        <v>144.29</v>
      </c>
      <c r="Z143">
        <v>258.38253600000002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2.6376576757740633</v>
      </c>
    </row>
    <row r="144" spans="1:40" x14ac:dyDescent="0.3">
      <c r="A144">
        <v>37</v>
      </c>
      <c r="B144">
        <v>19</v>
      </c>
      <c r="C144">
        <v>11.767319851943023</v>
      </c>
      <c r="D144">
        <v>16</v>
      </c>
      <c r="E144">
        <v>14</v>
      </c>
      <c r="F144">
        <v>0.30998983210228176</v>
      </c>
      <c r="G144">
        <v>25</v>
      </c>
      <c r="H144">
        <v>14</v>
      </c>
      <c r="I144">
        <v>1.378263934959953</v>
      </c>
      <c r="J144">
        <v>329284217.31289977</v>
      </c>
      <c r="K144">
        <v>165532000</v>
      </c>
      <c r="L144">
        <v>79924420.02807802</v>
      </c>
      <c r="M144">
        <v>76999400</v>
      </c>
      <c r="N144">
        <v>15759504.880000001</v>
      </c>
      <c r="O144">
        <v>232.35628500000001</v>
      </c>
      <c r="P144">
        <v>2.6439970365041892</v>
      </c>
      <c r="Q144">
        <v>43.711106999999998</v>
      </c>
      <c r="R144">
        <v>801.70757200000003</v>
      </c>
      <c r="S144">
        <v>9.9823652800000006E-15</v>
      </c>
      <c r="T144">
        <v>21.234240067506281</v>
      </c>
      <c r="U144">
        <v>100.934</v>
      </c>
      <c r="V144">
        <v>-617.9507163098225</v>
      </c>
      <c r="W144">
        <v>69.218694999999997</v>
      </c>
      <c r="X144">
        <v>94.829319699999999</v>
      </c>
      <c r="Y144">
        <v>121.52199999999999</v>
      </c>
      <c r="Z144">
        <v>254.40830700000001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2.6439970365041892</v>
      </c>
    </row>
    <row r="145" spans="1:40" x14ac:dyDescent="0.3">
      <c r="A145">
        <v>27</v>
      </c>
      <c r="B145">
        <v>10</v>
      </c>
      <c r="C145">
        <v>7.3576709104066769</v>
      </c>
      <c r="D145">
        <v>29</v>
      </c>
      <c r="E145">
        <v>5</v>
      </c>
      <c r="F145">
        <v>0.36297889610295891</v>
      </c>
      <c r="G145">
        <v>29</v>
      </c>
      <c r="H145">
        <v>14</v>
      </c>
      <c r="I145">
        <v>1.2716779926419517</v>
      </c>
      <c r="J145">
        <v>328541230.18243021</v>
      </c>
      <c r="K145">
        <v>165489000</v>
      </c>
      <c r="L145">
        <v>79924420.02807802</v>
      </c>
      <c r="M145">
        <v>77349400</v>
      </c>
      <c r="N145">
        <v>15759504.880000001</v>
      </c>
      <c r="O145">
        <v>231.446639</v>
      </c>
      <c r="P145">
        <v>2.6447137669416567</v>
      </c>
      <c r="Q145">
        <v>43.859847500000001</v>
      </c>
      <c r="R145">
        <v>800.28391600000009</v>
      </c>
      <c r="S145">
        <v>3.3321643599999998E-8</v>
      </c>
      <c r="T145">
        <v>21.804015063616241</v>
      </c>
      <c r="U145">
        <v>100.934</v>
      </c>
      <c r="V145">
        <v>-596.71957464811339</v>
      </c>
      <c r="W145">
        <v>69.226439299999996</v>
      </c>
      <c r="X145">
        <v>94.879786300000006</v>
      </c>
      <c r="Y145">
        <v>177.97</v>
      </c>
      <c r="Z145">
        <v>254.28668300000001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2.6447137669416567</v>
      </c>
    </row>
    <row r="146" spans="1:40" x14ac:dyDescent="0.3">
      <c r="A146">
        <v>37</v>
      </c>
      <c r="B146">
        <v>10</v>
      </c>
      <c r="C146">
        <v>7.6429696479780986</v>
      </c>
      <c r="D146">
        <v>11</v>
      </c>
      <c r="E146">
        <v>9</v>
      </c>
      <c r="F146">
        <v>0.35121613691054221</v>
      </c>
      <c r="G146">
        <v>12</v>
      </c>
      <c r="H146">
        <v>7</v>
      </c>
      <c r="I146">
        <v>0.52133023932205824</v>
      </c>
      <c r="J146">
        <v>327874075.24481159</v>
      </c>
      <c r="K146">
        <v>165461000</v>
      </c>
      <c r="L146">
        <v>79933229.710118964</v>
      </c>
      <c r="M146">
        <v>77106500</v>
      </c>
      <c r="N146">
        <v>15761666.639999999</v>
      </c>
      <c r="O146">
        <v>231.92956899999999</v>
      </c>
      <c r="P146">
        <v>2.6413443329587771</v>
      </c>
      <c r="Q146">
        <v>43.7416196</v>
      </c>
      <c r="R146">
        <v>802.00197799999989</v>
      </c>
      <c r="S146">
        <v>3.0361905299999997E-11</v>
      </c>
      <c r="T146">
        <v>21.321984454723435</v>
      </c>
      <c r="U146">
        <v>100.934</v>
      </c>
      <c r="V146">
        <v>-620.30277229637193</v>
      </c>
      <c r="W146">
        <v>69.222936099999998</v>
      </c>
      <c r="X146">
        <v>94.8625732</v>
      </c>
      <c r="Y146">
        <v>121.52199999999999</v>
      </c>
      <c r="Z146">
        <v>255.003939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2.6413443329587771</v>
      </c>
    </row>
    <row r="147" spans="1:40" x14ac:dyDescent="0.3">
      <c r="A147">
        <v>30</v>
      </c>
      <c r="B147">
        <v>10</v>
      </c>
      <c r="C147">
        <v>2.0209784610604684</v>
      </c>
      <c r="D147">
        <v>20</v>
      </c>
      <c r="E147">
        <v>11</v>
      </c>
      <c r="F147">
        <v>0.30558395299170932</v>
      </c>
      <c r="G147">
        <v>12</v>
      </c>
      <c r="H147">
        <v>10</v>
      </c>
      <c r="I147">
        <v>1.2571590148663545</v>
      </c>
      <c r="J147">
        <v>326721838.57278925</v>
      </c>
      <c r="K147">
        <v>165412000</v>
      </c>
      <c r="L147">
        <v>79928524.537927002</v>
      </c>
      <c r="M147">
        <v>77511200</v>
      </c>
      <c r="N147">
        <v>15760353.76</v>
      </c>
      <c r="O147">
        <v>231.18710200000001</v>
      </c>
      <c r="P147">
        <v>2.6377806518961027</v>
      </c>
      <c r="Q147">
        <v>43.803082500000002</v>
      </c>
      <c r="R147">
        <v>800.47133000000008</v>
      </c>
      <c r="S147">
        <v>8.18358567E-13</v>
      </c>
      <c r="T147">
        <v>21.648354099698327</v>
      </c>
      <c r="U147">
        <v>100.934</v>
      </c>
      <c r="V147">
        <v>-579.71582320358777</v>
      </c>
      <c r="W147">
        <v>69.298351100000005</v>
      </c>
      <c r="X147">
        <v>95.136536000000007</v>
      </c>
      <c r="Y147">
        <v>144.29</v>
      </c>
      <c r="Z147">
        <v>257.81298099999998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2.6377806518961027</v>
      </c>
    </row>
    <row r="148" spans="1:40" x14ac:dyDescent="0.3">
      <c r="A148">
        <v>36</v>
      </c>
      <c r="B148">
        <v>10</v>
      </c>
      <c r="C148">
        <v>7.2857708032013537</v>
      </c>
      <c r="D148">
        <v>10</v>
      </c>
      <c r="E148">
        <v>7</v>
      </c>
      <c r="F148">
        <v>0.33776925791410001</v>
      </c>
      <c r="G148">
        <v>24</v>
      </c>
      <c r="H148">
        <v>14</v>
      </c>
      <c r="I148">
        <v>1.202569084916338</v>
      </c>
      <c r="J148">
        <v>328183541.22186857</v>
      </c>
      <c r="K148">
        <v>165471000</v>
      </c>
      <c r="L148">
        <v>79924820.539216146</v>
      </c>
      <c r="M148">
        <v>77200200</v>
      </c>
      <c r="N148">
        <v>15759623.040000001</v>
      </c>
      <c r="O148">
        <v>231.651937</v>
      </c>
      <c r="P148">
        <v>2.64382186011817</v>
      </c>
      <c r="Q148">
        <v>43.778526300000003</v>
      </c>
      <c r="R148">
        <v>801.514455</v>
      </c>
      <c r="S148">
        <v>1.1495847400000001E-9</v>
      </c>
      <c r="T148">
        <v>21.487596247290583</v>
      </c>
      <c r="U148">
        <v>100.934</v>
      </c>
      <c r="V148">
        <v>-617.89805550829328</v>
      </c>
      <c r="W148">
        <v>69.223307500000004</v>
      </c>
      <c r="X148">
        <v>94.864369499999995</v>
      </c>
      <c r="Y148">
        <v>121.52199999999999</v>
      </c>
      <c r="Z148">
        <v>254.31637599999999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2.64382186011817</v>
      </c>
    </row>
    <row r="149" spans="1:40" x14ac:dyDescent="0.3">
      <c r="A149">
        <v>38</v>
      </c>
      <c r="B149">
        <v>19</v>
      </c>
      <c r="C149">
        <v>9.8314336525392356</v>
      </c>
      <c r="D149">
        <v>20</v>
      </c>
      <c r="E149">
        <v>14</v>
      </c>
      <c r="F149">
        <v>0.31440464739499985</v>
      </c>
      <c r="G149">
        <v>10</v>
      </c>
      <c r="H149">
        <v>8</v>
      </c>
      <c r="I149">
        <v>1.3106908036480671</v>
      </c>
      <c r="J149">
        <v>328718191.68877435</v>
      </c>
      <c r="K149">
        <v>165517000</v>
      </c>
      <c r="L149">
        <v>79931728.015433103</v>
      </c>
      <c r="M149">
        <v>77363300</v>
      </c>
      <c r="N149">
        <v>15761161.120000001</v>
      </c>
      <c r="O149">
        <v>231.70623499999999</v>
      </c>
      <c r="P149">
        <v>2.6425378061295857</v>
      </c>
      <c r="Q149">
        <v>43.829880199999998</v>
      </c>
      <c r="R149">
        <v>800.14545099999998</v>
      </c>
      <c r="S149">
        <v>1.19293433E-9</v>
      </c>
      <c r="T149">
        <v>21.68216784228726</v>
      </c>
      <c r="U149">
        <v>100.934</v>
      </c>
      <c r="V149">
        <v>-603.76990519882133</v>
      </c>
      <c r="W149">
        <v>69.218705299999996</v>
      </c>
      <c r="X149">
        <v>94.829871100000005</v>
      </c>
      <c r="Y149">
        <v>170.55</v>
      </c>
      <c r="Z149">
        <v>257.64963999999998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2.6425378061295857</v>
      </c>
    </row>
    <row r="150" spans="1:40" x14ac:dyDescent="0.3">
      <c r="A150">
        <v>37</v>
      </c>
      <c r="B150">
        <v>12</v>
      </c>
      <c r="C150">
        <v>3.7861310545717894</v>
      </c>
      <c r="D150">
        <v>23</v>
      </c>
      <c r="E150">
        <v>5</v>
      </c>
      <c r="F150">
        <v>0.31009140832071846</v>
      </c>
      <c r="G150">
        <v>10</v>
      </c>
      <c r="H150">
        <v>8</v>
      </c>
      <c r="I150">
        <v>0.93935878910350823</v>
      </c>
      <c r="J150">
        <v>327326044.71390635</v>
      </c>
      <c r="K150">
        <v>165456000</v>
      </c>
      <c r="L150">
        <v>79935832.460568056</v>
      </c>
      <c r="M150">
        <v>77359200</v>
      </c>
      <c r="N150">
        <v>15762106.32</v>
      </c>
      <c r="O150">
        <v>231.856593</v>
      </c>
      <c r="P150">
        <v>2.6356647266718713</v>
      </c>
      <c r="Q150">
        <v>43.814649699999997</v>
      </c>
      <c r="R150">
        <v>800.12448300000005</v>
      </c>
      <c r="S150">
        <v>5.4249319600000001E-8</v>
      </c>
      <c r="T150">
        <v>21.742608002824241</v>
      </c>
      <c r="U150">
        <v>100.934</v>
      </c>
      <c r="V150">
        <v>-595.26922417103367</v>
      </c>
      <c r="W150">
        <v>69.226461400000005</v>
      </c>
      <c r="X150">
        <v>94.877959000000004</v>
      </c>
      <c r="Y150">
        <v>177.97</v>
      </c>
      <c r="Z150">
        <v>259.314482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2.6356647266718713</v>
      </c>
    </row>
    <row r="151" spans="1:40" x14ac:dyDescent="0.3">
      <c r="A151">
        <v>31</v>
      </c>
      <c r="B151">
        <v>16</v>
      </c>
      <c r="C151">
        <v>3.3939591758178831</v>
      </c>
      <c r="D151">
        <v>23</v>
      </c>
      <c r="E151">
        <v>10</v>
      </c>
      <c r="F151">
        <v>0.3346518004311631</v>
      </c>
      <c r="G151">
        <v>13</v>
      </c>
      <c r="H151">
        <v>11</v>
      </c>
      <c r="I151">
        <v>0.34714551576054786</v>
      </c>
      <c r="J151">
        <v>327185790.60533184</v>
      </c>
      <c r="K151">
        <v>165479000</v>
      </c>
      <c r="L151">
        <v>79972872.848492697</v>
      </c>
      <c r="M151">
        <v>77583800</v>
      </c>
      <c r="N151">
        <v>15771053.120000001</v>
      </c>
      <c r="O151">
        <v>231.40607900000001</v>
      </c>
      <c r="P151">
        <v>2.6365387770584343</v>
      </c>
      <c r="Q151">
        <v>43.853473700000002</v>
      </c>
      <c r="R151">
        <v>800.22970000000009</v>
      </c>
      <c r="S151">
        <v>2.6590481800000001E-12</v>
      </c>
      <c r="T151">
        <v>21.691205779514284</v>
      </c>
      <c r="U151">
        <v>100.934</v>
      </c>
      <c r="V151">
        <v>-604.80109460521214</v>
      </c>
      <c r="W151">
        <v>69.225069300000001</v>
      </c>
      <c r="X151">
        <v>94.8767833</v>
      </c>
      <c r="Y151">
        <v>170.55</v>
      </c>
      <c r="Z151">
        <v>274.522874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2.6365387770584343</v>
      </c>
    </row>
    <row r="152" spans="1:40" x14ac:dyDescent="0.3">
      <c r="A152">
        <v>27</v>
      </c>
      <c r="B152">
        <v>19</v>
      </c>
      <c r="C152">
        <v>8.546521858349875</v>
      </c>
      <c r="D152">
        <v>13</v>
      </c>
      <c r="E152">
        <v>11</v>
      </c>
      <c r="F152">
        <v>0.30105956824117064</v>
      </c>
      <c r="G152">
        <v>24</v>
      </c>
      <c r="H152">
        <v>7</v>
      </c>
      <c r="I152">
        <v>1.114362305306575</v>
      </c>
      <c r="J152">
        <v>328252493.48487073</v>
      </c>
      <c r="K152">
        <v>165471000</v>
      </c>
      <c r="L152">
        <v>79926222.00257504</v>
      </c>
      <c r="M152">
        <v>76979700</v>
      </c>
      <c r="N152">
        <v>15759962.4</v>
      </c>
      <c r="O152">
        <v>232.40439699999999</v>
      </c>
      <c r="P152">
        <v>2.6396515453165135</v>
      </c>
      <c r="Q152">
        <v>43.7023467</v>
      </c>
      <c r="R152">
        <v>801.76908500000002</v>
      </c>
      <c r="S152">
        <v>7.3235669100000008E-12</v>
      </c>
      <c r="T152">
        <v>21.234751098551698</v>
      </c>
      <c r="U152">
        <v>100.934</v>
      </c>
      <c r="V152">
        <v>-616.32563841737579</v>
      </c>
      <c r="W152">
        <v>69.222837499999997</v>
      </c>
      <c r="X152">
        <v>94.864393800000002</v>
      </c>
      <c r="Y152">
        <v>121.52199999999999</v>
      </c>
      <c r="Z152">
        <v>254.44203400000001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2.6396515453165135</v>
      </c>
    </row>
    <row r="153" spans="1:40" x14ac:dyDescent="0.3">
      <c r="A153">
        <v>38</v>
      </c>
      <c r="B153">
        <v>18</v>
      </c>
      <c r="C153">
        <v>6.0918272798894604</v>
      </c>
      <c r="D153">
        <v>29</v>
      </c>
      <c r="E153">
        <v>14</v>
      </c>
      <c r="F153">
        <v>0.33124450270210876</v>
      </c>
      <c r="G153">
        <v>29</v>
      </c>
      <c r="H153">
        <v>14</v>
      </c>
      <c r="I153">
        <v>0.30999002240678486</v>
      </c>
      <c r="J153">
        <v>328471753.62806392</v>
      </c>
      <c r="K153">
        <v>165518000</v>
      </c>
      <c r="L153">
        <v>79940737.851349637</v>
      </c>
      <c r="M153">
        <v>77315700</v>
      </c>
      <c r="N153">
        <v>15763647.360000001</v>
      </c>
      <c r="O153">
        <v>231.5257</v>
      </c>
      <c r="P153">
        <v>2.6448024004100237</v>
      </c>
      <c r="Q153">
        <v>43.854532200000001</v>
      </c>
      <c r="R153">
        <v>800.00844299999994</v>
      </c>
      <c r="S153">
        <v>1.35403239E-15</v>
      </c>
      <c r="T153">
        <v>21.672613019666187</v>
      </c>
      <c r="U153">
        <v>100.934</v>
      </c>
      <c r="V153">
        <v>-604.73530813674199</v>
      </c>
      <c r="W153">
        <v>69.219011600000002</v>
      </c>
      <c r="X153">
        <v>94.837563900000006</v>
      </c>
      <c r="Y153">
        <v>170.55</v>
      </c>
      <c r="Z153">
        <v>253.20258000000001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2.6448024004100237</v>
      </c>
    </row>
    <row r="154" spans="1:40" x14ac:dyDescent="0.3">
      <c r="A154">
        <v>27</v>
      </c>
      <c r="B154">
        <v>19</v>
      </c>
      <c r="C154">
        <v>10.332902230950035</v>
      </c>
      <c r="D154">
        <v>25</v>
      </c>
      <c r="E154">
        <v>14</v>
      </c>
      <c r="F154">
        <v>0.34718038786952454</v>
      </c>
      <c r="G154">
        <v>12</v>
      </c>
      <c r="H154">
        <v>9</v>
      </c>
      <c r="I154">
        <v>0.46494998357316875</v>
      </c>
      <c r="J154">
        <v>328430232.96024579</v>
      </c>
      <c r="K154">
        <v>165512000</v>
      </c>
      <c r="L154">
        <v>79944642.08713983</v>
      </c>
      <c r="M154">
        <v>77495000</v>
      </c>
      <c r="N154">
        <v>15764297.52</v>
      </c>
      <c r="O154">
        <v>231.24462700000001</v>
      </c>
      <c r="P154">
        <v>2.6443579304642895</v>
      </c>
      <c r="Q154">
        <v>43.867286999999997</v>
      </c>
      <c r="R154">
        <v>800.33277499999997</v>
      </c>
      <c r="S154">
        <v>3.6531543700000003E-12</v>
      </c>
      <c r="T154">
        <v>21.687534471382687</v>
      </c>
      <c r="U154">
        <v>100.934</v>
      </c>
      <c r="V154">
        <v>-610.27485687321473</v>
      </c>
      <c r="W154">
        <v>69.222031200000004</v>
      </c>
      <c r="X154">
        <v>94.860470399999997</v>
      </c>
      <c r="Y154">
        <v>165.7</v>
      </c>
      <c r="Z154">
        <v>258.89222000000001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2.6443579304642895</v>
      </c>
    </row>
    <row r="155" spans="1:40" x14ac:dyDescent="0.3">
      <c r="A155">
        <v>33</v>
      </c>
      <c r="B155">
        <v>13</v>
      </c>
      <c r="C155">
        <v>3.189277176526903</v>
      </c>
      <c r="D155">
        <v>23</v>
      </c>
      <c r="E155">
        <v>5</v>
      </c>
      <c r="F155">
        <v>0.31418810183928814</v>
      </c>
      <c r="G155">
        <v>10</v>
      </c>
      <c r="H155">
        <v>8</v>
      </c>
      <c r="I155">
        <v>0.51634886843974259</v>
      </c>
      <c r="J155">
        <v>327151864.34401995</v>
      </c>
      <c r="K155">
        <v>165460000</v>
      </c>
      <c r="L155">
        <v>79955253.600279734</v>
      </c>
      <c r="M155">
        <v>77439200</v>
      </c>
      <c r="N155">
        <v>15766775.359999999</v>
      </c>
      <c r="O155">
        <v>231.80217300000001</v>
      </c>
      <c r="P155">
        <v>2.6343260841391061</v>
      </c>
      <c r="Q155">
        <v>43.817419000000001</v>
      </c>
      <c r="R155">
        <v>800.15488300000004</v>
      </c>
      <c r="S155">
        <v>5.20298691E-8</v>
      </c>
      <c r="T155">
        <v>21.747955076032909</v>
      </c>
      <c r="U155">
        <v>100.934</v>
      </c>
      <c r="V155">
        <v>-594.71322110025915</v>
      </c>
      <c r="W155">
        <v>69.229119299999994</v>
      </c>
      <c r="X155">
        <v>94.890860900000007</v>
      </c>
      <c r="Y155">
        <v>177.97</v>
      </c>
      <c r="Z155">
        <v>263.75144499999999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2.6343260841391061</v>
      </c>
    </row>
    <row r="156" spans="1:40" x14ac:dyDescent="0.3">
      <c r="A156">
        <v>33</v>
      </c>
      <c r="B156">
        <v>12</v>
      </c>
      <c r="C156">
        <v>2.4403340919862218</v>
      </c>
      <c r="D156">
        <v>12</v>
      </c>
      <c r="E156">
        <v>5</v>
      </c>
      <c r="F156">
        <v>0.30876752727563572</v>
      </c>
      <c r="G156">
        <v>24</v>
      </c>
      <c r="H156">
        <v>7</v>
      </c>
      <c r="I156">
        <v>0.55963013619811119</v>
      </c>
      <c r="J156">
        <v>327048038.37894905</v>
      </c>
      <c r="K156">
        <v>165432000</v>
      </c>
      <c r="L156">
        <v>79929625.768315375</v>
      </c>
      <c r="M156">
        <v>77279700</v>
      </c>
      <c r="N156">
        <v>15760841.200000001</v>
      </c>
      <c r="O156">
        <v>231.587942</v>
      </c>
      <c r="P156">
        <v>2.6389651741670952</v>
      </c>
      <c r="Q156">
        <v>43.793800900000001</v>
      </c>
      <c r="R156">
        <v>800.67301300000008</v>
      </c>
      <c r="S156">
        <v>5.6371137800000003E-8</v>
      </c>
      <c r="T156">
        <v>21.699990724079747</v>
      </c>
      <c r="U156">
        <v>100.934</v>
      </c>
      <c r="V156">
        <v>-598.13860123296104</v>
      </c>
      <c r="W156">
        <v>69.247705699999997</v>
      </c>
      <c r="X156">
        <v>94.957607999999993</v>
      </c>
      <c r="Y156">
        <v>144.29</v>
      </c>
      <c r="Z156">
        <v>254.0121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2.6389651741670952</v>
      </c>
    </row>
    <row r="157" spans="1:40" x14ac:dyDescent="0.3">
      <c r="A157">
        <v>36</v>
      </c>
      <c r="B157">
        <v>10</v>
      </c>
      <c r="C157">
        <v>1.8693761028702163</v>
      </c>
      <c r="D157">
        <v>20</v>
      </c>
      <c r="E157">
        <v>6</v>
      </c>
      <c r="F157">
        <v>0.30654463507685609</v>
      </c>
      <c r="G157">
        <v>13</v>
      </c>
      <c r="H157">
        <v>11</v>
      </c>
      <c r="I157">
        <v>0.67852344180817092</v>
      </c>
      <c r="J157">
        <v>326764218.8972398</v>
      </c>
      <c r="K157">
        <v>165443000</v>
      </c>
      <c r="L157">
        <v>79940637.750272483</v>
      </c>
      <c r="M157">
        <v>77573400</v>
      </c>
      <c r="N157">
        <v>15763226.08</v>
      </c>
      <c r="O157">
        <v>231.193116</v>
      </c>
      <c r="P157">
        <v>2.6372407528652189</v>
      </c>
      <c r="Q157">
        <v>43.799579899999998</v>
      </c>
      <c r="R157">
        <v>800.544759</v>
      </c>
      <c r="S157">
        <v>8.3397417699999998E-9</v>
      </c>
      <c r="T157">
        <v>21.733837384906927</v>
      </c>
      <c r="U157">
        <v>100.934</v>
      </c>
      <c r="V157">
        <v>-569.41401229455244</v>
      </c>
      <c r="W157">
        <v>69.310297399999996</v>
      </c>
      <c r="X157">
        <v>95.177075200000004</v>
      </c>
      <c r="Y157">
        <v>170.55</v>
      </c>
      <c r="Z157">
        <v>261.59326800000002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2.6372407528652189</v>
      </c>
    </row>
    <row r="158" spans="1:40" x14ac:dyDescent="0.3">
      <c r="A158">
        <v>33</v>
      </c>
      <c r="B158">
        <v>18</v>
      </c>
      <c r="C158">
        <v>3.3411602084593461</v>
      </c>
      <c r="D158">
        <v>25</v>
      </c>
      <c r="E158">
        <v>5</v>
      </c>
      <c r="F158">
        <v>0.30334093785919697</v>
      </c>
      <c r="G158">
        <v>22</v>
      </c>
      <c r="H158">
        <v>11</v>
      </c>
      <c r="I158">
        <v>0.97281243470623635</v>
      </c>
      <c r="J158">
        <v>327500522.92369419</v>
      </c>
      <c r="K158">
        <v>165445000</v>
      </c>
      <c r="L158">
        <v>79924820.53202571</v>
      </c>
      <c r="M158">
        <v>77230400</v>
      </c>
      <c r="N158">
        <v>15759621.68</v>
      </c>
      <c r="O158">
        <v>231.963334</v>
      </c>
      <c r="P158">
        <v>2.6372042857694686</v>
      </c>
      <c r="Q158">
        <v>43.8104984</v>
      </c>
      <c r="R158">
        <v>800.03647699999999</v>
      </c>
      <c r="S158">
        <v>5.8106450099999997E-8</v>
      </c>
      <c r="T158">
        <v>21.739741037251477</v>
      </c>
      <c r="U158">
        <v>100.934</v>
      </c>
      <c r="V158">
        <v>-595.28167900718302</v>
      </c>
      <c r="W158">
        <v>69.222410800000006</v>
      </c>
      <c r="X158">
        <v>94.865260699999993</v>
      </c>
      <c r="Y158">
        <v>177.97</v>
      </c>
      <c r="Z158">
        <v>254.39960199999999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2.6372042857694686</v>
      </c>
    </row>
    <row r="159" spans="1:40" x14ac:dyDescent="0.3">
      <c r="A159">
        <v>39</v>
      </c>
      <c r="B159">
        <v>13</v>
      </c>
      <c r="C159">
        <v>5.1709014022030164</v>
      </c>
      <c r="D159">
        <v>29</v>
      </c>
      <c r="E159">
        <v>11</v>
      </c>
      <c r="F159">
        <v>0.30945065029283192</v>
      </c>
      <c r="G159">
        <v>23</v>
      </c>
      <c r="H159">
        <v>14</v>
      </c>
      <c r="I159">
        <v>1.3783688128681018</v>
      </c>
      <c r="J159">
        <v>328273209.72024733</v>
      </c>
      <c r="K159">
        <v>165483000</v>
      </c>
      <c r="L159">
        <v>79924420.051498339</v>
      </c>
      <c r="M159">
        <v>77291600</v>
      </c>
      <c r="N159">
        <v>15759510.08</v>
      </c>
      <c r="O159">
        <v>231.79066499999999</v>
      </c>
      <c r="P159">
        <v>2.6409899995539186</v>
      </c>
      <c r="Q159">
        <v>43.832158300000003</v>
      </c>
      <c r="R159">
        <v>799.835195</v>
      </c>
      <c r="S159">
        <v>7.4573931200000003E-13</v>
      </c>
      <c r="T159">
        <v>21.656877793626716</v>
      </c>
      <c r="U159">
        <v>100.934</v>
      </c>
      <c r="V159">
        <v>-599.2255129781297</v>
      </c>
      <c r="W159">
        <v>69.221289299999995</v>
      </c>
      <c r="X159">
        <v>94.855468200000004</v>
      </c>
      <c r="Y159">
        <v>177.97</v>
      </c>
      <c r="Z159">
        <v>254.26890399999999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2.6409899995539186</v>
      </c>
    </row>
    <row r="160" spans="1:40" x14ac:dyDescent="0.3">
      <c r="A160">
        <v>29</v>
      </c>
      <c r="B160">
        <v>19</v>
      </c>
      <c r="C160">
        <v>2.3037549559570372</v>
      </c>
      <c r="D160">
        <v>20</v>
      </c>
      <c r="E160">
        <v>5</v>
      </c>
      <c r="F160">
        <v>0.30111934508387111</v>
      </c>
      <c r="G160">
        <v>17</v>
      </c>
      <c r="H160">
        <v>7</v>
      </c>
      <c r="I160">
        <v>0.39254622616002455</v>
      </c>
      <c r="J160">
        <v>326764107.11096317</v>
      </c>
      <c r="K160">
        <v>165418000</v>
      </c>
      <c r="L160">
        <v>79935832.540484741</v>
      </c>
      <c r="M160">
        <v>77291000</v>
      </c>
      <c r="N160">
        <v>15762403.280000001</v>
      </c>
      <c r="O160">
        <v>231.65640500000001</v>
      </c>
      <c r="P160">
        <v>2.6368711138452632</v>
      </c>
      <c r="Q160">
        <v>43.795658000000003</v>
      </c>
      <c r="R160">
        <v>800.25798699999996</v>
      </c>
      <c r="S160">
        <v>5.8759744199999999E-8</v>
      </c>
      <c r="T160">
        <v>21.75023541717033</v>
      </c>
      <c r="U160">
        <v>91.850000000000009</v>
      </c>
      <c r="V160">
        <v>-583.24472074385449</v>
      </c>
      <c r="W160">
        <v>69.266987700000001</v>
      </c>
      <c r="X160">
        <v>95.029063800000003</v>
      </c>
      <c r="Y160">
        <v>170.55</v>
      </c>
      <c r="Z160">
        <v>253.81448700000001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2.6368711138452632</v>
      </c>
    </row>
    <row r="161" spans="1:40" x14ac:dyDescent="0.3">
      <c r="A161">
        <v>39</v>
      </c>
      <c r="B161">
        <v>10</v>
      </c>
      <c r="C161">
        <v>6.3539233473512748</v>
      </c>
      <c r="D161">
        <v>15</v>
      </c>
      <c r="E161">
        <v>13</v>
      </c>
      <c r="F161">
        <v>0.31774860875462058</v>
      </c>
      <c r="G161">
        <v>29</v>
      </c>
      <c r="H161">
        <v>13</v>
      </c>
      <c r="I161">
        <v>0.79088389864560804</v>
      </c>
      <c r="J161">
        <v>328182399.62354362</v>
      </c>
      <c r="K161">
        <v>165484000</v>
      </c>
      <c r="L161">
        <v>79924620.286934152</v>
      </c>
      <c r="M161">
        <v>77026100</v>
      </c>
      <c r="N161">
        <v>15759565.52</v>
      </c>
      <c r="O161">
        <v>232.24587299999999</v>
      </c>
      <c r="P161">
        <v>2.6406135670120268</v>
      </c>
      <c r="Q161">
        <v>43.716057499999998</v>
      </c>
      <c r="R161">
        <v>801.75817800000004</v>
      </c>
      <c r="S161">
        <v>4.5660953800000003E-14</v>
      </c>
      <c r="T161">
        <v>21.24904958671619</v>
      </c>
      <c r="U161">
        <v>100.934</v>
      </c>
      <c r="V161">
        <v>-616.67045119718171</v>
      </c>
      <c r="W161">
        <v>69.224332899999993</v>
      </c>
      <c r="X161">
        <v>94.8671358</v>
      </c>
      <c r="Y161">
        <v>121.52199999999999</v>
      </c>
      <c r="Z161">
        <v>254.372365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2.6406135670120268</v>
      </c>
    </row>
    <row r="162" spans="1:40" x14ac:dyDescent="0.3">
      <c r="A162">
        <v>29</v>
      </c>
      <c r="B162">
        <v>17</v>
      </c>
      <c r="C162">
        <v>3.4674614159130521</v>
      </c>
      <c r="D162">
        <v>18</v>
      </c>
      <c r="E162">
        <v>5</v>
      </c>
      <c r="F162">
        <v>0.30017756600638124</v>
      </c>
      <c r="G162">
        <v>14</v>
      </c>
      <c r="H162">
        <v>11</v>
      </c>
      <c r="I162">
        <v>1.1464347282465097</v>
      </c>
      <c r="J162">
        <v>327070993.61493868</v>
      </c>
      <c r="K162">
        <v>165429000</v>
      </c>
      <c r="L162">
        <v>79926021.836989298</v>
      </c>
      <c r="M162">
        <v>77278700</v>
      </c>
      <c r="N162">
        <v>15759825.68</v>
      </c>
      <c r="O162">
        <v>231.89185900000001</v>
      </c>
      <c r="P162">
        <v>2.6355356799886076</v>
      </c>
      <c r="Q162">
        <v>43.8025077</v>
      </c>
      <c r="R162">
        <v>800.19555400000002</v>
      </c>
      <c r="S162">
        <v>6.0345693899999997E-8</v>
      </c>
      <c r="T162">
        <v>21.718630779412635</v>
      </c>
      <c r="U162">
        <v>100.934</v>
      </c>
      <c r="V162">
        <v>-597.66692278558253</v>
      </c>
      <c r="W162">
        <v>69.227821599999999</v>
      </c>
      <c r="X162">
        <v>94.888358199999999</v>
      </c>
      <c r="Y162">
        <v>170.55</v>
      </c>
      <c r="Z162">
        <v>256.02096799999998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2.6355356799886076</v>
      </c>
    </row>
    <row r="163" spans="1:40" x14ac:dyDescent="0.3">
      <c r="A163">
        <v>29</v>
      </c>
      <c r="B163">
        <v>18</v>
      </c>
      <c r="C163">
        <v>8.2764602391771085</v>
      </c>
      <c r="D163">
        <v>22</v>
      </c>
      <c r="E163">
        <v>6</v>
      </c>
      <c r="F163">
        <v>0.30015699121527767</v>
      </c>
      <c r="G163">
        <v>12</v>
      </c>
      <c r="H163">
        <v>10</v>
      </c>
      <c r="I163">
        <v>0.40426336913253447</v>
      </c>
      <c r="J163">
        <v>328070952.75865656</v>
      </c>
      <c r="K163">
        <v>165511000</v>
      </c>
      <c r="L163">
        <v>79965664.974335819</v>
      </c>
      <c r="M163">
        <v>77447500</v>
      </c>
      <c r="N163">
        <v>15769298.880000001</v>
      </c>
      <c r="O163">
        <v>231.911878</v>
      </c>
      <c r="P163">
        <v>2.6365830684925533</v>
      </c>
      <c r="Q163">
        <v>43.813947599999999</v>
      </c>
      <c r="R163">
        <v>800.02575999999999</v>
      </c>
      <c r="S163">
        <v>9.4504799799999997E-9</v>
      </c>
      <c r="T163">
        <v>21.69496286346266</v>
      </c>
      <c r="U163">
        <v>100.934</v>
      </c>
      <c r="V163">
        <v>-598.95618993488677</v>
      </c>
      <c r="W163">
        <v>69.220468600000004</v>
      </c>
      <c r="X163">
        <v>94.852612300000004</v>
      </c>
      <c r="Y163">
        <v>170.55</v>
      </c>
      <c r="Z163">
        <v>266.251711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2.6365830684925533</v>
      </c>
    </row>
    <row r="164" spans="1:40" x14ac:dyDescent="0.3">
      <c r="A164">
        <v>32</v>
      </c>
      <c r="B164">
        <v>14</v>
      </c>
      <c r="C164">
        <v>3.7226539463348773</v>
      </c>
      <c r="D164">
        <v>20</v>
      </c>
      <c r="E164">
        <v>5</v>
      </c>
      <c r="F164">
        <v>0.30029594624634909</v>
      </c>
      <c r="G164">
        <v>29</v>
      </c>
      <c r="H164">
        <v>9</v>
      </c>
      <c r="I164">
        <v>0.65311549663740154</v>
      </c>
      <c r="J164">
        <v>327528691.65447694</v>
      </c>
      <c r="K164">
        <v>165446000</v>
      </c>
      <c r="L164">
        <v>79926422.251364544</v>
      </c>
      <c r="M164">
        <v>77228700</v>
      </c>
      <c r="N164">
        <v>15760023.119999999</v>
      </c>
      <c r="O164">
        <v>231.93106299999999</v>
      </c>
      <c r="P164">
        <v>2.6377050657204175</v>
      </c>
      <c r="Q164">
        <v>43.804969200000002</v>
      </c>
      <c r="R164">
        <v>800.13492799999995</v>
      </c>
      <c r="S164">
        <v>6.0206894300000002E-8</v>
      </c>
      <c r="T164">
        <v>21.724189809192158</v>
      </c>
      <c r="U164">
        <v>100.934</v>
      </c>
      <c r="V164">
        <v>-597.01657846465002</v>
      </c>
      <c r="W164">
        <v>69.224574399999995</v>
      </c>
      <c r="X164">
        <v>94.873473099999998</v>
      </c>
      <c r="Y164">
        <v>170.55</v>
      </c>
      <c r="Z164">
        <v>254.275938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2.6377050657204175</v>
      </c>
    </row>
    <row r="165" spans="1:40" x14ac:dyDescent="0.3">
      <c r="A165">
        <v>32</v>
      </c>
      <c r="B165">
        <v>14</v>
      </c>
      <c r="C165">
        <v>5.3268424050487706</v>
      </c>
      <c r="D165">
        <v>25</v>
      </c>
      <c r="E165">
        <v>6</v>
      </c>
      <c r="F165">
        <v>0.30896356020179433</v>
      </c>
      <c r="G165">
        <v>21</v>
      </c>
      <c r="H165">
        <v>8</v>
      </c>
      <c r="I165">
        <v>1.1705874141456163</v>
      </c>
      <c r="J165">
        <v>327792077.60458004</v>
      </c>
      <c r="K165">
        <v>165466000</v>
      </c>
      <c r="L165">
        <v>79925621.368788406</v>
      </c>
      <c r="M165">
        <v>77261900</v>
      </c>
      <c r="N165">
        <v>15759815.68</v>
      </c>
      <c r="O165">
        <v>231.83961099999999</v>
      </c>
      <c r="P165">
        <v>2.6392654332859764</v>
      </c>
      <c r="Q165">
        <v>43.823513599999998</v>
      </c>
      <c r="R165">
        <v>800.02454399999999</v>
      </c>
      <c r="S165">
        <v>8.3644953800000007E-9</v>
      </c>
      <c r="T165">
        <v>21.714147062875721</v>
      </c>
      <c r="U165">
        <v>100.934</v>
      </c>
      <c r="V165">
        <v>-597.68665472872715</v>
      </c>
      <c r="W165">
        <v>69.221315899999993</v>
      </c>
      <c r="X165">
        <v>94.8578337</v>
      </c>
      <c r="Y165">
        <v>177.97</v>
      </c>
      <c r="Z165">
        <v>254.324015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2.6392654332859764</v>
      </c>
    </row>
    <row r="166" spans="1:40" x14ac:dyDescent="0.3">
      <c r="A166">
        <v>34</v>
      </c>
      <c r="B166">
        <v>19</v>
      </c>
      <c r="C166">
        <v>11.626375897255473</v>
      </c>
      <c r="D166">
        <v>29</v>
      </c>
      <c r="E166">
        <v>14</v>
      </c>
      <c r="F166">
        <v>0.30054853818215072</v>
      </c>
      <c r="G166">
        <v>24</v>
      </c>
      <c r="H166">
        <v>14</v>
      </c>
      <c r="I166">
        <v>0.81049133612481983</v>
      </c>
      <c r="J166">
        <v>329321284.80638283</v>
      </c>
      <c r="K166">
        <v>165547000</v>
      </c>
      <c r="L166">
        <v>79924520.223658204</v>
      </c>
      <c r="M166">
        <v>77268900</v>
      </c>
      <c r="N166">
        <v>15759549.440000001</v>
      </c>
      <c r="O166">
        <v>231.89553000000001</v>
      </c>
      <c r="P166">
        <v>2.6445142893759646</v>
      </c>
      <c r="Q166">
        <v>43.822206899999998</v>
      </c>
      <c r="R166">
        <v>799.76021600000001</v>
      </c>
      <c r="S166">
        <v>4.0444567000000001E-15</v>
      </c>
      <c r="T166">
        <v>21.62260428598433</v>
      </c>
      <c r="U166">
        <v>100.934</v>
      </c>
      <c r="V166">
        <v>-600.9107515207786</v>
      </c>
      <c r="W166">
        <v>69.218874799999995</v>
      </c>
      <c r="X166">
        <v>94.833907699999997</v>
      </c>
      <c r="Y166">
        <v>170.55</v>
      </c>
      <c r="Z166">
        <v>254.30383800000001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2.6445142893759646</v>
      </c>
    </row>
    <row r="167" spans="1:40" x14ac:dyDescent="0.3">
      <c r="A167">
        <v>35</v>
      </c>
      <c r="B167">
        <v>19</v>
      </c>
      <c r="C167">
        <v>7.8404122247442407</v>
      </c>
      <c r="D167">
        <v>15</v>
      </c>
      <c r="E167">
        <v>12</v>
      </c>
      <c r="F167">
        <v>0.30101552067385129</v>
      </c>
      <c r="G167">
        <v>28</v>
      </c>
      <c r="H167">
        <v>14</v>
      </c>
      <c r="I167">
        <v>0.64895092718250891</v>
      </c>
      <c r="J167">
        <v>328350475.9166373</v>
      </c>
      <c r="K167">
        <v>165486000</v>
      </c>
      <c r="L167">
        <v>79924720.384724244</v>
      </c>
      <c r="M167">
        <v>77123800</v>
      </c>
      <c r="N167">
        <v>15759589.6</v>
      </c>
      <c r="O167">
        <v>232.049871</v>
      </c>
      <c r="P167">
        <v>2.6415151516430857</v>
      </c>
      <c r="Q167">
        <v>43.752620100000001</v>
      </c>
      <c r="R167">
        <v>801.11971900000003</v>
      </c>
      <c r="S167">
        <v>2.6761113700000002E-13</v>
      </c>
      <c r="T167">
        <v>21.385730815317768</v>
      </c>
      <c r="U167">
        <v>100.934</v>
      </c>
      <c r="V167">
        <v>-615.94472245545649</v>
      </c>
      <c r="W167">
        <v>69.218978399999997</v>
      </c>
      <c r="X167">
        <v>94.836261100000002</v>
      </c>
      <c r="Y167">
        <v>121.52199999999999</v>
      </c>
      <c r="Z167">
        <v>254.28260800000001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2.6415151516430857</v>
      </c>
    </row>
    <row r="168" spans="1:40" x14ac:dyDescent="0.3">
      <c r="A168">
        <v>27</v>
      </c>
      <c r="B168">
        <v>17</v>
      </c>
      <c r="C168">
        <v>13.442443674855017</v>
      </c>
      <c r="D168">
        <v>17</v>
      </c>
      <c r="E168">
        <v>14</v>
      </c>
      <c r="F168">
        <v>0.31771322009539621</v>
      </c>
      <c r="G168">
        <v>29</v>
      </c>
      <c r="H168">
        <v>7</v>
      </c>
      <c r="I168">
        <v>0.90577572003900264</v>
      </c>
      <c r="J168">
        <v>329327925.93046623</v>
      </c>
      <c r="K168">
        <v>165533000</v>
      </c>
      <c r="L168">
        <v>79926722.641292259</v>
      </c>
      <c r="M168">
        <v>77163800</v>
      </c>
      <c r="N168">
        <v>15760111.52</v>
      </c>
      <c r="O168">
        <v>231.87823900000001</v>
      </c>
      <c r="P168">
        <v>2.6464652317697577</v>
      </c>
      <c r="Q168">
        <v>43.767440299999997</v>
      </c>
      <c r="R168">
        <v>801.14587400000005</v>
      </c>
      <c r="S168">
        <v>1.2167804500000001E-13</v>
      </c>
      <c r="T168">
        <v>21.405876048184783</v>
      </c>
      <c r="U168">
        <v>100.934</v>
      </c>
      <c r="V168">
        <v>-617.21559705844447</v>
      </c>
      <c r="W168">
        <v>69.220892899999996</v>
      </c>
      <c r="X168">
        <v>94.855473099999998</v>
      </c>
      <c r="Y168">
        <v>121.52199999999999</v>
      </c>
      <c r="Z168">
        <v>254.13549800000001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2.6464652317697577</v>
      </c>
    </row>
    <row r="169" spans="1:40" x14ac:dyDescent="0.3">
      <c r="A169">
        <v>34</v>
      </c>
      <c r="B169">
        <v>18</v>
      </c>
      <c r="C169">
        <v>2.0298698704940543</v>
      </c>
      <c r="D169">
        <v>21</v>
      </c>
      <c r="E169">
        <v>10</v>
      </c>
      <c r="F169">
        <v>0.30380461048351115</v>
      </c>
      <c r="G169">
        <v>16</v>
      </c>
      <c r="H169">
        <v>14</v>
      </c>
      <c r="I169">
        <v>0.31791046637493525</v>
      </c>
      <c r="J169">
        <v>326863721.76127797</v>
      </c>
      <c r="K169">
        <v>165479000</v>
      </c>
      <c r="L169">
        <v>79976376.660251901</v>
      </c>
      <c r="M169">
        <v>77556300</v>
      </c>
      <c r="N169">
        <v>15771901.200000001</v>
      </c>
      <c r="O169">
        <v>231.60276099999999</v>
      </c>
      <c r="P169">
        <v>2.6338798992651249</v>
      </c>
      <c r="Q169">
        <v>43.814819499999999</v>
      </c>
      <c r="R169">
        <v>800.11836599999992</v>
      </c>
      <c r="S169">
        <v>5.5534951099999998E-12</v>
      </c>
      <c r="T169">
        <v>21.643883463688912</v>
      </c>
      <c r="U169">
        <v>100.934</v>
      </c>
      <c r="V169">
        <v>-595.45343646406741</v>
      </c>
      <c r="W169">
        <v>69.245335600000004</v>
      </c>
      <c r="X169">
        <v>94.957014999999998</v>
      </c>
      <c r="Y169">
        <v>165.7</v>
      </c>
      <c r="Z169">
        <v>275.22733299999999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2.6338798992651249</v>
      </c>
    </row>
    <row r="170" spans="1:40" x14ac:dyDescent="0.3">
      <c r="A170">
        <v>38</v>
      </c>
      <c r="B170">
        <v>10</v>
      </c>
      <c r="C170">
        <v>2.788977253050807</v>
      </c>
      <c r="D170">
        <v>11</v>
      </c>
      <c r="E170">
        <v>5</v>
      </c>
      <c r="F170">
        <v>0.32109017661062217</v>
      </c>
      <c r="G170">
        <v>29</v>
      </c>
      <c r="H170">
        <v>11</v>
      </c>
      <c r="I170">
        <v>0.63919068532236079</v>
      </c>
      <c r="J170">
        <v>327378035.29181129</v>
      </c>
      <c r="K170">
        <v>165445000</v>
      </c>
      <c r="L170">
        <v>79925421.2307318</v>
      </c>
      <c r="M170">
        <v>77305800</v>
      </c>
      <c r="N170">
        <v>15759786.48</v>
      </c>
      <c r="O170">
        <v>231.46749299999999</v>
      </c>
      <c r="P170">
        <v>2.6410564092824584</v>
      </c>
      <c r="Q170">
        <v>43.797907299999999</v>
      </c>
      <c r="R170">
        <v>800.864868</v>
      </c>
      <c r="S170">
        <v>5.0618264000000002E-8</v>
      </c>
      <c r="T170">
        <v>21.690128786951924</v>
      </c>
      <c r="U170">
        <v>100.934</v>
      </c>
      <c r="V170">
        <v>-600.50704811351648</v>
      </c>
      <c r="W170">
        <v>69.249045300000006</v>
      </c>
      <c r="X170">
        <v>94.955835500000006</v>
      </c>
      <c r="Y170">
        <v>144.29</v>
      </c>
      <c r="Z170">
        <v>254.24374800000001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2.6410564092824584</v>
      </c>
    </row>
    <row r="171" spans="1:40" x14ac:dyDescent="0.3">
      <c r="A171">
        <v>36</v>
      </c>
      <c r="B171">
        <v>19</v>
      </c>
      <c r="C171">
        <v>4.553457300389832</v>
      </c>
      <c r="D171">
        <v>10</v>
      </c>
      <c r="E171">
        <v>6</v>
      </c>
      <c r="F171">
        <v>0.31196023150744523</v>
      </c>
      <c r="G171">
        <v>12</v>
      </c>
      <c r="H171">
        <v>10</v>
      </c>
      <c r="I171">
        <v>0.7364565891700483</v>
      </c>
      <c r="J171">
        <v>327249054.6490466</v>
      </c>
      <c r="K171">
        <v>165442000</v>
      </c>
      <c r="L171">
        <v>79937834.700906202</v>
      </c>
      <c r="M171">
        <v>77335500</v>
      </c>
      <c r="N171">
        <v>15762555.76</v>
      </c>
      <c r="O171">
        <v>231.77735999999999</v>
      </c>
      <c r="P171">
        <v>2.63652497301839</v>
      </c>
      <c r="Q171">
        <v>43.781224199999997</v>
      </c>
      <c r="R171">
        <v>801.05661999999995</v>
      </c>
      <c r="S171">
        <v>9.3275143900000001E-9</v>
      </c>
      <c r="T171">
        <v>21.56111407717615</v>
      </c>
      <c r="U171">
        <v>100.934</v>
      </c>
      <c r="V171">
        <v>-614.59047557075041</v>
      </c>
      <c r="W171">
        <v>69.219470700000002</v>
      </c>
      <c r="X171">
        <v>94.844295299999999</v>
      </c>
      <c r="Y171">
        <v>121.52199999999999</v>
      </c>
      <c r="Z171">
        <v>260.84361000000001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2.63652497301839</v>
      </c>
    </row>
    <row r="172" spans="1:40" x14ac:dyDescent="0.3">
      <c r="A172">
        <v>32</v>
      </c>
      <c r="B172">
        <v>19</v>
      </c>
      <c r="C172">
        <v>1.5182521559279132</v>
      </c>
      <c r="D172">
        <v>23</v>
      </c>
      <c r="E172">
        <v>6</v>
      </c>
      <c r="F172">
        <v>0.32960230219478115</v>
      </c>
      <c r="G172">
        <v>13</v>
      </c>
      <c r="H172">
        <v>11</v>
      </c>
      <c r="I172">
        <v>0.44770009562715152</v>
      </c>
      <c r="J172">
        <v>326685478.62237221</v>
      </c>
      <c r="K172">
        <v>165464000</v>
      </c>
      <c r="L172">
        <v>79960959.885553047</v>
      </c>
      <c r="M172">
        <v>77758900</v>
      </c>
      <c r="N172">
        <v>15768161.84</v>
      </c>
      <c r="O172">
        <v>230.677425</v>
      </c>
      <c r="P172">
        <v>2.6397567730296956</v>
      </c>
      <c r="Q172">
        <v>43.809428099999998</v>
      </c>
      <c r="R172">
        <v>800.75568199999998</v>
      </c>
      <c r="S172">
        <v>6.0659292000000001E-9</v>
      </c>
      <c r="T172">
        <v>21.822325524463452</v>
      </c>
      <c r="U172">
        <v>91.850000000000009</v>
      </c>
      <c r="V172">
        <v>-553.21577424730788</v>
      </c>
      <c r="W172">
        <v>69.359867500000007</v>
      </c>
      <c r="X172">
        <v>95.4036945</v>
      </c>
      <c r="Y172">
        <v>177.97</v>
      </c>
      <c r="Z172">
        <v>265.13985700000001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2.6397567730296956</v>
      </c>
    </row>
    <row r="173" spans="1:40" x14ac:dyDescent="0.3">
      <c r="A173">
        <v>39</v>
      </c>
      <c r="B173">
        <v>13</v>
      </c>
      <c r="C173">
        <v>6.8333359974848111</v>
      </c>
      <c r="D173">
        <v>17</v>
      </c>
      <c r="E173">
        <v>14</v>
      </c>
      <c r="F173">
        <v>0.33324670750791152</v>
      </c>
      <c r="G173">
        <v>16</v>
      </c>
      <c r="H173">
        <v>14</v>
      </c>
      <c r="I173">
        <v>1.3065738292473705</v>
      </c>
      <c r="J173">
        <v>328281433.34249759</v>
      </c>
      <c r="K173">
        <v>165472000</v>
      </c>
      <c r="L173">
        <v>79925421.072541952</v>
      </c>
      <c r="M173">
        <v>77283000</v>
      </c>
      <c r="N173">
        <v>15759568.24</v>
      </c>
      <c r="O173">
        <v>231.72237999999999</v>
      </c>
      <c r="P173">
        <v>2.641746630107991</v>
      </c>
      <c r="Q173">
        <v>43.781410399999999</v>
      </c>
      <c r="R173">
        <v>801.22124199999996</v>
      </c>
      <c r="S173">
        <v>2.6802431700000002E-15</v>
      </c>
      <c r="T173">
        <v>21.429696888232229</v>
      </c>
      <c r="U173">
        <v>100.934</v>
      </c>
      <c r="V173">
        <v>-619.0107677974197</v>
      </c>
      <c r="W173">
        <v>69.220152600000006</v>
      </c>
      <c r="X173">
        <v>94.848392399999994</v>
      </c>
      <c r="Y173">
        <v>121.52199999999999</v>
      </c>
      <c r="Z173">
        <v>257.72542600000003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2.641746630107991</v>
      </c>
    </row>
    <row r="174" spans="1:40" x14ac:dyDescent="0.3">
      <c r="A174">
        <v>36</v>
      </c>
      <c r="B174">
        <v>17</v>
      </c>
      <c r="C174">
        <v>3.9093729105604758</v>
      </c>
      <c r="D174">
        <v>14</v>
      </c>
      <c r="E174">
        <v>7</v>
      </c>
      <c r="F174">
        <v>0.32171322224370447</v>
      </c>
      <c r="G174">
        <v>10</v>
      </c>
      <c r="H174">
        <v>7</v>
      </c>
      <c r="I174">
        <v>0.37200844238228409</v>
      </c>
      <c r="J174">
        <v>327260267.24161869</v>
      </c>
      <c r="K174">
        <v>165459000</v>
      </c>
      <c r="L174">
        <v>79954753.090785131</v>
      </c>
      <c r="M174">
        <v>77413000</v>
      </c>
      <c r="N174">
        <v>15766771.119999999</v>
      </c>
      <c r="O174">
        <v>231.536405</v>
      </c>
      <c r="P174">
        <v>2.6381481648196132</v>
      </c>
      <c r="Q174">
        <v>43.824459300000001</v>
      </c>
      <c r="R174">
        <v>800.53544899999997</v>
      </c>
      <c r="S174">
        <v>1.1128563000000001E-9</v>
      </c>
      <c r="T174">
        <v>21.653961253097904</v>
      </c>
      <c r="U174">
        <v>100.934</v>
      </c>
      <c r="V174">
        <v>-611.10888739968323</v>
      </c>
      <c r="W174">
        <v>69.220392599999997</v>
      </c>
      <c r="X174">
        <v>94.852648000000002</v>
      </c>
      <c r="Y174">
        <v>144.29</v>
      </c>
      <c r="Z174">
        <v>260.14401400000003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2.6381481648196132</v>
      </c>
    </row>
    <row r="175" spans="1:40" x14ac:dyDescent="0.3">
      <c r="A175">
        <v>32</v>
      </c>
      <c r="B175">
        <v>19</v>
      </c>
      <c r="C175">
        <v>10.519240777183988</v>
      </c>
      <c r="D175">
        <v>13</v>
      </c>
      <c r="E175">
        <v>7</v>
      </c>
      <c r="F175">
        <v>0.31627256356642458</v>
      </c>
      <c r="G175">
        <v>16</v>
      </c>
      <c r="H175">
        <v>14</v>
      </c>
      <c r="I175">
        <v>0.78877379395800462</v>
      </c>
      <c r="J175">
        <v>328470416.81700915</v>
      </c>
      <c r="K175">
        <v>165495000</v>
      </c>
      <c r="L175">
        <v>79927723.663979411</v>
      </c>
      <c r="M175">
        <v>77272700</v>
      </c>
      <c r="N175">
        <v>15760345.199999999</v>
      </c>
      <c r="O175">
        <v>231.62239299999999</v>
      </c>
      <c r="P175">
        <v>2.6440755511391614</v>
      </c>
      <c r="Q175">
        <v>43.813076199999998</v>
      </c>
      <c r="R175">
        <v>800.58730300000002</v>
      </c>
      <c r="S175">
        <v>1.2391519700000001E-9</v>
      </c>
      <c r="T175">
        <v>21.626378713028814</v>
      </c>
      <c r="U175">
        <v>100.934</v>
      </c>
      <c r="V175">
        <v>-612.18637450959363</v>
      </c>
      <c r="W175">
        <v>69.219165399999994</v>
      </c>
      <c r="X175">
        <v>94.839314900000005</v>
      </c>
      <c r="Y175">
        <v>144.29</v>
      </c>
      <c r="Z175">
        <v>254.18149199999999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2.6440755511391614</v>
      </c>
    </row>
    <row r="176" spans="1:40" x14ac:dyDescent="0.3">
      <c r="A176">
        <v>27</v>
      </c>
      <c r="B176">
        <v>11</v>
      </c>
      <c r="C176">
        <v>5.0387633610849942</v>
      </c>
      <c r="D176">
        <v>26</v>
      </c>
      <c r="E176">
        <v>6</v>
      </c>
      <c r="F176">
        <v>0.30814411287792359</v>
      </c>
      <c r="G176">
        <v>11</v>
      </c>
      <c r="H176">
        <v>9</v>
      </c>
      <c r="I176">
        <v>0.36123153246388284</v>
      </c>
      <c r="J176">
        <v>327359525.54359585</v>
      </c>
      <c r="K176">
        <v>165495000</v>
      </c>
      <c r="L176">
        <v>79970870.667732552</v>
      </c>
      <c r="M176">
        <v>77490200</v>
      </c>
      <c r="N176">
        <v>15770570.239999998</v>
      </c>
      <c r="O176">
        <v>231.797033</v>
      </c>
      <c r="P176">
        <v>2.6346879647664658</v>
      </c>
      <c r="Q176">
        <v>43.821251199999999</v>
      </c>
      <c r="R176">
        <v>800.03985</v>
      </c>
      <c r="S176">
        <v>8.4156017099999993E-9</v>
      </c>
      <c r="T176">
        <v>21.720690165322633</v>
      </c>
      <c r="U176">
        <v>100.934</v>
      </c>
      <c r="V176">
        <v>-594.19145234965617</v>
      </c>
      <c r="W176">
        <v>69.229736500000001</v>
      </c>
      <c r="X176">
        <v>94.893467000000001</v>
      </c>
      <c r="Y176">
        <v>177.97</v>
      </c>
      <c r="Z176">
        <v>274.37754200000001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2.6346879647664658</v>
      </c>
    </row>
    <row r="177" spans="1:40" x14ac:dyDescent="0.3">
      <c r="A177">
        <v>27</v>
      </c>
      <c r="B177">
        <v>17</v>
      </c>
      <c r="C177">
        <v>11.472500370448603</v>
      </c>
      <c r="D177">
        <v>29</v>
      </c>
      <c r="E177">
        <v>5</v>
      </c>
      <c r="F177">
        <v>0.31432467255486002</v>
      </c>
      <c r="G177">
        <v>18</v>
      </c>
      <c r="H177">
        <v>13</v>
      </c>
      <c r="I177">
        <v>0.94336403222146004</v>
      </c>
      <c r="J177">
        <v>328941956.18728125</v>
      </c>
      <c r="K177">
        <v>165532000</v>
      </c>
      <c r="L177">
        <v>79925521.341259271</v>
      </c>
      <c r="M177">
        <v>77247200</v>
      </c>
      <c r="N177">
        <v>15759807.360000001</v>
      </c>
      <c r="O177">
        <v>231.89879999999999</v>
      </c>
      <c r="P177">
        <v>2.6434941001542516</v>
      </c>
      <c r="Q177">
        <v>43.821499899999999</v>
      </c>
      <c r="R177">
        <v>800.02452400000004</v>
      </c>
      <c r="S177">
        <v>5.19026936E-8</v>
      </c>
      <c r="T177">
        <v>21.757305600859354</v>
      </c>
      <c r="U177">
        <v>100.934</v>
      </c>
      <c r="V177">
        <v>-595.05463868686502</v>
      </c>
      <c r="W177">
        <v>69.221197500000002</v>
      </c>
      <c r="X177">
        <v>94.857336399999994</v>
      </c>
      <c r="Y177">
        <v>177.97</v>
      </c>
      <c r="Z177">
        <v>254.36578800000001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2.6434941001542516</v>
      </c>
    </row>
    <row r="178" spans="1:40" x14ac:dyDescent="0.3">
      <c r="A178">
        <v>27</v>
      </c>
      <c r="B178">
        <v>10</v>
      </c>
      <c r="C178">
        <v>13.032370609726854</v>
      </c>
      <c r="D178">
        <v>17</v>
      </c>
      <c r="E178">
        <v>14</v>
      </c>
      <c r="F178">
        <v>0.34739121415452373</v>
      </c>
      <c r="G178">
        <v>14</v>
      </c>
      <c r="H178">
        <v>11</v>
      </c>
      <c r="I178">
        <v>1.0304861299382047</v>
      </c>
      <c r="J178">
        <v>328894559.81602502</v>
      </c>
      <c r="K178">
        <v>165515000</v>
      </c>
      <c r="L178">
        <v>79926322.115362346</v>
      </c>
      <c r="M178">
        <v>77284400</v>
      </c>
      <c r="N178">
        <v>15759876.560000001</v>
      </c>
      <c r="O178">
        <v>231.558649</v>
      </c>
      <c r="P178">
        <v>2.6462050964145845</v>
      </c>
      <c r="Q178">
        <v>43.793087100000001</v>
      </c>
      <c r="R178">
        <v>801.31930499999999</v>
      </c>
      <c r="S178">
        <v>1.7593377199999999E-15</v>
      </c>
      <c r="T178">
        <v>21.455155417656741</v>
      </c>
      <c r="U178">
        <v>100.934</v>
      </c>
      <c r="V178">
        <v>-619.76886325328041</v>
      </c>
      <c r="W178">
        <v>69.222668499999997</v>
      </c>
      <c r="X178">
        <v>94.865087399999993</v>
      </c>
      <c r="Y178">
        <v>121.52199999999999</v>
      </c>
      <c r="Z178">
        <v>256.06704400000001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2.6462050964145845</v>
      </c>
    </row>
    <row r="179" spans="1:40" x14ac:dyDescent="0.3">
      <c r="A179">
        <v>37</v>
      </c>
      <c r="B179">
        <v>18</v>
      </c>
      <c r="C179">
        <v>3.7312377402802097</v>
      </c>
      <c r="D179">
        <v>23</v>
      </c>
      <c r="E179">
        <v>8</v>
      </c>
      <c r="F179">
        <v>0.31006356461052759</v>
      </c>
      <c r="G179">
        <v>17</v>
      </c>
      <c r="H179">
        <v>14</v>
      </c>
      <c r="I179">
        <v>1.255521014651056</v>
      </c>
      <c r="J179">
        <v>327518674.14138591</v>
      </c>
      <c r="K179">
        <v>165446000</v>
      </c>
      <c r="L179">
        <v>79924820.518466577</v>
      </c>
      <c r="M179">
        <v>77321400</v>
      </c>
      <c r="N179">
        <v>15759532.16</v>
      </c>
      <c r="O179">
        <v>231.76133799999999</v>
      </c>
      <c r="P179">
        <v>2.6378417350998942</v>
      </c>
      <c r="Q179">
        <v>43.8288297</v>
      </c>
      <c r="R179">
        <v>800.01063099999999</v>
      </c>
      <c r="S179">
        <v>1.9648315300000001E-10</v>
      </c>
      <c r="T179">
        <v>21.670067173809279</v>
      </c>
      <c r="U179">
        <v>100.934</v>
      </c>
      <c r="V179">
        <v>-601.4737105278748</v>
      </c>
      <c r="W179">
        <v>69.220115100000001</v>
      </c>
      <c r="X179">
        <v>94.850727800000001</v>
      </c>
      <c r="Y179">
        <v>170.55</v>
      </c>
      <c r="Z179">
        <v>255.69788199999999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2.6378417350998942</v>
      </c>
    </row>
    <row r="180" spans="1:40" x14ac:dyDescent="0.3">
      <c r="A180">
        <v>28</v>
      </c>
      <c r="B180">
        <v>16</v>
      </c>
      <c r="C180">
        <v>8.1394301372957134</v>
      </c>
      <c r="D180">
        <v>11</v>
      </c>
      <c r="E180">
        <v>8</v>
      </c>
      <c r="F180">
        <v>0.31030013844284943</v>
      </c>
      <c r="G180">
        <v>13</v>
      </c>
      <c r="H180">
        <v>11</v>
      </c>
      <c r="I180">
        <v>1.2279422472292247</v>
      </c>
      <c r="J180">
        <v>327905150.56668431</v>
      </c>
      <c r="K180">
        <v>165456000</v>
      </c>
      <c r="L180">
        <v>79927423.308360398</v>
      </c>
      <c r="M180">
        <v>77225900</v>
      </c>
      <c r="N180">
        <v>15760070.640000001</v>
      </c>
      <c r="O180">
        <v>231.924361</v>
      </c>
      <c r="P180">
        <v>2.6391268332269857</v>
      </c>
      <c r="Q180">
        <v>43.758304000000003</v>
      </c>
      <c r="R180">
        <v>801.3169959999999</v>
      </c>
      <c r="S180">
        <v>2.7844327299999999E-10</v>
      </c>
      <c r="T180">
        <v>21.432086389389436</v>
      </c>
      <c r="U180">
        <v>100.934</v>
      </c>
      <c r="V180">
        <v>-616.19252069969525</v>
      </c>
      <c r="W180">
        <v>69.221186500000002</v>
      </c>
      <c r="X180">
        <v>94.857627500000007</v>
      </c>
      <c r="Y180">
        <v>121.52199999999999</v>
      </c>
      <c r="Z180">
        <v>257.89784300000002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2.6391268332269857</v>
      </c>
    </row>
    <row r="181" spans="1:40" x14ac:dyDescent="0.3">
      <c r="A181">
        <v>27</v>
      </c>
      <c r="B181">
        <v>16</v>
      </c>
      <c r="C181">
        <v>6.7640052906149704</v>
      </c>
      <c r="D181">
        <v>11</v>
      </c>
      <c r="E181">
        <v>7</v>
      </c>
      <c r="F181">
        <v>0.31569175788887743</v>
      </c>
      <c r="G181">
        <v>28</v>
      </c>
      <c r="H181">
        <v>8</v>
      </c>
      <c r="I181">
        <v>0.31972831841113319</v>
      </c>
      <c r="J181">
        <v>327889349.69683349</v>
      </c>
      <c r="K181">
        <v>165468000</v>
      </c>
      <c r="L181">
        <v>79939636.601649776</v>
      </c>
      <c r="M181">
        <v>77194000</v>
      </c>
      <c r="N181">
        <v>15763364</v>
      </c>
      <c r="O181">
        <v>231.69437500000001</v>
      </c>
      <c r="P181">
        <v>2.6425366064461362</v>
      </c>
      <c r="Q181">
        <v>43.787390600000002</v>
      </c>
      <c r="R181">
        <v>801.023099</v>
      </c>
      <c r="S181">
        <v>1.38357714E-9</v>
      </c>
      <c r="T181">
        <v>21.547073514030863</v>
      </c>
      <c r="U181">
        <v>100.934</v>
      </c>
      <c r="V181">
        <v>-614.35183806474947</v>
      </c>
      <c r="W181">
        <v>69.223072799999997</v>
      </c>
      <c r="X181">
        <v>94.868208999999993</v>
      </c>
      <c r="Y181">
        <v>121.52199999999999</v>
      </c>
      <c r="Z181">
        <v>253.38322299999999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2.6425366064461362</v>
      </c>
    </row>
    <row r="182" spans="1:40" x14ac:dyDescent="0.3">
      <c r="A182">
        <v>37</v>
      </c>
      <c r="B182">
        <v>10</v>
      </c>
      <c r="C182">
        <v>1.4690253788888279</v>
      </c>
      <c r="D182">
        <v>16</v>
      </c>
      <c r="E182">
        <v>5</v>
      </c>
      <c r="F182">
        <v>0.32411831984568967</v>
      </c>
      <c r="G182">
        <v>29</v>
      </c>
      <c r="H182">
        <v>7</v>
      </c>
      <c r="I182">
        <v>1.3929861907998058</v>
      </c>
      <c r="J182">
        <v>327227299.28827912</v>
      </c>
      <c r="K182">
        <v>165446000</v>
      </c>
      <c r="L182">
        <v>79925921.718860507</v>
      </c>
      <c r="M182">
        <v>77599100</v>
      </c>
      <c r="N182">
        <v>15759896</v>
      </c>
      <c r="O182">
        <v>230.44943900000001</v>
      </c>
      <c r="P182">
        <v>2.6466806294177747</v>
      </c>
      <c r="Q182">
        <v>43.786248100000002</v>
      </c>
      <c r="R182">
        <v>801.23578199999997</v>
      </c>
      <c r="S182">
        <v>4.4882617299999998E-8</v>
      </c>
      <c r="T182">
        <v>21.778886032879683</v>
      </c>
      <c r="U182">
        <v>100.934</v>
      </c>
      <c r="V182">
        <v>-542.91374975554425</v>
      </c>
      <c r="W182">
        <v>69.396344200000001</v>
      </c>
      <c r="X182">
        <v>95.817007700000005</v>
      </c>
      <c r="Y182">
        <v>165.7</v>
      </c>
      <c r="Z182">
        <v>254.22750600000001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2.6466806294177747</v>
      </c>
    </row>
    <row r="183" spans="1:40" x14ac:dyDescent="0.3">
      <c r="A183">
        <v>27</v>
      </c>
      <c r="B183">
        <v>11</v>
      </c>
      <c r="C183">
        <v>3.239191449159466</v>
      </c>
      <c r="D183">
        <v>15</v>
      </c>
      <c r="E183">
        <v>12</v>
      </c>
      <c r="F183">
        <v>0.31909411757548911</v>
      </c>
      <c r="G183">
        <v>22</v>
      </c>
      <c r="H183">
        <v>14</v>
      </c>
      <c r="I183">
        <v>1.3912609709519581</v>
      </c>
      <c r="J183">
        <v>327210176.0944494</v>
      </c>
      <c r="K183">
        <v>165429000</v>
      </c>
      <c r="L183">
        <v>79924420.057250693</v>
      </c>
      <c r="M183">
        <v>77213700</v>
      </c>
      <c r="N183">
        <v>15759510.879999999</v>
      </c>
      <c r="O183">
        <v>231.695549</v>
      </c>
      <c r="P183">
        <v>2.6394149037880017</v>
      </c>
      <c r="Q183">
        <v>43.7628305</v>
      </c>
      <c r="R183">
        <v>801.30321100000003</v>
      </c>
      <c r="S183">
        <v>1.5689779600000001E-13</v>
      </c>
      <c r="T183">
        <v>21.427231551496103</v>
      </c>
      <c r="U183">
        <v>100.934</v>
      </c>
      <c r="V183">
        <v>-609.23264167678258</v>
      </c>
      <c r="W183">
        <v>69.244124200000002</v>
      </c>
      <c r="X183">
        <v>94.947440200000003</v>
      </c>
      <c r="Y183">
        <v>121.52199999999999</v>
      </c>
      <c r="Z183">
        <v>254.29653500000001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2.6394149037880017</v>
      </c>
    </row>
    <row r="184" spans="1:40" x14ac:dyDescent="0.3">
      <c r="A184">
        <v>27</v>
      </c>
      <c r="B184">
        <v>19</v>
      </c>
      <c r="C184">
        <v>5.1641731475686958</v>
      </c>
      <c r="D184">
        <v>19</v>
      </c>
      <c r="E184">
        <v>5</v>
      </c>
      <c r="F184">
        <v>0.3002849701112007</v>
      </c>
      <c r="G184">
        <v>25</v>
      </c>
      <c r="H184">
        <v>8</v>
      </c>
      <c r="I184">
        <v>1.0831464394470292</v>
      </c>
      <c r="J184">
        <v>327678146.81604892</v>
      </c>
      <c r="K184">
        <v>165449000</v>
      </c>
      <c r="L184">
        <v>79925721.47068733</v>
      </c>
      <c r="M184">
        <v>77234500</v>
      </c>
      <c r="N184">
        <v>15759839.279999999</v>
      </c>
      <c r="O184">
        <v>231.91234</v>
      </c>
      <c r="P184">
        <v>2.6383022051414473</v>
      </c>
      <c r="Q184">
        <v>43.8038478</v>
      </c>
      <c r="R184">
        <v>800.15426000000002</v>
      </c>
      <c r="S184">
        <v>6.0240142399999995E-8</v>
      </c>
      <c r="T184">
        <v>21.721731841677666</v>
      </c>
      <c r="U184">
        <v>100.934</v>
      </c>
      <c r="V184">
        <v>-597.6463966744476</v>
      </c>
      <c r="W184">
        <v>69.227974399999994</v>
      </c>
      <c r="X184">
        <v>94.885909400000003</v>
      </c>
      <c r="Y184">
        <v>170.55</v>
      </c>
      <c r="Z184">
        <v>254.32615200000001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2.6383022051414473</v>
      </c>
    </row>
    <row r="185" spans="1:40" x14ac:dyDescent="0.3">
      <c r="A185">
        <v>39</v>
      </c>
      <c r="B185">
        <v>10</v>
      </c>
      <c r="C185">
        <v>12.115446558143391</v>
      </c>
      <c r="D185">
        <v>29</v>
      </c>
      <c r="E185">
        <v>14</v>
      </c>
      <c r="F185">
        <v>0.39718040737582611</v>
      </c>
      <c r="G185">
        <v>22</v>
      </c>
      <c r="H185">
        <v>14</v>
      </c>
      <c r="I185">
        <v>0.67733240037147013</v>
      </c>
      <c r="J185">
        <v>329530172.70532858</v>
      </c>
      <c r="K185">
        <v>165549000</v>
      </c>
      <c r="L185">
        <v>79924820.495868027</v>
      </c>
      <c r="M185">
        <v>77517600</v>
      </c>
      <c r="N185">
        <v>15759605.92</v>
      </c>
      <c r="O185">
        <v>230.651837</v>
      </c>
      <c r="P185">
        <v>2.6546670405273938</v>
      </c>
      <c r="Q185">
        <v>43.923140799999999</v>
      </c>
      <c r="R185">
        <v>800.8253709999999</v>
      </c>
      <c r="S185">
        <v>1.9253179999999999E-16</v>
      </c>
      <c r="T185">
        <v>21.812158014144536</v>
      </c>
      <c r="U185">
        <v>100.934</v>
      </c>
      <c r="V185">
        <v>-613.42959372884388</v>
      </c>
      <c r="W185">
        <v>69.220717800000003</v>
      </c>
      <c r="X185">
        <v>94.850533999999996</v>
      </c>
      <c r="Y185">
        <v>177.97</v>
      </c>
      <c r="Z185">
        <v>254.03102899999999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2.6546670405273938</v>
      </c>
    </row>
    <row r="186" spans="1:40" x14ac:dyDescent="0.3">
      <c r="A186">
        <v>33</v>
      </c>
      <c r="B186">
        <v>10</v>
      </c>
      <c r="C186">
        <v>2.9735307567859666</v>
      </c>
      <c r="D186">
        <v>24</v>
      </c>
      <c r="E186">
        <v>13</v>
      </c>
      <c r="F186">
        <v>0.30870560682573234</v>
      </c>
      <c r="G186">
        <v>12</v>
      </c>
      <c r="H186">
        <v>10</v>
      </c>
      <c r="I186">
        <v>0.38676889457332403</v>
      </c>
      <c r="J186">
        <v>327096482.43709868</v>
      </c>
      <c r="K186">
        <v>165472000</v>
      </c>
      <c r="L186">
        <v>79967967.497361302</v>
      </c>
      <c r="M186">
        <v>77554200</v>
      </c>
      <c r="N186">
        <v>15769860.479999999</v>
      </c>
      <c r="O186">
        <v>231.541687</v>
      </c>
      <c r="P186">
        <v>2.6351636512029093</v>
      </c>
      <c r="Q186">
        <v>43.821506200000002</v>
      </c>
      <c r="R186">
        <v>800.10883699999999</v>
      </c>
      <c r="S186">
        <v>1.8978785999999999E-14</v>
      </c>
      <c r="T186">
        <v>21.635791967094118</v>
      </c>
      <c r="U186">
        <v>100.934</v>
      </c>
      <c r="V186">
        <v>-595.899126287586</v>
      </c>
      <c r="W186">
        <v>69.246559700000006</v>
      </c>
      <c r="X186">
        <v>94.951374200000004</v>
      </c>
      <c r="Y186">
        <v>165.7</v>
      </c>
      <c r="Z186">
        <v>266.65840100000003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2.6351636512029093</v>
      </c>
    </row>
    <row r="187" spans="1:40" x14ac:dyDescent="0.3">
      <c r="A187">
        <v>38</v>
      </c>
      <c r="B187">
        <v>11</v>
      </c>
      <c r="C187">
        <v>12.41803718171532</v>
      </c>
      <c r="D187">
        <v>10</v>
      </c>
      <c r="E187">
        <v>6</v>
      </c>
      <c r="F187">
        <v>0.34301679621459424</v>
      </c>
      <c r="G187">
        <v>11</v>
      </c>
      <c r="H187">
        <v>7</v>
      </c>
      <c r="I187">
        <v>0.50856645788973986</v>
      </c>
      <c r="J187">
        <v>328995559.38709903</v>
      </c>
      <c r="K187">
        <v>165526000</v>
      </c>
      <c r="L187">
        <v>79937334.167374969</v>
      </c>
      <c r="M187">
        <v>77307200</v>
      </c>
      <c r="N187">
        <v>15762621.039999999</v>
      </c>
      <c r="O187">
        <v>231.48299800000001</v>
      </c>
      <c r="P187">
        <v>2.6471410740924481</v>
      </c>
      <c r="Q187">
        <v>43.806158500000002</v>
      </c>
      <c r="R187">
        <v>801.21793100000002</v>
      </c>
      <c r="S187">
        <v>6.4606192500000001E-9</v>
      </c>
      <c r="T187">
        <v>21.599221217312458</v>
      </c>
      <c r="U187">
        <v>100.934</v>
      </c>
      <c r="V187">
        <v>-617.54739745097038</v>
      </c>
      <c r="W187">
        <v>69.219937400000006</v>
      </c>
      <c r="X187">
        <v>94.846188999999995</v>
      </c>
      <c r="Y187">
        <v>121.52199999999999</v>
      </c>
      <c r="Z187">
        <v>256.116738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2.6471410740924481</v>
      </c>
    </row>
    <row r="188" spans="1:40" x14ac:dyDescent="0.3">
      <c r="A188">
        <v>39</v>
      </c>
      <c r="B188">
        <v>18</v>
      </c>
      <c r="C188">
        <v>5.4715312407809336</v>
      </c>
      <c r="D188">
        <v>20</v>
      </c>
      <c r="E188">
        <v>5</v>
      </c>
      <c r="F188">
        <v>0.30917950990830823</v>
      </c>
      <c r="G188">
        <v>10</v>
      </c>
      <c r="H188">
        <v>8</v>
      </c>
      <c r="I188">
        <v>0.50616610038068122</v>
      </c>
      <c r="J188">
        <v>327741070.26597029</v>
      </c>
      <c r="K188">
        <v>165497000</v>
      </c>
      <c r="L188">
        <v>79956054.512644857</v>
      </c>
      <c r="M188">
        <v>77415200</v>
      </c>
      <c r="N188">
        <v>15766978.4</v>
      </c>
      <c r="O188">
        <v>231.886987</v>
      </c>
      <c r="P188">
        <v>2.6362487125239502</v>
      </c>
      <c r="Q188">
        <v>43.8138857</v>
      </c>
      <c r="R188">
        <v>800.15511900000001</v>
      </c>
      <c r="S188">
        <v>5.5067983799999999E-8</v>
      </c>
      <c r="T188">
        <v>21.728201844641561</v>
      </c>
      <c r="U188">
        <v>100.934</v>
      </c>
      <c r="V188">
        <v>-599.71750442659209</v>
      </c>
      <c r="W188">
        <v>69.219076099999995</v>
      </c>
      <c r="X188">
        <v>94.838754699999996</v>
      </c>
      <c r="Y188">
        <v>170.55</v>
      </c>
      <c r="Z188">
        <v>263.926828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2.6362487125239502</v>
      </c>
    </row>
    <row r="189" spans="1:40" x14ac:dyDescent="0.3">
      <c r="A189">
        <v>29</v>
      </c>
      <c r="B189">
        <v>10</v>
      </c>
      <c r="C189">
        <v>14.63461237759009</v>
      </c>
      <c r="D189">
        <v>10</v>
      </c>
      <c r="E189">
        <v>8</v>
      </c>
      <c r="F189">
        <v>0.32925330144802023</v>
      </c>
      <c r="G189">
        <v>23</v>
      </c>
      <c r="H189">
        <v>13</v>
      </c>
      <c r="I189">
        <v>0.57402410627959854</v>
      </c>
      <c r="J189">
        <v>329346566.00087553</v>
      </c>
      <c r="K189">
        <v>165539000</v>
      </c>
      <c r="L189">
        <v>79927623.597416401</v>
      </c>
      <c r="M189">
        <v>77030200</v>
      </c>
      <c r="N189">
        <v>15760335.68</v>
      </c>
      <c r="O189">
        <v>232.14429100000001</v>
      </c>
      <c r="P189">
        <v>2.6461412887945737</v>
      </c>
      <c r="Q189">
        <v>43.723363200000001</v>
      </c>
      <c r="R189">
        <v>801.96000199999992</v>
      </c>
      <c r="S189">
        <v>2.7219723000000002E-10</v>
      </c>
      <c r="T189">
        <v>21.29937391622363</v>
      </c>
      <c r="U189">
        <v>100.934</v>
      </c>
      <c r="V189">
        <v>-618.73322652160232</v>
      </c>
      <c r="W189">
        <v>69.221258000000006</v>
      </c>
      <c r="X189">
        <v>94.856661099999997</v>
      </c>
      <c r="Y189">
        <v>121.52199999999999</v>
      </c>
      <c r="Z189">
        <v>254.270004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2.6461412887945737</v>
      </c>
    </row>
    <row r="190" spans="1:40" x14ac:dyDescent="0.3">
      <c r="A190">
        <v>35</v>
      </c>
      <c r="B190">
        <v>10</v>
      </c>
      <c r="C190">
        <v>1.8832711115514629</v>
      </c>
      <c r="D190">
        <v>10</v>
      </c>
      <c r="E190">
        <v>6</v>
      </c>
      <c r="F190">
        <v>0.35594737847201602</v>
      </c>
      <c r="G190">
        <v>15</v>
      </c>
      <c r="H190">
        <v>13</v>
      </c>
      <c r="I190">
        <v>0.80719782656832773</v>
      </c>
      <c r="J190">
        <v>326683685.33013558</v>
      </c>
      <c r="K190">
        <v>165416000</v>
      </c>
      <c r="L190">
        <v>79931828.135821745</v>
      </c>
      <c r="M190">
        <v>77584700</v>
      </c>
      <c r="N190">
        <v>15761076.32</v>
      </c>
      <c r="O190">
        <v>230.74085199999999</v>
      </c>
      <c r="P190">
        <v>2.641440222415981</v>
      </c>
      <c r="Q190">
        <v>43.7962755</v>
      </c>
      <c r="R190">
        <v>801.71740499999999</v>
      </c>
      <c r="S190">
        <v>5.4022200699999997E-9</v>
      </c>
      <c r="T190">
        <v>21.654080894521588</v>
      </c>
      <c r="U190">
        <v>100.934</v>
      </c>
      <c r="V190">
        <v>-587.54971912404062</v>
      </c>
      <c r="W190">
        <v>69.309870099999998</v>
      </c>
      <c r="X190">
        <v>95.1761269</v>
      </c>
      <c r="Y190">
        <v>121.52199999999999</v>
      </c>
      <c r="Z190">
        <v>260.21665899999999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2.641440222415981</v>
      </c>
    </row>
    <row r="191" spans="1:40" x14ac:dyDescent="0.3">
      <c r="A191">
        <v>33</v>
      </c>
      <c r="B191">
        <v>13</v>
      </c>
      <c r="C191">
        <v>3.6188231725555626</v>
      </c>
      <c r="D191">
        <v>23</v>
      </c>
      <c r="E191">
        <v>5</v>
      </c>
      <c r="F191">
        <v>0.32637071345863894</v>
      </c>
      <c r="G191">
        <v>13</v>
      </c>
      <c r="H191">
        <v>11</v>
      </c>
      <c r="I191">
        <v>1.0728593835651079</v>
      </c>
      <c r="J191">
        <v>327290244.55518901</v>
      </c>
      <c r="K191">
        <v>165451000</v>
      </c>
      <c r="L191">
        <v>79928624.602024719</v>
      </c>
      <c r="M191">
        <v>77382200</v>
      </c>
      <c r="N191">
        <v>15760334.559999999</v>
      </c>
      <c r="O191">
        <v>231.714428</v>
      </c>
      <c r="P191">
        <v>2.6366434944583963</v>
      </c>
      <c r="Q191">
        <v>43.828244300000001</v>
      </c>
      <c r="R191">
        <v>800.20195100000001</v>
      </c>
      <c r="S191">
        <v>4.63053746E-8</v>
      </c>
      <c r="T191">
        <v>21.756920837947426</v>
      </c>
      <c r="U191">
        <v>100.934</v>
      </c>
      <c r="V191">
        <v>-596.7818379629889</v>
      </c>
      <c r="W191">
        <v>69.226170600000003</v>
      </c>
      <c r="X191">
        <v>94.878980799999994</v>
      </c>
      <c r="Y191">
        <v>177.97</v>
      </c>
      <c r="Z191">
        <v>258.72445599999998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2.6366434944583963</v>
      </c>
    </row>
    <row r="192" spans="1:40" x14ac:dyDescent="0.3">
      <c r="A192">
        <v>27</v>
      </c>
      <c r="B192">
        <v>19</v>
      </c>
      <c r="C192">
        <v>6.1339930908160731</v>
      </c>
      <c r="D192">
        <v>20</v>
      </c>
      <c r="E192">
        <v>12</v>
      </c>
      <c r="F192">
        <v>0.30348222677561942</v>
      </c>
      <c r="G192">
        <v>14</v>
      </c>
      <c r="H192">
        <v>12</v>
      </c>
      <c r="I192">
        <v>0.75858324144610556</v>
      </c>
      <c r="J192">
        <v>327541618.42350614</v>
      </c>
      <c r="K192">
        <v>165440000</v>
      </c>
      <c r="L192">
        <v>79935231.851845264</v>
      </c>
      <c r="M192">
        <v>77421000</v>
      </c>
      <c r="N192">
        <v>15761906.639999999</v>
      </c>
      <c r="O192">
        <v>231.732358</v>
      </c>
      <c r="P192">
        <v>2.6362272265608353</v>
      </c>
      <c r="Q192">
        <v>43.814053399999999</v>
      </c>
      <c r="R192">
        <v>800.123425</v>
      </c>
      <c r="S192">
        <v>9.0044169800000006E-12</v>
      </c>
      <c r="T192">
        <v>21.599151392285627</v>
      </c>
      <c r="U192">
        <v>100.934</v>
      </c>
      <c r="V192">
        <v>-606.86398367198592</v>
      </c>
      <c r="W192">
        <v>69.225406300000003</v>
      </c>
      <c r="X192">
        <v>94.875936499999995</v>
      </c>
      <c r="Y192">
        <v>144.29</v>
      </c>
      <c r="Z192">
        <v>260.72635200000002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2.6362272265608353</v>
      </c>
    </row>
    <row r="193" spans="1:40" x14ac:dyDescent="0.3">
      <c r="A193">
        <v>27</v>
      </c>
      <c r="B193">
        <v>19</v>
      </c>
      <c r="C193">
        <v>10.608796429201343</v>
      </c>
      <c r="D193">
        <v>10</v>
      </c>
      <c r="E193">
        <v>5</v>
      </c>
      <c r="F193">
        <v>0.3513543697193498</v>
      </c>
      <c r="G193">
        <v>23</v>
      </c>
      <c r="H193">
        <v>7</v>
      </c>
      <c r="I193">
        <v>0.43108266828392583</v>
      </c>
      <c r="J193">
        <v>328468702.05445039</v>
      </c>
      <c r="K193">
        <v>165504000</v>
      </c>
      <c r="L193">
        <v>79933329.732922956</v>
      </c>
      <c r="M193">
        <v>77275400</v>
      </c>
      <c r="N193">
        <v>15761764.4</v>
      </c>
      <c r="O193">
        <v>231.428211</v>
      </c>
      <c r="P193">
        <v>2.646409225788378</v>
      </c>
      <c r="Q193">
        <v>43.8172736</v>
      </c>
      <c r="R193">
        <v>801.04829899999993</v>
      </c>
      <c r="S193">
        <v>3.9960458800000002E-8</v>
      </c>
      <c r="T193">
        <v>21.677690504290936</v>
      </c>
      <c r="U193">
        <v>100.934</v>
      </c>
      <c r="V193">
        <v>-615.11715317514916</v>
      </c>
      <c r="W193">
        <v>69.221941000000001</v>
      </c>
      <c r="X193">
        <v>94.860011299999996</v>
      </c>
      <c r="Y193">
        <v>144.29</v>
      </c>
      <c r="Z193">
        <v>253.69121799999999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2.646409225788378</v>
      </c>
    </row>
    <row r="194" spans="1:40" x14ac:dyDescent="0.3">
      <c r="A194">
        <v>36</v>
      </c>
      <c r="B194">
        <v>13</v>
      </c>
      <c r="C194">
        <v>1.2422491714487891</v>
      </c>
      <c r="D194">
        <v>29</v>
      </c>
      <c r="E194">
        <v>5</v>
      </c>
      <c r="F194">
        <v>0.3218254227101231</v>
      </c>
      <c r="G194">
        <v>27</v>
      </c>
      <c r="H194">
        <v>13</v>
      </c>
      <c r="I194">
        <v>1.070441503910369</v>
      </c>
      <c r="J194">
        <v>327388310.68626028</v>
      </c>
      <c r="K194">
        <v>165461000</v>
      </c>
      <c r="L194">
        <v>79924520.163463876</v>
      </c>
      <c r="M194">
        <v>77696700</v>
      </c>
      <c r="N194">
        <v>15759536.319999998</v>
      </c>
      <c r="O194">
        <v>230.17348799999999</v>
      </c>
      <c r="P194">
        <v>2.6487444337643478</v>
      </c>
      <c r="Q194">
        <v>43.777333800000001</v>
      </c>
      <c r="R194">
        <v>801.23568299999999</v>
      </c>
      <c r="S194">
        <v>4.4245608799999999E-8</v>
      </c>
      <c r="T194">
        <v>21.872872768773057</v>
      </c>
      <c r="U194">
        <v>100.934</v>
      </c>
      <c r="V194">
        <v>-512.43670290651914</v>
      </c>
      <c r="W194">
        <v>69.459759599999998</v>
      </c>
      <c r="X194">
        <v>96.097788499999993</v>
      </c>
      <c r="Y194">
        <v>177.97</v>
      </c>
      <c r="Z194">
        <v>254.361197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2.6487444337643478</v>
      </c>
    </row>
    <row r="195" spans="1:40" x14ac:dyDescent="0.3">
      <c r="A195">
        <v>39</v>
      </c>
      <c r="B195">
        <v>12</v>
      </c>
      <c r="C195">
        <v>9.5622677679527062</v>
      </c>
      <c r="D195">
        <v>24</v>
      </c>
      <c r="E195">
        <v>13</v>
      </c>
      <c r="F195">
        <v>0.30603703637325547</v>
      </c>
      <c r="G195">
        <v>10</v>
      </c>
      <c r="H195">
        <v>7</v>
      </c>
      <c r="I195">
        <v>1.068025572284</v>
      </c>
      <c r="J195">
        <v>328755843.84708738</v>
      </c>
      <c r="K195">
        <v>165516000</v>
      </c>
      <c r="L195">
        <v>79931527.809991732</v>
      </c>
      <c r="M195">
        <v>77327500</v>
      </c>
      <c r="N195">
        <v>15761186.640000001</v>
      </c>
      <c r="O195">
        <v>231.76016000000001</v>
      </c>
      <c r="P195">
        <v>2.6426960756198645</v>
      </c>
      <c r="Q195">
        <v>43.824543400000003</v>
      </c>
      <c r="R195">
        <v>799.96231799999998</v>
      </c>
      <c r="S195">
        <v>2.1322066400000001E-14</v>
      </c>
      <c r="T195">
        <v>21.618116367364255</v>
      </c>
      <c r="U195">
        <v>100.934</v>
      </c>
      <c r="V195">
        <v>-604.79426627499072</v>
      </c>
      <c r="W195">
        <v>69.219887999999997</v>
      </c>
      <c r="X195">
        <v>94.8459553</v>
      </c>
      <c r="Y195">
        <v>165.7</v>
      </c>
      <c r="Z195">
        <v>255.89515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2.6426960756198645</v>
      </c>
    </row>
    <row r="196" spans="1:40" x14ac:dyDescent="0.3">
      <c r="A196">
        <v>27</v>
      </c>
      <c r="B196">
        <v>13</v>
      </c>
      <c r="C196">
        <v>4.965781303909127</v>
      </c>
      <c r="D196">
        <v>24</v>
      </c>
      <c r="E196">
        <v>12</v>
      </c>
      <c r="F196">
        <v>0.32669108946695463</v>
      </c>
      <c r="G196">
        <v>16</v>
      </c>
      <c r="H196">
        <v>14</v>
      </c>
      <c r="I196">
        <v>0.94748535529565769</v>
      </c>
      <c r="J196">
        <v>327534995.32600927</v>
      </c>
      <c r="K196">
        <v>165451000</v>
      </c>
      <c r="L196">
        <v>79927022.949454322</v>
      </c>
      <c r="M196">
        <v>77349000</v>
      </c>
      <c r="N196">
        <v>15760180.399999999</v>
      </c>
      <c r="O196">
        <v>231.47174999999999</v>
      </c>
      <c r="P196">
        <v>2.6407587344078043</v>
      </c>
      <c r="Q196">
        <v>43.845279599999998</v>
      </c>
      <c r="R196">
        <v>800.15203999999994</v>
      </c>
      <c r="S196">
        <v>7.1421199299999996E-14</v>
      </c>
      <c r="T196">
        <v>21.664867609384043</v>
      </c>
      <c r="U196">
        <v>100.934</v>
      </c>
      <c r="V196">
        <v>-604.19619391288393</v>
      </c>
      <c r="W196">
        <v>69.227048600000003</v>
      </c>
      <c r="X196">
        <v>94.883690200000004</v>
      </c>
      <c r="Y196">
        <v>170.55</v>
      </c>
      <c r="Z196">
        <v>254.05946299999999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2.6407587344078043</v>
      </c>
    </row>
    <row r="197" spans="1:40" x14ac:dyDescent="0.3">
      <c r="A197">
        <v>29</v>
      </c>
      <c r="B197">
        <v>11</v>
      </c>
      <c r="C197">
        <v>8.467188267298404</v>
      </c>
      <c r="D197">
        <v>10</v>
      </c>
      <c r="E197">
        <v>6</v>
      </c>
      <c r="F197">
        <v>0.31584256854337844</v>
      </c>
      <c r="G197">
        <v>10</v>
      </c>
      <c r="H197">
        <v>8</v>
      </c>
      <c r="I197">
        <v>0.85063485652156157</v>
      </c>
      <c r="J197">
        <v>327861947.42821264</v>
      </c>
      <c r="K197">
        <v>165466000</v>
      </c>
      <c r="L197">
        <v>79937634.376514286</v>
      </c>
      <c r="M197">
        <v>77329800</v>
      </c>
      <c r="N197">
        <v>15762522.08</v>
      </c>
      <c r="O197">
        <v>231.71953099999999</v>
      </c>
      <c r="P197">
        <v>2.6395443081556667</v>
      </c>
      <c r="Q197">
        <v>43.783691699999999</v>
      </c>
      <c r="R197">
        <v>801.08814299999995</v>
      </c>
      <c r="S197">
        <v>8.8753862200000004E-9</v>
      </c>
      <c r="T197">
        <v>21.567402513748203</v>
      </c>
      <c r="U197">
        <v>100.934</v>
      </c>
      <c r="V197">
        <v>-613.88698140620875</v>
      </c>
      <c r="W197">
        <v>69.222504599999994</v>
      </c>
      <c r="X197">
        <v>94.864230300000003</v>
      </c>
      <c r="Y197">
        <v>121.52199999999999</v>
      </c>
      <c r="Z197">
        <v>259.78400299999998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2.6395443081556667</v>
      </c>
    </row>
    <row r="198" spans="1:40" x14ac:dyDescent="0.3">
      <c r="A198">
        <v>29</v>
      </c>
      <c r="B198">
        <v>16</v>
      </c>
      <c r="C198">
        <v>2.8043748252128164</v>
      </c>
      <c r="D198">
        <v>15</v>
      </c>
      <c r="E198">
        <v>7</v>
      </c>
      <c r="F198">
        <v>0.30377305004585131</v>
      </c>
      <c r="G198">
        <v>21</v>
      </c>
      <c r="H198">
        <v>9</v>
      </c>
      <c r="I198">
        <v>0.39191636314949796</v>
      </c>
      <c r="J198">
        <v>326981364.60506284</v>
      </c>
      <c r="K198">
        <v>165416000</v>
      </c>
      <c r="L198">
        <v>79933129.611918002</v>
      </c>
      <c r="M198">
        <v>77279200</v>
      </c>
      <c r="N198">
        <v>15761731.199999999</v>
      </c>
      <c r="O198">
        <v>231.63968700000001</v>
      </c>
      <c r="P198">
        <v>2.6378848870688696</v>
      </c>
      <c r="Q198">
        <v>43.807451700000001</v>
      </c>
      <c r="R198">
        <v>800.37327700000003</v>
      </c>
      <c r="S198">
        <v>1.4445173500000001E-9</v>
      </c>
      <c r="T198">
        <v>21.649960611856383</v>
      </c>
      <c r="U198">
        <v>100.934</v>
      </c>
      <c r="V198">
        <v>-602.18232859970033</v>
      </c>
      <c r="W198">
        <v>69.2359352</v>
      </c>
      <c r="X198">
        <v>94.921237599999998</v>
      </c>
      <c r="Y198">
        <v>144.29</v>
      </c>
      <c r="Z198">
        <v>253.85771399999999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2.6378848870688696</v>
      </c>
    </row>
    <row r="199" spans="1:40" x14ac:dyDescent="0.3">
      <c r="A199">
        <v>27</v>
      </c>
      <c r="B199">
        <v>10</v>
      </c>
      <c r="C199">
        <v>14.194612346362282</v>
      </c>
      <c r="D199">
        <v>28</v>
      </c>
      <c r="E199">
        <v>8</v>
      </c>
      <c r="F199">
        <v>0.31100252042357834</v>
      </c>
      <c r="G199">
        <v>13</v>
      </c>
      <c r="H199">
        <v>10</v>
      </c>
      <c r="I199">
        <v>1.1563035891955755</v>
      </c>
      <c r="J199">
        <v>329286420.3622182</v>
      </c>
      <c r="K199">
        <v>165532000</v>
      </c>
      <c r="L199">
        <v>79926722.588699266</v>
      </c>
      <c r="M199">
        <v>77326600</v>
      </c>
      <c r="N199">
        <v>15759998.719999999</v>
      </c>
      <c r="O199">
        <v>231.777682</v>
      </c>
      <c r="P199">
        <v>2.6443721715147221</v>
      </c>
      <c r="Q199">
        <v>43.8319908</v>
      </c>
      <c r="R199">
        <v>799.92522200000008</v>
      </c>
      <c r="S199">
        <v>1.9069585200000001E-10</v>
      </c>
      <c r="T199">
        <v>21.687783350952593</v>
      </c>
      <c r="U199">
        <v>100.934</v>
      </c>
      <c r="V199">
        <v>-597.84926306456487</v>
      </c>
      <c r="W199">
        <v>69.222351200000006</v>
      </c>
      <c r="X199">
        <v>94.863870199999994</v>
      </c>
      <c r="Y199">
        <v>177.97</v>
      </c>
      <c r="Z199">
        <v>255.812736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2.6443721715147221</v>
      </c>
    </row>
    <row r="200" spans="1:40" x14ac:dyDescent="0.3">
      <c r="A200">
        <v>31</v>
      </c>
      <c r="B200">
        <v>16</v>
      </c>
      <c r="C200">
        <v>2.1350543602808014</v>
      </c>
      <c r="D200">
        <v>12</v>
      </c>
      <c r="E200">
        <v>9</v>
      </c>
      <c r="F200">
        <v>0.30607815852127712</v>
      </c>
      <c r="G200">
        <v>21</v>
      </c>
      <c r="H200">
        <v>12</v>
      </c>
      <c r="I200">
        <v>0.47637318384208238</v>
      </c>
      <c r="J200">
        <v>326800578.12283117</v>
      </c>
      <c r="K200">
        <v>165409000</v>
      </c>
      <c r="L200">
        <v>79926822.714018509</v>
      </c>
      <c r="M200">
        <v>77193400</v>
      </c>
      <c r="N200">
        <v>15760121.279999999</v>
      </c>
      <c r="O200">
        <v>231.75964300000001</v>
      </c>
      <c r="P200">
        <v>2.6374909103241717</v>
      </c>
      <c r="Q200">
        <v>43.747823500000003</v>
      </c>
      <c r="R200">
        <v>801.36763300000007</v>
      </c>
      <c r="S200">
        <v>4.8743032199999997E-11</v>
      </c>
      <c r="T200">
        <v>21.433100240512402</v>
      </c>
      <c r="U200">
        <v>100.934</v>
      </c>
      <c r="V200">
        <v>-604.87084064497446</v>
      </c>
      <c r="W200">
        <v>69.252097899999995</v>
      </c>
      <c r="X200">
        <v>94.976015099999998</v>
      </c>
      <c r="Y200">
        <v>121.52199999999999</v>
      </c>
      <c r="Z200">
        <v>254.40661900000001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2.6374909103241717</v>
      </c>
    </row>
    <row r="201" spans="1:40" x14ac:dyDescent="0.3">
      <c r="A201">
        <v>39</v>
      </c>
      <c r="B201">
        <v>10</v>
      </c>
      <c r="C201">
        <v>10.600901398584138</v>
      </c>
      <c r="D201">
        <v>16</v>
      </c>
      <c r="E201">
        <v>14</v>
      </c>
      <c r="F201">
        <v>0.32588218344154035</v>
      </c>
      <c r="G201">
        <v>11</v>
      </c>
      <c r="H201">
        <v>7</v>
      </c>
      <c r="I201">
        <v>0.66214162990935166</v>
      </c>
      <c r="J201">
        <v>328778399.91449893</v>
      </c>
      <c r="K201">
        <v>165522000</v>
      </c>
      <c r="L201">
        <v>79933029.480024636</v>
      </c>
      <c r="M201">
        <v>77357500</v>
      </c>
      <c r="N201">
        <v>15761579.6</v>
      </c>
      <c r="O201">
        <v>231.46854500000001</v>
      </c>
      <c r="P201">
        <v>2.6456339173190018</v>
      </c>
      <c r="Q201">
        <v>43.832010699999998</v>
      </c>
      <c r="R201">
        <v>800.48262199999999</v>
      </c>
      <c r="S201">
        <v>2.34064522E-11</v>
      </c>
      <c r="T201">
        <v>21.639531510690809</v>
      </c>
      <c r="U201">
        <v>100.934</v>
      </c>
      <c r="V201">
        <v>-611.63577921093838</v>
      </c>
      <c r="W201">
        <v>69.221171699999999</v>
      </c>
      <c r="X201">
        <v>94.852996599999997</v>
      </c>
      <c r="Y201">
        <v>144.29</v>
      </c>
      <c r="Z201">
        <v>255.46730099999999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2.6456339173190018</v>
      </c>
    </row>
    <row r="202" spans="1:40" x14ac:dyDescent="0.3">
      <c r="A202">
        <v>27</v>
      </c>
      <c r="B202">
        <v>19</v>
      </c>
      <c r="C202">
        <v>12.809954545380844</v>
      </c>
      <c r="D202">
        <v>28</v>
      </c>
      <c r="E202">
        <v>14</v>
      </c>
      <c r="F202">
        <v>0.31657360656492461</v>
      </c>
      <c r="G202">
        <v>28</v>
      </c>
      <c r="H202">
        <v>13</v>
      </c>
      <c r="I202">
        <v>0.94052080004919913</v>
      </c>
      <c r="J202">
        <v>329465935.21754587</v>
      </c>
      <c r="K202">
        <v>165551000</v>
      </c>
      <c r="L202">
        <v>79926822.653207868</v>
      </c>
      <c r="M202">
        <v>77309900</v>
      </c>
      <c r="N202">
        <v>15760114.4</v>
      </c>
      <c r="O202">
        <v>231.67828600000001</v>
      </c>
      <c r="P202">
        <v>2.6467129025541634</v>
      </c>
      <c r="Q202">
        <v>43.838023200000002</v>
      </c>
      <c r="R202">
        <v>799.91434700000002</v>
      </c>
      <c r="S202">
        <v>2.63745874E-12</v>
      </c>
      <c r="T202">
        <v>21.644597916384736</v>
      </c>
      <c r="U202">
        <v>100.934</v>
      </c>
      <c r="V202">
        <v>-603.25800173059565</v>
      </c>
      <c r="W202">
        <v>69.221406200000004</v>
      </c>
      <c r="X202">
        <v>94.857190399999993</v>
      </c>
      <c r="Y202">
        <v>170.55</v>
      </c>
      <c r="Z202">
        <v>254.089505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2.6467129025541634</v>
      </c>
    </row>
    <row r="203" spans="1:40" x14ac:dyDescent="0.3">
      <c r="A203">
        <v>29</v>
      </c>
      <c r="B203">
        <v>14</v>
      </c>
      <c r="C203">
        <v>5.7435375516642475</v>
      </c>
      <c r="D203">
        <v>10</v>
      </c>
      <c r="E203">
        <v>7</v>
      </c>
      <c r="F203">
        <v>0.31356145315105288</v>
      </c>
      <c r="G203">
        <v>18</v>
      </c>
      <c r="H203">
        <v>14</v>
      </c>
      <c r="I203">
        <v>0.39813376042765902</v>
      </c>
      <c r="J203">
        <v>327372951.82303655</v>
      </c>
      <c r="K203">
        <v>165446000</v>
      </c>
      <c r="L203">
        <v>79939836.853110015</v>
      </c>
      <c r="M203">
        <v>77205900</v>
      </c>
      <c r="N203">
        <v>15763192.800000001</v>
      </c>
      <c r="O203">
        <v>231.888081</v>
      </c>
      <c r="P203">
        <v>2.6381720842144452</v>
      </c>
      <c r="Q203">
        <v>43.758874200000001</v>
      </c>
      <c r="R203">
        <v>801.39610699999992</v>
      </c>
      <c r="S203">
        <v>1.6221053100000001E-9</v>
      </c>
      <c r="T203">
        <v>21.453452398691336</v>
      </c>
      <c r="U203">
        <v>100.934</v>
      </c>
      <c r="V203">
        <v>-615.8234800369637</v>
      </c>
      <c r="W203">
        <v>69.2224784</v>
      </c>
      <c r="X203">
        <v>94.865407500000003</v>
      </c>
      <c r="Y203">
        <v>121.52199999999999</v>
      </c>
      <c r="Z203">
        <v>257.027806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2.6381720842144452</v>
      </c>
    </row>
    <row r="204" spans="1:40" x14ac:dyDescent="0.3">
      <c r="A204">
        <v>28</v>
      </c>
      <c r="B204">
        <v>10</v>
      </c>
      <c r="C204">
        <v>7.2213160777424115</v>
      </c>
      <c r="D204">
        <v>27</v>
      </c>
      <c r="E204">
        <v>5</v>
      </c>
      <c r="F204">
        <v>0.31184721907309865</v>
      </c>
      <c r="G204">
        <v>13</v>
      </c>
      <c r="H204">
        <v>7</v>
      </c>
      <c r="I204">
        <v>0.90404277398342092</v>
      </c>
      <c r="J204">
        <v>327994972.80476254</v>
      </c>
      <c r="K204">
        <v>165474000</v>
      </c>
      <c r="L204">
        <v>79928124.058015957</v>
      </c>
      <c r="M204">
        <v>77254400</v>
      </c>
      <c r="N204">
        <v>15760419.200000001</v>
      </c>
      <c r="O204">
        <v>231.87624</v>
      </c>
      <c r="P204">
        <v>2.6397376035781783</v>
      </c>
      <c r="Q204">
        <v>43.817851900000001</v>
      </c>
      <c r="R204">
        <v>800.06214699999998</v>
      </c>
      <c r="S204">
        <v>5.31530232E-8</v>
      </c>
      <c r="T204">
        <v>21.753249297026123</v>
      </c>
      <c r="U204">
        <v>100.934</v>
      </c>
      <c r="V204">
        <v>-593.8613111319703</v>
      </c>
      <c r="W204">
        <v>69.225653100000002</v>
      </c>
      <c r="X204">
        <v>94.876367599999995</v>
      </c>
      <c r="Y204">
        <v>177.97</v>
      </c>
      <c r="Z204">
        <v>254.47698500000001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2.6397376035781783</v>
      </c>
    </row>
    <row r="205" spans="1:40" x14ac:dyDescent="0.3">
      <c r="A205">
        <v>39</v>
      </c>
      <c r="B205">
        <v>12</v>
      </c>
      <c r="C205">
        <v>14.661359380464575</v>
      </c>
      <c r="D205">
        <v>28</v>
      </c>
      <c r="E205">
        <v>7</v>
      </c>
      <c r="F205">
        <v>0.31587393215221365</v>
      </c>
      <c r="G205">
        <v>29</v>
      </c>
      <c r="H205">
        <v>7</v>
      </c>
      <c r="I205">
        <v>0.3601976252628809</v>
      </c>
      <c r="J205">
        <v>330276061.63149989</v>
      </c>
      <c r="K205">
        <v>165602000</v>
      </c>
      <c r="L205">
        <v>79937734.617086127</v>
      </c>
      <c r="M205">
        <v>77257700</v>
      </c>
      <c r="N205">
        <v>15762902.720000001</v>
      </c>
      <c r="O205">
        <v>231.76292599999999</v>
      </c>
      <c r="P205">
        <v>2.6500848855135128</v>
      </c>
      <c r="Q205">
        <v>43.835802999999999</v>
      </c>
      <c r="R205">
        <v>799.977487</v>
      </c>
      <c r="S205">
        <v>1.1499830999999999E-9</v>
      </c>
      <c r="T205">
        <v>21.708708920924479</v>
      </c>
      <c r="U205">
        <v>100.934</v>
      </c>
      <c r="V205">
        <v>-598.6543054384581</v>
      </c>
      <c r="W205">
        <v>69.219238500000003</v>
      </c>
      <c r="X205">
        <v>94.840076600000003</v>
      </c>
      <c r="Y205">
        <v>177.97</v>
      </c>
      <c r="Z205">
        <v>253.51713899999999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2.6500848855135128</v>
      </c>
    </row>
    <row r="206" spans="1:40" x14ac:dyDescent="0.3">
      <c r="A206">
        <v>27</v>
      </c>
      <c r="B206">
        <v>18</v>
      </c>
      <c r="C206">
        <v>12.262059476548339</v>
      </c>
      <c r="D206">
        <v>29</v>
      </c>
      <c r="E206">
        <v>9</v>
      </c>
      <c r="F206">
        <v>0.34902932387537089</v>
      </c>
      <c r="G206">
        <v>29</v>
      </c>
      <c r="H206">
        <v>7</v>
      </c>
      <c r="I206">
        <v>0.73844006269531293</v>
      </c>
      <c r="J206">
        <v>329310659.97478449</v>
      </c>
      <c r="K206">
        <v>165552000</v>
      </c>
      <c r="L206">
        <v>79927723.717805043</v>
      </c>
      <c r="M206">
        <v>77374300</v>
      </c>
      <c r="N206">
        <v>15760363.119999999</v>
      </c>
      <c r="O206">
        <v>231.34102200000001</v>
      </c>
      <c r="P206">
        <v>2.6489060388496837</v>
      </c>
      <c r="Q206">
        <v>43.872554399999999</v>
      </c>
      <c r="R206">
        <v>800.20282099999997</v>
      </c>
      <c r="S206">
        <v>1.4164609199999999E-11</v>
      </c>
      <c r="T206">
        <v>21.742612290873716</v>
      </c>
      <c r="U206">
        <v>100.934</v>
      </c>
      <c r="V206">
        <v>-603.09021559155485</v>
      </c>
      <c r="W206">
        <v>69.221199799999994</v>
      </c>
      <c r="X206">
        <v>94.856875099999996</v>
      </c>
      <c r="Y206">
        <v>177.97</v>
      </c>
      <c r="Z206">
        <v>253.89847800000001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2.6489060388496837</v>
      </c>
    </row>
    <row r="207" spans="1:40" x14ac:dyDescent="0.3">
      <c r="A207">
        <v>28</v>
      </c>
      <c r="B207">
        <v>17</v>
      </c>
      <c r="C207">
        <v>2.1488461090101767</v>
      </c>
      <c r="D207">
        <v>19</v>
      </c>
      <c r="E207">
        <v>11</v>
      </c>
      <c r="F207">
        <v>0.32818780597299246</v>
      </c>
      <c r="G207">
        <v>26</v>
      </c>
      <c r="H207">
        <v>8</v>
      </c>
      <c r="I207">
        <v>1.2822481760236342</v>
      </c>
      <c r="J207">
        <v>327030971.27969486</v>
      </c>
      <c r="K207">
        <v>165428000</v>
      </c>
      <c r="L207">
        <v>79925421.21388562</v>
      </c>
      <c r="M207">
        <v>77438400</v>
      </c>
      <c r="N207">
        <v>15759779.039999999</v>
      </c>
      <c r="O207">
        <v>231.089223</v>
      </c>
      <c r="P207">
        <v>2.641502301433905</v>
      </c>
      <c r="Q207">
        <v>43.827334800000003</v>
      </c>
      <c r="R207">
        <v>800.55538200000001</v>
      </c>
      <c r="S207">
        <v>2.1509068399999999E-12</v>
      </c>
      <c r="T207">
        <v>21.677501523251401</v>
      </c>
      <c r="U207">
        <v>91.850000000000009</v>
      </c>
      <c r="V207">
        <v>-592.9053967442037</v>
      </c>
      <c r="W207">
        <v>69.275000000000006</v>
      </c>
      <c r="X207">
        <v>95.056659600000003</v>
      </c>
      <c r="Y207">
        <v>144.29</v>
      </c>
      <c r="Z207">
        <v>254.08305899999999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2.641502301433905</v>
      </c>
    </row>
    <row r="208" spans="1:40" x14ac:dyDescent="0.3">
      <c r="A208">
        <v>29</v>
      </c>
      <c r="B208">
        <v>10</v>
      </c>
      <c r="C208">
        <v>8.4243849010479934</v>
      </c>
      <c r="D208">
        <v>23</v>
      </c>
      <c r="E208">
        <v>5</v>
      </c>
      <c r="F208">
        <v>0.30264032812588454</v>
      </c>
      <c r="G208">
        <v>17</v>
      </c>
      <c r="H208">
        <v>14</v>
      </c>
      <c r="I208">
        <v>0.43949512302682647</v>
      </c>
      <c r="J208">
        <v>328221871.877235</v>
      </c>
      <c r="K208">
        <v>165490000</v>
      </c>
      <c r="L208">
        <v>79945342.801254034</v>
      </c>
      <c r="M208">
        <v>77338700</v>
      </c>
      <c r="N208">
        <v>15764446.959999999</v>
      </c>
      <c r="O208">
        <v>231.94315399999999</v>
      </c>
      <c r="P208">
        <v>2.6383402643519727</v>
      </c>
      <c r="Q208">
        <v>43.808883799999997</v>
      </c>
      <c r="R208">
        <v>800.07704100000001</v>
      </c>
      <c r="S208">
        <v>5.8594295E-8</v>
      </c>
      <c r="T208">
        <v>21.734262575204465</v>
      </c>
      <c r="U208">
        <v>100.934</v>
      </c>
      <c r="V208">
        <v>-595.62037710546929</v>
      </c>
      <c r="W208">
        <v>69.223760400000003</v>
      </c>
      <c r="X208">
        <v>94.868659199999996</v>
      </c>
      <c r="Y208">
        <v>177.97</v>
      </c>
      <c r="Z208">
        <v>259.498964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2.6383402643519727</v>
      </c>
    </row>
    <row r="209" spans="1:40" x14ac:dyDescent="0.3">
      <c r="A209">
        <v>33</v>
      </c>
      <c r="B209">
        <v>18</v>
      </c>
      <c r="C209">
        <v>5.9803841315736221</v>
      </c>
      <c r="D209">
        <v>16</v>
      </c>
      <c r="E209">
        <v>14</v>
      </c>
      <c r="F209">
        <v>0.30346410896927328</v>
      </c>
      <c r="G209">
        <v>28</v>
      </c>
      <c r="H209">
        <v>11</v>
      </c>
      <c r="I209">
        <v>0.86750402252487002</v>
      </c>
      <c r="J209">
        <v>328011551.47696364</v>
      </c>
      <c r="K209">
        <v>165465000</v>
      </c>
      <c r="L209">
        <v>79924820.541681454</v>
      </c>
      <c r="M209">
        <v>76985000</v>
      </c>
      <c r="N209">
        <v>15759624</v>
      </c>
      <c r="O209">
        <v>232.408818</v>
      </c>
      <c r="P209">
        <v>2.6386829217212631</v>
      </c>
      <c r="Q209">
        <v>43.705401799999997</v>
      </c>
      <c r="R209">
        <v>801.70666900000003</v>
      </c>
      <c r="S209">
        <v>1.2343381899999999E-14</v>
      </c>
      <c r="T209">
        <v>21.226577758026504</v>
      </c>
      <c r="U209">
        <v>100.934</v>
      </c>
      <c r="V209">
        <v>-617.12375659310817</v>
      </c>
      <c r="W209">
        <v>69.219587399999995</v>
      </c>
      <c r="X209">
        <v>94.845423299999993</v>
      </c>
      <c r="Y209">
        <v>121.52199999999999</v>
      </c>
      <c r="Z209">
        <v>254.38233099999999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2.6386829217212631</v>
      </c>
    </row>
    <row r="210" spans="1:40" x14ac:dyDescent="0.3">
      <c r="A210">
        <v>39</v>
      </c>
      <c r="B210">
        <v>10</v>
      </c>
      <c r="C210">
        <v>1.0937810542326036</v>
      </c>
      <c r="D210">
        <v>28</v>
      </c>
      <c r="E210">
        <v>11</v>
      </c>
      <c r="F210">
        <v>0.35408756064513669</v>
      </c>
      <c r="G210">
        <v>15</v>
      </c>
      <c r="H210">
        <v>13</v>
      </c>
      <c r="I210">
        <v>1.0147669280878375</v>
      </c>
      <c r="J210">
        <v>327086686.41423517</v>
      </c>
      <c r="K210">
        <v>165445000</v>
      </c>
      <c r="L210">
        <v>79927323.254740193</v>
      </c>
      <c r="M210">
        <v>78100500</v>
      </c>
      <c r="N210">
        <v>15760009.6</v>
      </c>
      <c r="O210">
        <v>228.98644200000001</v>
      </c>
      <c r="P210">
        <v>2.6534883046583468</v>
      </c>
      <c r="Q210">
        <v>43.820887300000003</v>
      </c>
      <c r="R210">
        <v>801.83501999999999</v>
      </c>
      <c r="S210">
        <v>1.7969680300000001E-13</v>
      </c>
      <c r="T210">
        <v>21.703801670605355</v>
      </c>
      <c r="U210">
        <v>100.934</v>
      </c>
      <c r="V210">
        <v>-494.0462259439729</v>
      </c>
      <c r="W210">
        <v>69.538408599999997</v>
      </c>
      <c r="X210">
        <v>96.484304399999999</v>
      </c>
      <c r="Y210">
        <v>177.97</v>
      </c>
      <c r="Z210">
        <v>258.84893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2.6534883046583468</v>
      </c>
    </row>
    <row r="211" spans="1:40" x14ac:dyDescent="0.3">
      <c r="A211">
        <v>37</v>
      </c>
      <c r="B211">
        <v>19</v>
      </c>
      <c r="C211">
        <v>4.2081132404536632</v>
      </c>
      <c r="D211">
        <v>24</v>
      </c>
      <c r="E211">
        <v>12</v>
      </c>
      <c r="F211">
        <v>0.30267773644151391</v>
      </c>
      <c r="G211">
        <v>10</v>
      </c>
      <c r="H211">
        <v>8</v>
      </c>
      <c r="I211">
        <v>1.0543725005116757</v>
      </c>
      <c r="J211">
        <v>327571253.49452168</v>
      </c>
      <c r="K211">
        <v>165455000</v>
      </c>
      <c r="L211">
        <v>79934030.539896667</v>
      </c>
      <c r="M211">
        <v>77372800</v>
      </c>
      <c r="N211">
        <v>15761692</v>
      </c>
      <c r="O211">
        <v>231.81307100000001</v>
      </c>
      <c r="P211">
        <v>2.6365996233261506</v>
      </c>
      <c r="Q211">
        <v>43.821928499999999</v>
      </c>
      <c r="R211">
        <v>799.92117200000007</v>
      </c>
      <c r="S211">
        <v>1.4810417500000001E-13</v>
      </c>
      <c r="T211">
        <v>21.620430437965545</v>
      </c>
      <c r="U211">
        <v>100.934</v>
      </c>
      <c r="V211">
        <v>-603.65540233569459</v>
      </c>
      <c r="W211">
        <v>69.219520799999998</v>
      </c>
      <c r="X211">
        <v>94.844994499999999</v>
      </c>
      <c r="Y211">
        <v>170.55</v>
      </c>
      <c r="Z211">
        <v>258.604491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2.6365996233261506</v>
      </c>
    </row>
    <row r="212" spans="1:40" x14ac:dyDescent="0.3">
      <c r="A212">
        <v>39</v>
      </c>
      <c r="B212">
        <v>19</v>
      </c>
      <c r="C212">
        <v>6.0876844052757679</v>
      </c>
      <c r="D212">
        <v>24</v>
      </c>
      <c r="E212">
        <v>9</v>
      </c>
      <c r="F212">
        <v>0.31124735165834766</v>
      </c>
      <c r="G212">
        <v>26</v>
      </c>
      <c r="H212">
        <v>11</v>
      </c>
      <c r="I212">
        <v>0.31130761745607638</v>
      </c>
      <c r="J212">
        <v>328261761.0073334</v>
      </c>
      <c r="K212">
        <v>165499000</v>
      </c>
      <c r="L212">
        <v>79940537.6440593</v>
      </c>
      <c r="M212">
        <v>77257400</v>
      </c>
      <c r="N212">
        <v>15763601.199999999</v>
      </c>
      <c r="O212">
        <v>231.75429399999999</v>
      </c>
      <c r="P212">
        <v>2.6423271196684963</v>
      </c>
      <c r="Q212">
        <v>43.831535700000003</v>
      </c>
      <c r="R212">
        <v>799.97163499999999</v>
      </c>
      <c r="S212">
        <v>2.9729244699999997E-11</v>
      </c>
      <c r="T212">
        <v>21.661301356016502</v>
      </c>
      <c r="U212">
        <v>100.934</v>
      </c>
      <c r="V212">
        <v>-602.11831177015677</v>
      </c>
      <c r="W212">
        <v>69.2188965</v>
      </c>
      <c r="X212">
        <v>94.835103700000005</v>
      </c>
      <c r="Y212">
        <v>170.55</v>
      </c>
      <c r="Z212">
        <v>253.39263299999999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2.6423271196684963</v>
      </c>
    </row>
    <row r="213" spans="1:40" x14ac:dyDescent="0.3">
      <c r="A213">
        <v>30</v>
      </c>
      <c r="B213">
        <v>19</v>
      </c>
      <c r="C213">
        <v>5.7492271011379419</v>
      </c>
      <c r="D213">
        <v>10</v>
      </c>
      <c r="E213">
        <v>8</v>
      </c>
      <c r="F213">
        <v>0.33232263800366618</v>
      </c>
      <c r="G213">
        <v>28</v>
      </c>
      <c r="H213">
        <v>9</v>
      </c>
      <c r="I213">
        <v>1.327721227807221</v>
      </c>
      <c r="J213">
        <v>327797629.60638666</v>
      </c>
      <c r="K213">
        <v>165450000</v>
      </c>
      <c r="L213">
        <v>79925020.699665859</v>
      </c>
      <c r="M213">
        <v>77040800</v>
      </c>
      <c r="N213">
        <v>15759659.279999999</v>
      </c>
      <c r="O213">
        <v>232.123212</v>
      </c>
      <c r="P213">
        <v>2.6399575310090451</v>
      </c>
      <c r="Q213">
        <v>43.725822200000003</v>
      </c>
      <c r="R213">
        <v>801.96331600000008</v>
      </c>
      <c r="S213">
        <v>2.5904903599999999E-10</v>
      </c>
      <c r="T213">
        <v>21.30324075965591</v>
      </c>
      <c r="U213">
        <v>100.934</v>
      </c>
      <c r="V213">
        <v>-619.3923122732723</v>
      </c>
      <c r="W213">
        <v>69.220946600000005</v>
      </c>
      <c r="X213">
        <v>94.855899399999998</v>
      </c>
      <c r="Y213">
        <v>121.52199999999999</v>
      </c>
      <c r="Z213">
        <v>254.438928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2.6399575310090451</v>
      </c>
    </row>
    <row r="214" spans="1:40" x14ac:dyDescent="0.3">
      <c r="A214">
        <v>39</v>
      </c>
      <c r="B214">
        <v>10</v>
      </c>
      <c r="C214">
        <v>7.9847220808853994</v>
      </c>
      <c r="D214">
        <v>21</v>
      </c>
      <c r="E214">
        <v>5</v>
      </c>
      <c r="F214">
        <v>0.32781462383864252</v>
      </c>
      <c r="G214">
        <v>11</v>
      </c>
      <c r="H214">
        <v>9</v>
      </c>
      <c r="I214">
        <v>0.34494700221903185</v>
      </c>
      <c r="J214">
        <v>328349115.36365038</v>
      </c>
      <c r="K214">
        <v>165538000</v>
      </c>
      <c r="L214">
        <v>79972772.789120153</v>
      </c>
      <c r="M214">
        <v>77500200</v>
      </c>
      <c r="N214">
        <v>15771044.32</v>
      </c>
      <c r="O214">
        <v>231.706084</v>
      </c>
      <c r="P214">
        <v>2.639250139298007</v>
      </c>
      <c r="Q214">
        <v>43.829262900000003</v>
      </c>
      <c r="R214">
        <v>800.23898599999995</v>
      </c>
      <c r="S214">
        <v>4.58327839E-8</v>
      </c>
      <c r="T214">
        <v>21.749798040397092</v>
      </c>
      <c r="U214">
        <v>100.934</v>
      </c>
      <c r="V214">
        <v>-599.36702663388837</v>
      </c>
      <c r="W214">
        <v>69.2225514</v>
      </c>
      <c r="X214">
        <v>94.860352000000006</v>
      </c>
      <c r="Y214">
        <v>170.55</v>
      </c>
      <c r="Z214">
        <v>274.645352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2.639250139298007</v>
      </c>
    </row>
    <row r="215" spans="1:40" x14ac:dyDescent="0.3">
      <c r="A215">
        <v>28</v>
      </c>
      <c r="B215">
        <v>14</v>
      </c>
      <c r="C215">
        <v>5.8152199299913967</v>
      </c>
      <c r="D215">
        <v>25</v>
      </c>
      <c r="E215">
        <v>6</v>
      </c>
      <c r="F215">
        <v>0.3083235918595606</v>
      </c>
      <c r="G215">
        <v>14</v>
      </c>
      <c r="H215">
        <v>11</v>
      </c>
      <c r="I215">
        <v>0.69868226293858982</v>
      </c>
      <c r="J215">
        <v>327580476.95663804</v>
      </c>
      <c r="K215">
        <v>165452000</v>
      </c>
      <c r="L215">
        <v>79929625.715722382</v>
      </c>
      <c r="M215">
        <v>77337000</v>
      </c>
      <c r="N215">
        <v>15760634.800000001</v>
      </c>
      <c r="O215">
        <v>231.83355800000001</v>
      </c>
      <c r="P215">
        <v>2.6370181811512672</v>
      </c>
      <c r="Q215">
        <v>43.822426499999999</v>
      </c>
      <c r="R215">
        <v>800.02723800000001</v>
      </c>
      <c r="S215">
        <v>8.4273784400000008E-9</v>
      </c>
      <c r="T215">
        <v>21.714598601549181</v>
      </c>
      <c r="U215">
        <v>100.934</v>
      </c>
      <c r="V215">
        <v>-596.98573773198177</v>
      </c>
      <c r="W215">
        <v>69.223271699999998</v>
      </c>
      <c r="X215">
        <v>94.868690200000003</v>
      </c>
      <c r="Y215">
        <v>177.97</v>
      </c>
      <c r="Z215">
        <v>257.52944000000002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2.6370181811512672</v>
      </c>
    </row>
    <row r="216" spans="1:40" x14ac:dyDescent="0.3">
      <c r="A216">
        <v>39</v>
      </c>
      <c r="B216">
        <v>18</v>
      </c>
      <c r="C216">
        <v>14.447693425504776</v>
      </c>
      <c r="D216">
        <v>29</v>
      </c>
      <c r="E216">
        <v>5</v>
      </c>
      <c r="F216">
        <v>0.30396136649005057</v>
      </c>
      <c r="G216">
        <v>18</v>
      </c>
      <c r="H216">
        <v>7</v>
      </c>
      <c r="I216">
        <v>1.3819037037639712</v>
      </c>
      <c r="J216">
        <v>330115379.42311323</v>
      </c>
      <c r="K216">
        <v>165589000</v>
      </c>
      <c r="L216">
        <v>79926021.838221937</v>
      </c>
      <c r="M216">
        <v>77220900</v>
      </c>
      <c r="N216">
        <v>15759924.720000001</v>
      </c>
      <c r="O216">
        <v>232.00426999999999</v>
      </c>
      <c r="P216">
        <v>2.6473107955336963</v>
      </c>
      <c r="Q216">
        <v>43.813287299999999</v>
      </c>
      <c r="R216">
        <v>799.97284100000002</v>
      </c>
      <c r="S216">
        <v>5.7667913299999998E-8</v>
      </c>
      <c r="T216">
        <v>21.746876914562758</v>
      </c>
      <c r="U216">
        <v>100.934</v>
      </c>
      <c r="V216">
        <v>-594.99456665440289</v>
      </c>
      <c r="W216">
        <v>69.218592999999998</v>
      </c>
      <c r="X216">
        <v>94.827136699999997</v>
      </c>
      <c r="Y216">
        <v>177.97</v>
      </c>
      <c r="Z216">
        <v>254.32834299999999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2.6473107955336963</v>
      </c>
    </row>
    <row r="217" spans="1:40" x14ac:dyDescent="0.3">
      <c r="A217">
        <v>39</v>
      </c>
      <c r="B217">
        <v>10</v>
      </c>
      <c r="C217">
        <v>1.5146605284346886</v>
      </c>
      <c r="D217">
        <v>10</v>
      </c>
      <c r="E217">
        <v>8</v>
      </c>
      <c r="F217">
        <v>0.42344162610722896</v>
      </c>
      <c r="G217">
        <v>10</v>
      </c>
      <c r="H217">
        <v>7</v>
      </c>
      <c r="I217">
        <v>0.44017513151831822</v>
      </c>
      <c r="J217">
        <v>326693049.23744684</v>
      </c>
      <c r="K217">
        <v>165449000</v>
      </c>
      <c r="L217">
        <v>79947244.891209111</v>
      </c>
      <c r="M217">
        <v>77610800</v>
      </c>
      <c r="N217">
        <v>15764943.359999999</v>
      </c>
      <c r="O217">
        <v>230.185757</v>
      </c>
      <c r="P217">
        <v>2.6479700180317933</v>
      </c>
      <c r="Q217">
        <v>43.758846800000001</v>
      </c>
      <c r="R217">
        <v>803.20005300000003</v>
      </c>
      <c r="S217">
        <v>7.05268131E-11</v>
      </c>
      <c r="T217">
        <v>21.503729042260343</v>
      </c>
      <c r="U217">
        <v>100.934</v>
      </c>
      <c r="V217">
        <v>-571.4947500001673</v>
      </c>
      <c r="W217">
        <v>69.381961599999997</v>
      </c>
      <c r="X217">
        <v>95.487862699999994</v>
      </c>
      <c r="Y217">
        <v>121.52199999999999</v>
      </c>
      <c r="Z217">
        <v>258.76421099999999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2.6479700180317933</v>
      </c>
    </row>
    <row r="218" spans="1:40" x14ac:dyDescent="0.3">
      <c r="A218">
        <v>39</v>
      </c>
      <c r="B218">
        <v>19</v>
      </c>
      <c r="C218">
        <v>2.6247262424572773</v>
      </c>
      <c r="D218">
        <v>17</v>
      </c>
      <c r="E218">
        <v>13</v>
      </c>
      <c r="F218">
        <v>0.31439690779611085</v>
      </c>
      <c r="G218">
        <v>28</v>
      </c>
      <c r="H218">
        <v>14</v>
      </c>
      <c r="I218">
        <v>0.64360226632741979</v>
      </c>
      <c r="J218">
        <v>327477230.15109432</v>
      </c>
      <c r="K218">
        <v>165466000</v>
      </c>
      <c r="L218">
        <v>79928524.560730994</v>
      </c>
      <c r="M218">
        <v>77295500</v>
      </c>
      <c r="N218">
        <v>15760559.84</v>
      </c>
      <c r="O218">
        <v>231.61089999999999</v>
      </c>
      <c r="P218">
        <v>2.6403084385386864</v>
      </c>
      <c r="Q218">
        <v>43.825996099999998</v>
      </c>
      <c r="R218">
        <v>800.29131399999994</v>
      </c>
      <c r="S218">
        <v>1.86316545E-10</v>
      </c>
      <c r="T218">
        <v>21.650954274538272</v>
      </c>
      <c r="U218">
        <v>100.934</v>
      </c>
      <c r="V218">
        <v>-607.2219733749115</v>
      </c>
      <c r="W218">
        <v>69.222086000000004</v>
      </c>
      <c r="X218">
        <v>94.863567700000004</v>
      </c>
      <c r="Y218">
        <v>144.29</v>
      </c>
      <c r="Z218">
        <v>254.069166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2.6403084385386864</v>
      </c>
    </row>
    <row r="219" spans="1:40" x14ac:dyDescent="0.3">
      <c r="A219">
        <v>39</v>
      </c>
      <c r="B219">
        <v>16</v>
      </c>
      <c r="C219">
        <v>7.6402842992837288</v>
      </c>
      <c r="D219">
        <v>27</v>
      </c>
      <c r="E219">
        <v>9</v>
      </c>
      <c r="F219">
        <v>0.30536756388091263</v>
      </c>
      <c r="G219">
        <v>11</v>
      </c>
      <c r="H219">
        <v>8</v>
      </c>
      <c r="I219">
        <v>0.3567210552948657</v>
      </c>
      <c r="J219">
        <v>328254212.22316563</v>
      </c>
      <c r="K219">
        <v>165518000</v>
      </c>
      <c r="L219">
        <v>79955754.271251246</v>
      </c>
      <c r="M219">
        <v>77387500</v>
      </c>
      <c r="N219">
        <v>15767027.279999999</v>
      </c>
      <c r="O219">
        <v>231.84856300000001</v>
      </c>
      <c r="P219">
        <v>2.6391153365223676</v>
      </c>
      <c r="Q219">
        <v>43.827279500000003</v>
      </c>
      <c r="R219">
        <v>799.86190099999999</v>
      </c>
      <c r="S219">
        <v>3.3570252199999997E-11</v>
      </c>
      <c r="T219">
        <v>21.661725862093657</v>
      </c>
      <c r="U219">
        <v>100.934</v>
      </c>
      <c r="V219">
        <v>-599.47796688398012</v>
      </c>
      <c r="W219">
        <v>69.218999400000001</v>
      </c>
      <c r="X219">
        <v>94.837510300000005</v>
      </c>
      <c r="Y219">
        <v>177.97</v>
      </c>
      <c r="Z219">
        <v>260.45638700000001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2.6391153365223676</v>
      </c>
    </row>
    <row r="220" spans="1:40" x14ac:dyDescent="0.3">
      <c r="A220">
        <v>27</v>
      </c>
      <c r="B220">
        <v>17</v>
      </c>
      <c r="C220">
        <v>3.3161634509569704</v>
      </c>
      <c r="D220">
        <v>24</v>
      </c>
      <c r="E220">
        <v>13</v>
      </c>
      <c r="F220">
        <v>0.30702129486673496</v>
      </c>
      <c r="G220">
        <v>10</v>
      </c>
      <c r="H220">
        <v>7</v>
      </c>
      <c r="I220">
        <v>0.73843497948054893</v>
      </c>
      <c r="J220">
        <v>327013559.93113703</v>
      </c>
      <c r="K220">
        <v>165438000</v>
      </c>
      <c r="L220">
        <v>79935432.061600909</v>
      </c>
      <c r="M220">
        <v>77382300</v>
      </c>
      <c r="N220">
        <v>15762103.039999999</v>
      </c>
      <c r="O220">
        <v>231.63935000000001</v>
      </c>
      <c r="P220">
        <v>2.6364375591702545</v>
      </c>
      <c r="Q220">
        <v>43.821472800000002</v>
      </c>
      <c r="R220">
        <v>800.02354400000002</v>
      </c>
      <c r="S220">
        <v>1.8606947000000001E-12</v>
      </c>
      <c r="T220">
        <v>21.630184020374195</v>
      </c>
      <c r="U220">
        <v>100.934</v>
      </c>
      <c r="V220">
        <v>-599.5422894035612</v>
      </c>
      <c r="W220">
        <v>69.237482</v>
      </c>
      <c r="X220">
        <v>94.926401900000002</v>
      </c>
      <c r="Y220">
        <v>165.7</v>
      </c>
      <c r="Z220">
        <v>256.95617900000002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2.6364375591702545</v>
      </c>
    </row>
    <row r="221" spans="1:40" x14ac:dyDescent="0.3">
      <c r="A221">
        <v>35</v>
      </c>
      <c r="B221">
        <v>17</v>
      </c>
      <c r="C221">
        <v>3.7781141353567556</v>
      </c>
      <c r="D221">
        <v>16</v>
      </c>
      <c r="E221">
        <v>14</v>
      </c>
      <c r="F221">
        <v>0.33400897293768467</v>
      </c>
      <c r="G221">
        <v>17</v>
      </c>
      <c r="H221">
        <v>14</v>
      </c>
      <c r="I221">
        <v>0.43858718403107183</v>
      </c>
      <c r="J221">
        <v>327306672.83474058</v>
      </c>
      <c r="K221">
        <v>165454000</v>
      </c>
      <c r="L221">
        <v>79932328.708386838</v>
      </c>
      <c r="M221">
        <v>77042800</v>
      </c>
      <c r="N221">
        <v>15761515.84</v>
      </c>
      <c r="O221">
        <v>232.128523</v>
      </c>
      <c r="P221">
        <v>2.6384993704660675</v>
      </c>
      <c r="Q221">
        <v>43.730223199999998</v>
      </c>
      <c r="R221">
        <v>801.75475600000004</v>
      </c>
      <c r="S221">
        <v>4.7562375099999998E-15</v>
      </c>
      <c r="T221">
        <v>21.266736343835436</v>
      </c>
      <c r="U221">
        <v>100.934</v>
      </c>
      <c r="V221">
        <v>-619.53788569011647</v>
      </c>
      <c r="W221">
        <v>69.220828400000002</v>
      </c>
      <c r="X221">
        <v>94.855800299999999</v>
      </c>
      <c r="Y221">
        <v>121.52199999999999</v>
      </c>
      <c r="Z221">
        <v>253.95426699999999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2.6384993704660675</v>
      </c>
    </row>
    <row r="222" spans="1:40" x14ac:dyDescent="0.3">
      <c r="A222">
        <v>27</v>
      </c>
      <c r="B222">
        <v>12</v>
      </c>
      <c r="C222">
        <v>7.7736878998521259</v>
      </c>
      <c r="D222">
        <v>29</v>
      </c>
      <c r="E222">
        <v>14</v>
      </c>
      <c r="F222">
        <v>0.30590338356272528</v>
      </c>
      <c r="G222">
        <v>22</v>
      </c>
      <c r="H222">
        <v>7</v>
      </c>
      <c r="I222">
        <v>1.2838938107929292</v>
      </c>
      <c r="J222">
        <v>328369416.22531676</v>
      </c>
      <c r="K222">
        <v>165471000</v>
      </c>
      <c r="L222">
        <v>79926121.88239184</v>
      </c>
      <c r="M222">
        <v>77288000</v>
      </c>
      <c r="N222">
        <v>15759934.719999999</v>
      </c>
      <c r="O222">
        <v>231.799925</v>
      </c>
      <c r="P222">
        <v>2.6410062819164999</v>
      </c>
      <c r="Q222">
        <v>43.826750699999998</v>
      </c>
      <c r="R222">
        <v>799.81661699999995</v>
      </c>
      <c r="S222">
        <v>3.2941104600000001E-15</v>
      </c>
      <c r="T222">
        <v>21.633869070090121</v>
      </c>
      <c r="U222">
        <v>100.934</v>
      </c>
      <c r="V222">
        <v>-599.92180848572798</v>
      </c>
      <c r="W222">
        <v>69.223626999999993</v>
      </c>
      <c r="X222">
        <v>94.869504599999999</v>
      </c>
      <c r="Y222">
        <v>170.55</v>
      </c>
      <c r="Z222">
        <v>254.17109500000001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2.6410062819164999</v>
      </c>
    </row>
    <row r="223" spans="1:40" x14ac:dyDescent="0.3">
      <c r="A223">
        <v>33</v>
      </c>
      <c r="B223">
        <v>15</v>
      </c>
      <c r="C223">
        <v>3.5965668528766961</v>
      </c>
      <c r="D223">
        <v>20</v>
      </c>
      <c r="E223">
        <v>5</v>
      </c>
      <c r="F223">
        <v>0.30593941214957232</v>
      </c>
      <c r="G223">
        <v>16</v>
      </c>
      <c r="H223">
        <v>13</v>
      </c>
      <c r="I223">
        <v>0.90270981860452837</v>
      </c>
      <c r="J223">
        <v>327185256.49959809</v>
      </c>
      <c r="K223">
        <v>165428000</v>
      </c>
      <c r="L223">
        <v>79925721.515268102</v>
      </c>
      <c r="M223">
        <v>77296400</v>
      </c>
      <c r="N223">
        <v>15759716.399999999</v>
      </c>
      <c r="O223">
        <v>231.887767</v>
      </c>
      <c r="P223">
        <v>2.635560711008921</v>
      </c>
      <c r="Q223">
        <v>43.810040100000002</v>
      </c>
      <c r="R223">
        <v>800.15664099999992</v>
      </c>
      <c r="S223">
        <v>5.6819512600000002E-8</v>
      </c>
      <c r="T223">
        <v>21.728151088022109</v>
      </c>
      <c r="U223">
        <v>100.934</v>
      </c>
      <c r="V223">
        <v>-597.93850788688019</v>
      </c>
      <c r="W223">
        <v>69.223402199999995</v>
      </c>
      <c r="X223">
        <v>94.869163299999997</v>
      </c>
      <c r="Y223">
        <v>170.55</v>
      </c>
      <c r="Z223">
        <v>256.69934799999999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2.635560711008921</v>
      </c>
    </row>
    <row r="224" spans="1:40" x14ac:dyDescent="0.3">
      <c r="A224">
        <v>27</v>
      </c>
      <c r="B224">
        <v>19</v>
      </c>
      <c r="C224">
        <v>5.707745881914013</v>
      </c>
      <c r="D224">
        <v>29</v>
      </c>
      <c r="E224">
        <v>7</v>
      </c>
      <c r="F224">
        <v>0.30741091619339184</v>
      </c>
      <c r="G224">
        <v>20</v>
      </c>
      <c r="H224">
        <v>7</v>
      </c>
      <c r="I224">
        <v>0.34773414786380719</v>
      </c>
      <c r="J224">
        <v>327851693.7982828</v>
      </c>
      <c r="K224">
        <v>165479000</v>
      </c>
      <c r="L224">
        <v>79938835.819739923</v>
      </c>
      <c r="M224">
        <v>77246800</v>
      </c>
      <c r="N224">
        <v>15763176.719999999</v>
      </c>
      <c r="O224">
        <v>231.82691500000001</v>
      </c>
      <c r="P224">
        <v>2.6401196129805244</v>
      </c>
      <c r="Q224">
        <v>43.826301899999997</v>
      </c>
      <c r="R224">
        <v>799.91771899999992</v>
      </c>
      <c r="S224">
        <v>1.31983317E-9</v>
      </c>
      <c r="T224">
        <v>21.702625906200247</v>
      </c>
      <c r="U224">
        <v>100.934</v>
      </c>
      <c r="V224">
        <v>-595.95576947327368</v>
      </c>
      <c r="W224">
        <v>69.2263248</v>
      </c>
      <c r="X224">
        <v>94.879479099999998</v>
      </c>
      <c r="Y224">
        <v>177.97</v>
      </c>
      <c r="Z224">
        <v>253.5239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2.6401196129805244</v>
      </c>
    </row>
    <row r="225" spans="1:40" x14ac:dyDescent="0.3">
      <c r="A225">
        <v>35</v>
      </c>
      <c r="B225">
        <v>15</v>
      </c>
      <c r="C225">
        <v>2.3771804093515465</v>
      </c>
      <c r="D225">
        <v>17</v>
      </c>
      <c r="E225">
        <v>6</v>
      </c>
      <c r="F225">
        <v>0.32238929974049868</v>
      </c>
      <c r="G225">
        <v>14</v>
      </c>
      <c r="H225">
        <v>12</v>
      </c>
      <c r="I225">
        <v>0.61725258091365642</v>
      </c>
      <c r="J225">
        <v>326980048.94355303</v>
      </c>
      <c r="K225">
        <v>165447000</v>
      </c>
      <c r="L225">
        <v>79944742.183080956</v>
      </c>
      <c r="M225">
        <v>77483700</v>
      </c>
      <c r="N225">
        <v>15764211.520000001</v>
      </c>
      <c r="O225">
        <v>231.517224</v>
      </c>
      <c r="P225">
        <v>2.6359682351080989</v>
      </c>
      <c r="Q225">
        <v>43.826992500000003</v>
      </c>
      <c r="R225">
        <v>800.39289599999995</v>
      </c>
      <c r="S225">
        <v>7.0964901299999997E-9</v>
      </c>
      <c r="T225">
        <v>21.710980911838675</v>
      </c>
      <c r="U225">
        <v>100.934</v>
      </c>
      <c r="V225">
        <v>-600.55085636800891</v>
      </c>
      <c r="W225">
        <v>69.234363099999996</v>
      </c>
      <c r="X225">
        <v>94.913264699999999</v>
      </c>
      <c r="Y225">
        <v>165.7</v>
      </c>
      <c r="Z225">
        <v>262.29057899999998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2.6359682351080989</v>
      </c>
    </row>
    <row r="226" spans="1:40" x14ac:dyDescent="0.3">
      <c r="A226">
        <v>34</v>
      </c>
      <c r="B226">
        <v>18</v>
      </c>
      <c r="C226">
        <v>1.5086112981420734</v>
      </c>
      <c r="D226">
        <v>17</v>
      </c>
      <c r="E226">
        <v>6</v>
      </c>
      <c r="F226">
        <v>0.30120121600476324</v>
      </c>
      <c r="G226">
        <v>29</v>
      </c>
      <c r="H226">
        <v>14</v>
      </c>
      <c r="I226">
        <v>1.2183766865323269</v>
      </c>
      <c r="J226">
        <v>327122235.46823263</v>
      </c>
      <c r="K226">
        <v>165445000</v>
      </c>
      <c r="L226">
        <v>79924420.051703781</v>
      </c>
      <c r="M226">
        <v>77480700</v>
      </c>
      <c r="N226">
        <v>15759510.08</v>
      </c>
      <c r="O226">
        <v>230.98855599999999</v>
      </c>
      <c r="P226">
        <v>2.6424382112497193</v>
      </c>
      <c r="Q226">
        <v>43.782049700000002</v>
      </c>
      <c r="R226">
        <v>800.71148199999993</v>
      </c>
      <c r="S226">
        <v>8.8835880800000001E-9</v>
      </c>
      <c r="T226">
        <v>21.756250788177994</v>
      </c>
      <c r="U226">
        <v>100.934</v>
      </c>
      <c r="V226">
        <v>-559.87546995943637</v>
      </c>
      <c r="W226">
        <v>69.343062900000007</v>
      </c>
      <c r="X226">
        <v>95.331679600000001</v>
      </c>
      <c r="Y226">
        <v>165.7</v>
      </c>
      <c r="Z226">
        <v>254.378547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2.6424382112497193</v>
      </c>
    </row>
    <row r="227" spans="1:40" x14ac:dyDescent="0.3">
      <c r="A227">
        <v>27</v>
      </c>
      <c r="B227">
        <v>10</v>
      </c>
      <c r="C227">
        <v>8.7740661540105407</v>
      </c>
      <c r="D227">
        <v>20</v>
      </c>
      <c r="E227">
        <v>14</v>
      </c>
      <c r="F227">
        <v>0.31200033161581509</v>
      </c>
      <c r="G227">
        <v>29</v>
      </c>
      <c r="H227">
        <v>12</v>
      </c>
      <c r="I227">
        <v>1.3586083674445997</v>
      </c>
      <c r="J227">
        <v>328515300.09129894</v>
      </c>
      <c r="K227">
        <v>165487000</v>
      </c>
      <c r="L227">
        <v>79924520.171270654</v>
      </c>
      <c r="M227">
        <v>77295900</v>
      </c>
      <c r="N227">
        <v>15759537.200000001</v>
      </c>
      <c r="O227">
        <v>231.62526</v>
      </c>
      <c r="P227">
        <v>2.6435797556861198</v>
      </c>
      <c r="Q227">
        <v>43.8134868</v>
      </c>
      <c r="R227">
        <v>800.36231399999997</v>
      </c>
      <c r="S227">
        <v>3.0875597800000001E-15</v>
      </c>
      <c r="T227">
        <v>21.576863470160117</v>
      </c>
      <c r="U227">
        <v>100.934</v>
      </c>
      <c r="V227">
        <v>-610.24579153272919</v>
      </c>
      <c r="W227">
        <v>69.224846799999995</v>
      </c>
      <c r="X227">
        <v>94.873534500000005</v>
      </c>
      <c r="Y227">
        <v>144.29</v>
      </c>
      <c r="Z227">
        <v>254.214912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2.6435797556861198</v>
      </c>
    </row>
    <row r="228" spans="1:40" x14ac:dyDescent="0.3">
      <c r="A228">
        <v>33</v>
      </c>
      <c r="B228">
        <v>15</v>
      </c>
      <c r="C228">
        <v>5.2294592753268461</v>
      </c>
      <c r="D228">
        <v>12</v>
      </c>
      <c r="E228">
        <v>9</v>
      </c>
      <c r="F228">
        <v>0.31753829001820305</v>
      </c>
      <c r="G228">
        <v>25</v>
      </c>
      <c r="H228">
        <v>11</v>
      </c>
      <c r="I228">
        <v>0.92134747385073479</v>
      </c>
      <c r="J228">
        <v>327705535.71507663</v>
      </c>
      <c r="K228">
        <v>165449000</v>
      </c>
      <c r="L228">
        <v>79924820.524424374</v>
      </c>
      <c r="M228">
        <v>77161200</v>
      </c>
      <c r="N228">
        <v>15759620.16</v>
      </c>
      <c r="O228">
        <v>231.858442</v>
      </c>
      <c r="P228">
        <v>2.6403912533932292</v>
      </c>
      <c r="Q228">
        <v>43.7656329</v>
      </c>
      <c r="R228">
        <v>801.29825200000005</v>
      </c>
      <c r="S228">
        <v>3.9432142000000002E-11</v>
      </c>
      <c r="T228">
        <v>21.430681122195168</v>
      </c>
      <c r="U228">
        <v>100.934</v>
      </c>
      <c r="V228">
        <v>-617.15628487972288</v>
      </c>
      <c r="W228">
        <v>69.220609199999998</v>
      </c>
      <c r="X228">
        <v>94.8537216</v>
      </c>
      <c r="Y228">
        <v>121.52199999999999</v>
      </c>
      <c r="Z228">
        <v>254.21767700000001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2.6403912533932292</v>
      </c>
    </row>
    <row r="229" spans="1:40" x14ac:dyDescent="0.3">
      <c r="A229">
        <v>37</v>
      </c>
      <c r="B229">
        <v>14</v>
      </c>
      <c r="C229">
        <v>2.5849063158484347</v>
      </c>
      <c r="D229">
        <v>29</v>
      </c>
      <c r="E229">
        <v>11</v>
      </c>
      <c r="F229">
        <v>0.30329714365729754</v>
      </c>
      <c r="G229">
        <v>29</v>
      </c>
      <c r="H229">
        <v>8</v>
      </c>
      <c r="I229">
        <v>1.0609759978702393</v>
      </c>
      <c r="J229">
        <v>327771166.28360415</v>
      </c>
      <c r="K229">
        <v>165480000</v>
      </c>
      <c r="L229">
        <v>79925721.505406916</v>
      </c>
      <c r="M229">
        <v>77292600</v>
      </c>
      <c r="N229">
        <v>15759847.120000001</v>
      </c>
      <c r="O229">
        <v>231.791359</v>
      </c>
      <c r="P229">
        <v>2.6394355629680901</v>
      </c>
      <c r="Q229">
        <v>43.823197999999998</v>
      </c>
      <c r="R229">
        <v>799.83463300000005</v>
      </c>
      <c r="S229">
        <v>8.7747295099999995E-13</v>
      </c>
      <c r="T229">
        <v>21.653741286709248</v>
      </c>
      <c r="U229">
        <v>100.934</v>
      </c>
      <c r="V229">
        <v>-594.87875708458921</v>
      </c>
      <c r="W229">
        <v>69.231603399999997</v>
      </c>
      <c r="X229">
        <v>94.900619699999993</v>
      </c>
      <c r="Y229">
        <v>177.97</v>
      </c>
      <c r="Z229">
        <v>254.187547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2.6394355629680901</v>
      </c>
    </row>
    <row r="230" spans="1:40" x14ac:dyDescent="0.3">
      <c r="A230">
        <v>37</v>
      </c>
      <c r="B230">
        <v>13</v>
      </c>
      <c r="C230">
        <v>4.0436304892397708</v>
      </c>
      <c r="D230">
        <v>25</v>
      </c>
      <c r="E230">
        <v>5</v>
      </c>
      <c r="F230">
        <v>0.30158983621478141</v>
      </c>
      <c r="G230">
        <v>18</v>
      </c>
      <c r="H230">
        <v>14</v>
      </c>
      <c r="I230">
        <v>1.2091242410206846</v>
      </c>
      <c r="J230">
        <v>327635570.70356703</v>
      </c>
      <c r="K230">
        <v>165463000</v>
      </c>
      <c r="L230">
        <v>79924620.319188446</v>
      </c>
      <c r="M230">
        <v>77247100</v>
      </c>
      <c r="N230">
        <v>15759530.24</v>
      </c>
      <c r="O230">
        <v>231.96962500000001</v>
      </c>
      <c r="P230">
        <v>2.6375527187503827</v>
      </c>
      <c r="Q230">
        <v>43.808857500000002</v>
      </c>
      <c r="R230">
        <v>800.03617699999995</v>
      </c>
      <c r="S230">
        <v>5.9145975999999998E-8</v>
      </c>
      <c r="T230">
        <v>21.738871030104843</v>
      </c>
      <c r="U230">
        <v>100.934</v>
      </c>
      <c r="V230">
        <v>-594.63163304535419</v>
      </c>
      <c r="W230">
        <v>69.223450900000003</v>
      </c>
      <c r="X230">
        <v>94.866892000000007</v>
      </c>
      <c r="Y230">
        <v>177.97</v>
      </c>
      <c r="Z230">
        <v>255.11380199999999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2.6375527187503827</v>
      </c>
    </row>
    <row r="231" spans="1:40" x14ac:dyDescent="0.3">
      <c r="A231">
        <v>37</v>
      </c>
      <c r="B231">
        <v>16</v>
      </c>
      <c r="C231">
        <v>9.0650266088882638</v>
      </c>
      <c r="D231">
        <v>24</v>
      </c>
      <c r="E231">
        <v>14</v>
      </c>
      <c r="F231">
        <v>0.3090289330874223</v>
      </c>
      <c r="G231">
        <v>15</v>
      </c>
      <c r="H231">
        <v>12</v>
      </c>
      <c r="I231">
        <v>0.33708907491581824</v>
      </c>
      <c r="J231">
        <v>328473310.13974494</v>
      </c>
      <c r="K231">
        <v>165542000</v>
      </c>
      <c r="L231">
        <v>79957656.28683655</v>
      </c>
      <c r="M231">
        <v>77417700</v>
      </c>
      <c r="N231">
        <v>15767469.68</v>
      </c>
      <c r="O231">
        <v>231.722962</v>
      </c>
      <c r="P231">
        <v>2.6410695768487145</v>
      </c>
      <c r="Q231">
        <v>43.826457699999999</v>
      </c>
      <c r="R231">
        <v>800.00398299999995</v>
      </c>
      <c r="S231">
        <v>3.09682497E-15</v>
      </c>
      <c r="T231">
        <v>21.614732894380069</v>
      </c>
      <c r="U231">
        <v>100.934</v>
      </c>
      <c r="V231">
        <v>-606.56563617971324</v>
      </c>
      <c r="W231">
        <v>69.218946799999998</v>
      </c>
      <c r="X231">
        <v>94.836551600000007</v>
      </c>
      <c r="Y231">
        <v>165.7</v>
      </c>
      <c r="Z231">
        <v>260.87038000000001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2.6410695768487145</v>
      </c>
    </row>
    <row r="232" spans="1:40" x14ac:dyDescent="0.3">
      <c r="A232">
        <v>39</v>
      </c>
      <c r="B232">
        <v>10</v>
      </c>
      <c r="C232">
        <v>1.0842214817723854</v>
      </c>
      <c r="D232">
        <v>16</v>
      </c>
      <c r="E232">
        <v>9</v>
      </c>
      <c r="F232">
        <v>0.35595729366516377</v>
      </c>
      <c r="G232">
        <v>29</v>
      </c>
      <c r="H232">
        <v>14</v>
      </c>
      <c r="I232">
        <v>1.204240107970453</v>
      </c>
      <c r="J232">
        <v>327234240.84855521</v>
      </c>
      <c r="K232">
        <v>165461000</v>
      </c>
      <c r="L232">
        <v>79924420.055812597</v>
      </c>
      <c r="M232">
        <v>77998200</v>
      </c>
      <c r="N232">
        <v>15759511.119999999</v>
      </c>
      <c r="O232">
        <v>228.83138600000001</v>
      </c>
      <c r="P232">
        <v>2.6580061458416546</v>
      </c>
      <c r="Q232">
        <v>43.802144499999997</v>
      </c>
      <c r="R232">
        <v>802.35114199999998</v>
      </c>
      <c r="S232">
        <v>1.0424208400000001E-11</v>
      </c>
      <c r="T232">
        <v>21.654133165648549</v>
      </c>
      <c r="U232">
        <v>100.934</v>
      </c>
      <c r="V232">
        <v>-503.00347285456331</v>
      </c>
      <c r="W232">
        <v>69.5427526</v>
      </c>
      <c r="X232">
        <v>96.506962900000005</v>
      </c>
      <c r="Y232">
        <v>144.29</v>
      </c>
      <c r="Z232">
        <v>254.00418099999999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2.6580061458416546</v>
      </c>
    </row>
    <row r="234" spans="1:40" x14ac:dyDescent="0.3">
      <c r="A234">
        <v>27</v>
      </c>
      <c r="B234">
        <v>18</v>
      </c>
      <c r="C234">
        <v>12.232925541246818</v>
      </c>
      <c r="D234">
        <v>23</v>
      </c>
      <c r="E234">
        <v>13</v>
      </c>
      <c r="F234">
        <v>0.30259932222433444</v>
      </c>
      <c r="G234">
        <v>23</v>
      </c>
      <c r="H234">
        <v>14</v>
      </c>
      <c r="I234">
        <v>1.1556474411179543</v>
      </c>
      <c r="J234">
        <v>329047198.948524</v>
      </c>
      <c r="K234">
        <v>165512000</v>
      </c>
      <c r="L234">
        <v>79924420.055812597</v>
      </c>
      <c r="M234">
        <v>77282000</v>
      </c>
      <c r="N234">
        <v>15759511.119999999</v>
      </c>
      <c r="O234">
        <v>231.78578400000001</v>
      </c>
      <c r="P234">
        <v>2.6440476105966564</v>
      </c>
      <c r="Q234">
        <v>43.818918099999998</v>
      </c>
      <c r="R234">
        <v>799.978251</v>
      </c>
      <c r="S234">
        <v>6.3328968200000001E-13</v>
      </c>
      <c r="T234">
        <v>21.607894071954405</v>
      </c>
      <c r="U234">
        <v>100.934</v>
      </c>
      <c r="V234">
        <v>-605.20349218345086</v>
      </c>
      <c r="W234">
        <v>69.221204900000004</v>
      </c>
      <c r="X234">
        <v>94.856904999999998</v>
      </c>
      <c r="Y234">
        <v>165.7</v>
      </c>
      <c r="Z234">
        <v>254.27088599999999</v>
      </c>
      <c r="AA234">
        <v>99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101.64404761059666</v>
      </c>
    </row>
    <row r="235" spans="1:40" x14ac:dyDescent="0.3">
      <c r="A235">
        <v>28</v>
      </c>
      <c r="B235">
        <v>17</v>
      </c>
      <c r="C235">
        <v>6.6776074143150455</v>
      </c>
      <c r="D235">
        <v>29</v>
      </c>
      <c r="E235">
        <v>14</v>
      </c>
      <c r="F235">
        <v>0.34318616721855333</v>
      </c>
      <c r="G235">
        <v>28</v>
      </c>
      <c r="H235">
        <v>14</v>
      </c>
      <c r="I235">
        <v>1.1435618010914912</v>
      </c>
      <c r="J235">
        <v>328473247.37657785</v>
      </c>
      <c r="K235">
        <v>165484000</v>
      </c>
      <c r="L235">
        <v>79924420.055812597</v>
      </c>
      <c r="M235">
        <v>77381300</v>
      </c>
      <c r="N235">
        <v>15759511.119999999</v>
      </c>
      <c r="O235">
        <v>231.36005299999999</v>
      </c>
      <c r="P235">
        <v>2.644800020128534</v>
      </c>
      <c r="Q235">
        <v>43.866261600000001</v>
      </c>
      <c r="R235">
        <v>800.13811599999997</v>
      </c>
      <c r="S235">
        <v>8.8015384899999995E-14</v>
      </c>
      <c r="T235">
        <v>21.696309208088774</v>
      </c>
      <c r="U235">
        <v>100.934</v>
      </c>
      <c r="V235">
        <v>-605.51564689483712</v>
      </c>
      <c r="W235">
        <v>69.221911899999995</v>
      </c>
      <c r="X235">
        <v>94.861660999999998</v>
      </c>
      <c r="Y235">
        <v>170.55</v>
      </c>
      <c r="Z235">
        <v>254.16144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2.644800020128534</v>
      </c>
    </row>
    <row r="236" spans="1:40" x14ac:dyDescent="0.3">
      <c r="A236">
        <v>29</v>
      </c>
      <c r="B236">
        <v>16</v>
      </c>
      <c r="C236">
        <v>4.2837761111608259</v>
      </c>
      <c r="D236">
        <v>28</v>
      </c>
      <c r="E236">
        <v>14</v>
      </c>
      <c r="F236">
        <v>0.32178884820189624</v>
      </c>
      <c r="G236">
        <v>25</v>
      </c>
      <c r="H236">
        <v>14</v>
      </c>
      <c r="I236">
        <v>1.4</v>
      </c>
      <c r="J236">
        <v>327859227.80348134</v>
      </c>
      <c r="K236">
        <v>165465000</v>
      </c>
      <c r="L236">
        <v>79924420.055812597</v>
      </c>
      <c r="M236">
        <v>77333700</v>
      </c>
      <c r="N236">
        <v>15759511.119999999</v>
      </c>
      <c r="O236">
        <v>231.592681</v>
      </c>
      <c r="P236">
        <v>2.6408886930213931</v>
      </c>
      <c r="Q236">
        <v>43.842729300000002</v>
      </c>
      <c r="R236">
        <v>799.97394200000008</v>
      </c>
      <c r="S236">
        <v>1.8698075999999999E-15</v>
      </c>
      <c r="T236">
        <v>21.655230270855533</v>
      </c>
      <c r="U236">
        <v>100.934</v>
      </c>
      <c r="V236">
        <v>-602.74750846961172</v>
      </c>
      <c r="W236">
        <v>69.224178300000005</v>
      </c>
      <c r="X236">
        <v>94.873073399999996</v>
      </c>
      <c r="Y236">
        <v>170.55</v>
      </c>
      <c r="Z236">
        <v>254.22998000000001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2.6408886930213931</v>
      </c>
    </row>
    <row r="237" spans="1:40" x14ac:dyDescent="0.3">
      <c r="A237">
        <v>27</v>
      </c>
      <c r="B237">
        <v>19</v>
      </c>
      <c r="C237">
        <v>15</v>
      </c>
      <c r="D237">
        <v>29</v>
      </c>
      <c r="E237">
        <v>9</v>
      </c>
      <c r="F237">
        <v>0.33507033709654077</v>
      </c>
      <c r="G237">
        <v>29</v>
      </c>
      <c r="H237">
        <v>13</v>
      </c>
      <c r="I237">
        <v>0.3</v>
      </c>
      <c r="J237">
        <v>308903000</v>
      </c>
      <c r="K237">
        <v>165465000</v>
      </c>
      <c r="L237">
        <v>79890700</v>
      </c>
      <c r="M237">
        <v>77333700</v>
      </c>
      <c r="N237">
        <v>0</v>
      </c>
      <c r="O237">
        <v>0</v>
      </c>
      <c r="P237">
        <v>100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100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200</v>
      </c>
    </row>
    <row r="238" spans="1:40" x14ac:dyDescent="0.3">
      <c r="A238">
        <v>35</v>
      </c>
      <c r="B238">
        <v>14</v>
      </c>
      <c r="C238">
        <v>12.624396130967936</v>
      </c>
      <c r="D238">
        <v>20</v>
      </c>
      <c r="E238">
        <v>8</v>
      </c>
      <c r="F238">
        <v>0.89081817234912619</v>
      </c>
      <c r="G238">
        <v>20</v>
      </c>
      <c r="H238">
        <v>7</v>
      </c>
      <c r="I238">
        <v>0.95648111824529414</v>
      </c>
      <c r="J238">
        <v>308903000</v>
      </c>
      <c r="K238">
        <v>165465000</v>
      </c>
      <c r="L238">
        <v>79890700</v>
      </c>
      <c r="M238">
        <v>77333700</v>
      </c>
      <c r="N238">
        <v>0</v>
      </c>
      <c r="O238">
        <v>0</v>
      </c>
      <c r="P238">
        <v>100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99</v>
      </c>
      <c r="AB238">
        <v>100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299</v>
      </c>
    </row>
    <row r="239" spans="1:40" x14ac:dyDescent="0.3">
      <c r="A239">
        <v>35</v>
      </c>
      <c r="B239">
        <v>12</v>
      </c>
      <c r="C239">
        <v>14.179554010448635</v>
      </c>
      <c r="D239">
        <v>18</v>
      </c>
      <c r="E239">
        <v>7</v>
      </c>
      <c r="F239">
        <v>1.0143478872971667</v>
      </c>
      <c r="G239">
        <v>28</v>
      </c>
      <c r="H239">
        <v>14</v>
      </c>
      <c r="I239">
        <v>0.96177865040334565</v>
      </c>
      <c r="J239">
        <v>308903000</v>
      </c>
      <c r="K239">
        <v>165465000</v>
      </c>
      <c r="L239">
        <v>79890700</v>
      </c>
      <c r="M239">
        <v>77333700</v>
      </c>
      <c r="N239">
        <v>0</v>
      </c>
      <c r="O239">
        <v>0</v>
      </c>
      <c r="P239">
        <v>100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99</v>
      </c>
      <c r="AB239">
        <v>100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299</v>
      </c>
    </row>
    <row r="240" spans="1:40" x14ac:dyDescent="0.3">
      <c r="A240">
        <v>36</v>
      </c>
      <c r="B240">
        <v>16</v>
      </c>
      <c r="C240">
        <v>5.006657918844172</v>
      </c>
      <c r="D240">
        <v>16</v>
      </c>
      <c r="E240">
        <v>6</v>
      </c>
      <c r="F240">
        <v>1.0120462192124871</v>
      </c>
      <c r="G240">
        <v>20</v>
      </c>
      <c r="H240">
        <v>12</v>
      </c>
      <c r="I240">
        <v>1.3207202498795048</v>
      </c>
      <c r="J240">
        <v>308903000</v>
      </c>
      <c r="K240">
        <v>165465000</v>
      </c>
      <c r="L240">
        <v>79890700</v>
      </c>
      <c r="M240">
        <v>77333700</v>
      </c>
      <c r="N240">
        <v>0</v>
      </c>
      <c r="O240">
        <v>0</v>
      </c>
      <c r="P240">
        <v>100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99</v>
      </c>
      <c r="AB240">
        <v>100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299</v>
      </c>
    </row>
    <row r="241" spans="1:40" x14ac:dyDescent="0.3">
      <c r="A241">
        <v>31</v>
      </c>
      <c r="B241">
        <v>14</v>
      </c>
      <c r="C241">
        <v>13.941450569943203</v>
      </c>
      <c r="D241">
        <v>19</v>
      </c>
      <c r="E241">
        <v>7</v>
      </c>
      <c r="F241">
        <v>0.31887958732445093</v>
      </c>
      <c r="G241">
        <v>14</v>
      </c>
      <c r="H241">
        <v>8</v>
      </c>
      <c r="I241">
        <v>1.3302605931847351</v>
      </c>
      <c r="J241">
        <v>327193007.93544585</v>
      </c>
      <c r="K241">
        <v>165430000</v>
      </c>
      <c r="L241">
        <v>79925721.911769956</v>
      </c>
      <c r="M241">
        <v>77595700</v>
      </c>
      <c r="N241">
        <v>15759932.479999999</v>
      </c>
      <c r="O241">
        <v>231.63520399999999</v>
      </c>
      <c r="P241">
        <v>2.6327913727195091</v>
      </c>
      <c r="Q241">
        <v>43.833216100000001</v>
      </c>
      <c r="R241">
        <v>800.22113300000001</v>
      </c>
      <c r="S241">
        <v>1.1146549200000001E-9</v>
      </c>
      <c r="T241">
        <v>21.684470515935452</v>
      </c>
      <c r="U241">
        <v>100.934</v>
      </c>
      <c r="V241">
        <v>-605.07391751576574</v>
      </c>
      <c r="W241">
        <v>69.219408999999999</v>
      </c>
      <c r="X241">
        <v>94.843321700000004</v>
      </c>
      <c r="Y241">
        <v>170.55</v>
      </c>
      <c r="Z241">
        <v>254.383613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2.6327913727195091</v>
      </c>
    </row>
    <row r="242" spans="1:40" x14ac:dyDescent="0.3">
      <c r="A242">
        <v>31</v>
      </c>
      <c r="B242">
        <v>17</v>
      </c>
      <c r="C242">
        <v>13.283206124623801</v>
      </c>
      <c r="D242">
        <v>15</v>
      </c>
      <c r="E242">
        <v>5</v>
      </c>
      <c r="F242">
        <v>0.88031355099503927</v>
      </c>
      <c r="G242">
        <v>14</v>
      </c>
      <c r="H242">
        <v>8</v>
      </c>
      <c r="I242">
        <v>1.1373096269495599</v>
      </c>
      <c r="J242">
        <v>327193126.13559514</v>
      </c>
      <c r="K242">
        <v>165430000</v>
      </c>
      <c r="L242">
        <v>79925722.301081344</v>
      </c>
      <c r="M242">
        <v>77595700</v>
      </c>
      <c r="N242">
        <v>15760019.840000002</v>
      </c>
      <c r="O242">
        <v>228.55201400000001</v>
      </c>
      <c r="P242">
        <v>2.6683083481823986</v>
      </c>
      <c r="Q242">
        <v>44.0845877</v>
      </c>
      <c r="R242">
        <v>802.89690000000007</v>
      </c>
      <c r="S242">
        <v>3.1652684399999998E-9</v>
      </c>
      <c r="T242">
        <v>22.100386357708864</v>
      </c>
      <c r="U242">
        <v>100.934</v>
      </c>
      <c r="V242">
        <v>-643.5736556126086</v>
      </c>
      <c r="W242">
        <v>69.219221000000005</v>
      </c>
      <c r="X242">
        <v>94.840770599999999</v>
      </c>
      <c r="Y242">
        <v>177.97</v>
      </c>
      <c r="Z242">
        <v>253.48333099999999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2.6683083481823986</v>
      </c>
    </row>
    <row r="243" spans="1:40" x14ac:dyDescent="0.3">
      <c r="A243">
        <v>39</v>
      </c>
      <c r="B243">
        <v>16</v>
      </c>
      <c r="C243">
        <v>6.8932712016751756</v>
      </c>
      <c r="D243">
        <v>21</v>
      </c>
      <c r="E243">
        <v>8</v>
      </c>
      <c r="F243">
        <v>0.72244232871091252</v>
      </c>
      <c r="G243">
        <v>10</v>
      </c>
      <c r="H243">
        <v>7</v>
      </c>
      <c r="I243">
        <v>0.41346857333247589</v>
      </c>
      <c r="J243">
        <v>327195605.69256288</v>
      </c>
      <c r="K243">
        <v>165430000</v>
      </c>
      <c r="L243">
        <v>79925750.536121681</v>
      </c>
      <c r="M243">
        <v>77595700</v>
      </c>
      <c r="N243">
        <v>15766204.32</v>
      </c>
      <c r="O243">
        <v>228.02428800000001</v>
      </c>
      <c r="P243">
        <v>2.6744911060090764</v>
      </c>
      <c r="Q243">
        <v>44.128118000000001</v>
      </c>
      <c r="R243">
        <v>803.45407799999998</v>
      </c>
      <c r="S243">
        <v>1.9058404199999999E-12</v>
      </c>
      <c r="T243">
        <v>22.20413239565891</v>
      </c>
      <c r="U243">
        <v>100.934</v>
      </c>
      <c r="V243">
        <v>-648.36850183231957</v>
      </c>
      <c r="W243">
        <v>69.219102300000003</v>
      </c>
      <c r="X243">
        <v>94.839093800000001</v>
      </c>
      <c r="Y243">
        <v>177.97</v>
      </c>
      <c r="Z243">
        <v>258.12536599999999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2.6744911060090764</v>
      </c>
    </row>
    <row r="244" spans="1:40" x14ac:dyDescent="0.3">
      <c r="A244">
        <v>37</v>
      </c>
      <c r="B244">
        <v>19</v>
      </c>
      <c r="C244">
        <v>14.763532746934004</v>
      </c>
      <c r="D244">
        <v>19</v>
      </c>
      <c r="E244">
        <v>14</v>
      </c>
      <c r="F244">
        <v>0.54969044056826843</v>
      </c>
      <c r="G244">
        <v>21</v>
      </c>
      <c r="H244">
        <v>9</v>
      </c>
      <c r="I244">
        <v>1.0676893249511661</v>
      </c>
      <c r="J244">
        <v>327192899.63766712</v>
      </c>
      <c r="K244">
        <v>165430000</v>
      </c>
      <c r="L244">
        <v>79925721.082814023</v>
      </c>
      <c r="M244">
        <v>77595700</v>
      </c>
      <c r="N244">
        <v>15759750.16</v>
      </c>
      <c r="O244">
        <v>228.76225700000001</v>
      </c>
      <c r="P244">
        <v>2.6658553783669898</v>
      </c>
      <c r="Q244">
        <v>44.029350800000003</v>
      </c>
      <c r="R244">
        <v>803.44932000000006</v>
      </c>
      <c r="S244">
        <v>9.7033105000000001E-18</v>
      </c>
      <c r="T244">
        <v>22.103407164363112</v>
      </c>
      <c r="U244">
        <v>100.934</v>
      </c>
      <c r="V244">
        <v>-647.10482308942164</v>
      </c>
      <c r="W244">
        <v>69.218643599999993</v>
      </c>
      <c r="X244">
        <v>94.827604500000007</v>
      </c>
      <c r="Y244">
        <v>144.29</v>
      </c>
      <c r="Z244">
        <v>253.44525899999999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2.6658553783669898</v>
      </c>
    </row>
    <row r="245" spans="1:40" x14ac:dyDescent="0.3">
      <c r="A245">
        <v>35</v>
      </c>
      <c r="B245">
        <v>18</v>
      </c>
      <c r="C245">
        <v>8.9493119116832123</v>
      </c>
      <c r="D245">
        <v>28</v>
      </c>
      <c r="E245">
        <v>8</v>
      </c>
      <c r="F245">
        <v>0.84772157088644251</v>
      </c>
      <c r="G245">
        <v>27</v>
      </c>
      <c r="H245">
        <v>13</v>
      </c>
      <c r="I245">
        <v>0.53603719902816038</v>
      </c>
      <c r="J245">
        <v>327193318.70178306</v>
      </c>
      <c r="K245">
        <v>165430000</v>
      </c>
      <c r="L245">
        <v>79925721.635656744</v>
      </c>
      <c r="M245">
        <v>77595700</v>
      </c>
      <c r="N245">
        <v>15759883.359999999</v>
      </c>
      <c r="O245">
        <v>227.559067</v>
      </c>
      <c r="P245">
        <v>2.6799520041741238</v>
      </c>
      <c r="Q245">
        <v>44.177171000000001</v>
      </c>
      <c r="R245">
        <v>803.75081499999999</v>
      </c>
      <c r="S245">
        <v>8.9235281600000003E-13</v>
      </c>
      <c r="T245">
        <v>22.242570663460075</v>
      </c>
      <c r="U245">
        <v>100.934</v>
      </c>
      <c r="V245">
        <v>-652.37082988807686</v>
      </c>
      <c r="W245">
        <v>69.2189324</v>
      </c>
      <c r="X245">
        <v>94.835690099999994</v>
      </c>
      <c r="Y245">
        <v>177.97</v>
      </c>
      <c r="Z245">
        <v>252.84060099999999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2.6799520041741238</v>
      </c>
    </row>
    <row r="246" spans="1:40" x14ac:dyDescent="0.3">
      <c r="A246">
        <v>35</v>
      </c>
      <c r="B246">
        <v>16</v>
      </c>
      <c r="C246">
        <v>6.4985457421524071</v>
      </c>
      <c r="D246">
        <v>28</v>
      </c>
      <c r="E246">
        <v>10</v>
      </c>
      <c r="F246">
        <v>0.83119783280820103</v>
      </c>
      <c r="G246">
        <v>13</v>
      </c>
      <c r="H246">
        <v>9</v>
      </c>
      <c r="I246">
        <v>0.70991296398743875</v>
      </c>
      <c r="J246">
        <v>327191289.12375331</v>
      </c>
      <c r="K246">
        <v>165430000</v>
      </c>
      <c r="L246">
        <v>79925725.503501445</v>
      </c>
      <c r="M246">
        <v>77595700</v>
      </c>
      <c r="N246">
        <v>15760670.640000001</v>
      </c>
      <c r="O246">
        <v>227.192396</v>
      </c>
      <c r="P246">
        <v>2.6842711755423339</v>
      </c>
      <c r="Q246">
        <v>44.201084799999997</v>
      </c>
      <c r="R246">
        <v>804.19543400000009</v>
      </c>
      <c r="S246">
        <v>3.9099296500000001E-15</v>
      </c>
      <c r="T246">
        <v>22.323089656099949</v>
      </c>
      <c r="U246">
        <v>100.934</v>
      </c>
      <c r="V246">
        <v>-657.57583287547664</v>
      </c>
      <c r="W246">
        <v>69.219425999999999</v>
      </c>
      <c r="X246">
        <v>94.843513999999999</v>
      </c>
      <c r="Y246">
        <v>177.97</v>
      </c>
      <c r="Z246">
        <v>254.06531899999999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2.6842711755423339</v>
      </c>
    </row>
    <row r="247" spans="1:40" x14ac:dyDescent="0.3">
      <c r="A247">
        <v>39</v>
      </c>
      <c r="B247">
        <v>16</v>
      </c>
      <c r="C247">
        <v>14.643474204224145</v>
      </c>
      <c r="D247">
        <v>15</v>
      </c>
      <c r="E247">
        <v>9</v>
      </c>
      <c r="F247">
        <v>0.39033559075086222</v>
      </c>
      <c r="G247">
        <v>23</v>
      </c>
      <c r="H247">
        <v>12</v>
      </c>
      <c r="I247">
        <v>1.2106978436872158</v>
      </c>
      <c r="J247">
        <v>327192347.56282383</v>
      </c>
      <c r="K247">
        <v>165430000</v>
      </c>
      <c r="L247">
        <v>79925720.236190125</v>
      </c>
      <c r="M247">
        <v>77595700</v>
      </c>
      <c r="N247">
        <v>15759553.279999999</v>
      </c>
      <c r="O247">
        <v>230.73337900000001</v>
      </c>
      <c r="P247">
        <v>2.6430797358191751</v>
      </c>
      <c r="Q247">
        <v>43.8876803</v>
      </c>
      <c r="R247">
        <v>801.21841199999994</v>
      </c>
      <c r="S247">
        <v>7.4940307099999998E-12</v>
      </c>
      <c r="T247">
        <v>21.741349070127697</v>
      </c>
      <c r="U247">
        <v>100.934</v>
      </c>
      <c r="V247">
        <v>-622.71790429213218</v>
      </c>
      <c r="W247">
        <v>69.218656600000003</v>
      </c>
      <c r="X247">
        <v>94.830323199999995</v>
      </c>
      <c r="Y247">
        <v>144.29</v>
      </c>
      <c r="Z247">
        <v>253.91479000000001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2.6430797358191751</v>
      </c>
    </row>
    <row r="248" spans="1:40" x14ac:dyDescent="0.3">
      <c r="A248">
        <v>31</v>
      </c>
      <c r="B248">
        <v>10</v>
      </c>
      <c r="C248">
        <v>14.595697861051491</v>
      </c>
      <c r="D248">
        <v>13</v>
      </c>
      <c r="E248">
        <v>11</v>
      </c>
      <c r="F248">
        <v>0.88165741347849469</v>
      </c>
      <c r="G248">
        <v>24</v>
      </c>
      <c r="H248">
        <v>12</v>
      </c>
      <c r="I248">
        <v>0.32789110235572527</v>
      </c>
      <c r="J248">
        <v>327202129.2223509</v>
      </c>
      <c r="K248">
        <v>165430000</v>
      </c>
      <c r="L248">
        <v>79925735.625392377</v>
      </c>
      <c r="M248">
        <v>77595700</v>
      </c>
      <c r="N248">
        <v>15763124.959999999</v>
      </c>
      <c r="O248">
        <v>227.68948800000001</v>
      </c>
      <c r="P248">
        <v>2.678443190761941</v>
      </c>
      <c r="Q248">
        <v>44.0758692</v>
      </c>
      <c r="R248">
        <v>805.66065700000001</v>
      </c>
      <c r="S248">
        <v>1.36349533E-15</v>
      </c>
      <c r="T248">
        <v>22.287097212408359</v>
      </c>
      <c r="U248">
        <v>100.934</v>
      </c>
      <c r="V248">
        <v>-665.15184963815045</v>
      </c>
      <c r="W248">
        <v>69.220783400000002</v>
      </c>
      <c r="X248">
        <v>94.853372800000002</v>
      </c>
      <c r="Y248">
        <v>121.52199999999999</v>
      </c>
      <c r="Z248">
        <v>252.208967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2.678443190761941</v>
      </c>
    </row>
    <row r="249" spans="1:40" x14ac:dyDescent="0.3">
      <c r="A249">
        <v>27</v>
      </c>
      <c r="B249">
        <v>19</v>
      </c>
      <c r="C249">
        <v>10.841134930427607</v>
      </c>
      <c r="D249">
        <v>29</v>
      </c>
      <c r="E249">
        <v>5</v>
      </c>
      <c r="F249">
        <v>0.58132092597766127</v>
      </c>
      <c r="G249">
        <v>25</v>
      </c>
      <c r="H249">
        <v>13</v>
      </c>
      <c r="I249">
        <v>1.0244841101311852</v>
      </c>
      <c r="J249">
        <v>327192335.08608282</v>
      </c>
      <c r="K249">
        <v>165430000</v>
      </c>
      <c r="L249">
        <v>79925720.198594362</v>
      </c>
      <c r="M249">
        <v>77595700</v>
      </c>
      <c r="N249">
        <v>15759545.120000001</v>
      </c>
      <c r="O249">
        <v>229.95844500000001</v>
      </c>
      <c r="P249">
        <v>2.6519865793234336</v>
      </c>
      <c r="Q249">
        <v>43.993988000000002</v>
      </c>
      <c r="R249">
        <v>801.40857300000005</v>
      </c>
      <c r="S249">
        <v>8.74909357E-9</v>
      </c>
      <c r="T249">
        <v>21.957960373006078</v>
      </c>
      <c r="U249">
        <v>100.934</v>
      </c>
      <c r="V249">
        <v>-616.25298595109689</v>
      </c>
      <c r="W249">
        <v>69.221870100000004</v>
      </c>
      <c r="X249">
        <v>94.859647100000004</v>
      </c>
      <c r="Y249">
        <v>177.97</v>
      </c>
      <c r="Z249">
        <v>253.84392500000001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2.6519865793234336</v>
      </c>
    </row>
    <row r="250" spans="1:40" x14ac:dyDescent="0.3">
      <c r="A250">
        <v>34</v>
      </c>
      <c r="B250">
        <v>12</v>
      </c>
      <c r="C250">
        <v>13.431326507756761</v>
      </c>
      <c r="D250">
        <v>29</v>
      </c>
      <c r="E250">
        <v>14</v>
      </c>
      <c r="F250">
        <v>1.0078578025165366</v>
      </c>
      <c r="G250">
        <v>10</v>
      </c>
      <c r="H250">
        <v>8</v>
      </c>
      <c r="I250">
        <v>0.42893009286128958</v>
      </c>
      <c r="J250">
        <v>327192661.9660129</v>
      </c>
      <c r="K250">
        <v>165430000</v>
      </c>
      <c r="L250">
        <v>79925765.408022553</v>
      </c>
      <c r="M250">
        <v>77595700</v>
      </c>
      <c r="N250">
        <v>15769412.640000001</v>
      </c>
      <c r="O250">
        <v>226.26284799999999</v>
      </c>
      <c r="P250">
        <v>2.6953029948876157</v>
      </c>
      <c r="Q250">
        <v>44.272300199999997</v>
      </c>
      <c r="R250">
        <v>805.05235399999992</v>
      </c>
      <c r="S250">
        <v>1.1206101E-20</v>
      </c>
      <c r="T250">
        <v>22.4907184114216</v>
      </c>
      <c r="U250">
        <v>100.934</v>
      </c>
      <c r="V250">
        <v>-672.18216376396424</v>
      </c>
      <c r="W250">
        <v>69.219555799999995</v>
      </c>
      <c r="X250">
        <v>94.844148099999998</v>
      </c>
      <c r="Y250">
        <v>177.97</v>
      </c>
      <c r="Z250">
        <v>263.21730500000001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2.6953029948876157</v>
      </c>
    </row>
    <row r="251" spans="1:40" x14ac:dyDescent="0.3">
      <c r="A251">
        <v>34</v>
      </c>
      <c r="B251">
        <v>13</v>
      </c>
      <c r="C251">
        <v>9.8084609591698708</v>
      </c>
      <c r="D251">
        <v>14</v>
      </c>
      <c r="E251">
        <v>12</v>
      </c>
      <c r="F251">
        <v>0.98095086058336789</v>
      </c>
      <c r="G251">
        <v>24</v>
      </c>
      <c r="H251">
        <v>9</v>
      </c>
      <c r="I251">
        <v>0.77659596990133661</v>
      </c>
      <c r="J251">
        <v>327193348.0473941</v>
      </c>
      <c r="K251">
        <v>165430000</v>
      </c>
      <c r="L251">
        <v>79925721.726461843</v>
      </c>
      <c r="M251">
        <v>77595700</v>
      </c>
      <c r="N251">
        <v>15759901.120000001</v>
      </c>
      <c r="O251">
        <v>227.14539300000001</v>
      </c>
      <c r="P251">
        <v>2.6848327828337784</v>
      </c>
      <c r="Q251">
        <v>44.121298600000003</v>
      </c>
      <c r="R251">
        <v>806.13447199999996</v>
      </c>
      <c r="S251">
        <v>5.0077966600000002E-17</v>
      </c>
      <c r="T251">
        <v>22.428609899289221</v>
      </c>
      <c r="U251">
        <v>100.934</v>
      </c>
      <c r="V251">
        <v>-671.59023763202651</v>
      </c>
      <c r="W251">
        <v>69.219660300000001</v>
      </c>
      <c r="X251">
        <v>94.845383699999999</v>
      </c>
      <c r="Y251">
        <v>121.52199999999999</v>
      </c>
      <c r="Z251">
        <v>252.70952600000001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2.6848327828337784</v>
      </c>
    </row>
    <row r="252" spans="1:40" x14ac:dyDescent="0.3">
      <c r="A252">
        <v>38</v>
      </c>
      <c r="B252">
        <v>10</v>
      </c>
      <c r="C252">
        <v>12.847422669346715</v>
      </c>
      <c r="D252">
        <v>29</v>
      </c>
      <c r="E252">
        <v>6</v>
      </c>
      <c r="F252">
        <v>0.9710999160617555</v>
      </c>
      <c r="G252">
        <v>25</v>
      </c>
      <c r="H252">
        <v>8</v>
      </c>
      <c r="I252">
        <v>0.45477046096013918</v>
      </c>
      <c r="J252">
        <v>327197649.73198885</v>
      </c>
      <c r="K252">
        <v>165430000</v>
      </c>
      <c r="L252">
        <v>79925728.185743988</v>
      </c>
      <c r="M252">
        <v>77595700</v>
      </c>
      <c r="N252">
        <v>15761405.68</v>
      </c>
      <c r="O252">
        <v>227.89610300000001</v>
      </c>
      <c r="P252">
        <v>2.6760015190636648</v>
      </c>
      <c r="Q252">
        <v>44.155472699999997</v>
      </c>
      <c r="R252">
        <v>803.29678799999999</v>
      </c>
      <c r="S252">
        <v>1.47736578E-10</v>
      </c>
      <c r="T252">
        <v>22.171530518173999</v>
      </c>
      <c r="U252">
        <v>100.934</v>
      </c>
      <c r="V252">
        <v>-646.50007586503352</v>
      </c>
      <c r="W252">
        <v>69.220568</v>
      </c>
      <c r="X252">
        <v>94.849970200000001</v>
      </c>
      <c r="Y252">
        <v>177.97</v>
      </c>
      <c r="Z252">
        <v>252.57642999999999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2.6760015190636648</v>
      </c>
    </row>
    <row r="253" spans="1:40" x14ac:dyDescent="0.3">
      <c r="A253">
        <v>39</v>
      </c>
      <c r="B253">
        <v>13</v>
      </c>
      <c r="C253">
        <v>8.8422213485506269</v>
      </c>
      <c r="D253">
        <v>28</v>
      </c>
      <c r="E253">
        <v>5</v>
      </c>
      <c r="F253">
        <v>1.0003629681386734</v>
      </c>
      <c r="G253">
        <v>23</v>
      </c>
      <c r="H253">
        <v>9</v>
      </c>
      <c r="I253">
        <v>0.32938589769325183</v>
      </c>
      <c r="J253">
        <v>327203844.58153516</v>
      </c>
      <c r="K253">
        <v>165430000</v>
      </c>
      <c r="L253">
        <v>79925737.651249737</v>
      </c>
      <c r="M253">
        <v>77595700</v>
      </c>
      <c r="N253">
        <v>15763603.279999999</v>
      </c>
      <c r="O253">
        <v>228.35496499999999</v>
      </c>
      <c r="P253">
        <v>2.6706427128573442</v>
      </c>
      <c r="Q253">
        <v>44.122232400000001</v>
      </c>
      <c r="R253">
        <v>802.83047500000009</v>
      </c>
      <c r="S253">
        <v>2.31863142E-9</v>
      </c>
      <c r="T253">
        <v>22.110786521893381</v>
      </c>
      <c r="U253">
        <v>100.934</v>
      </c>
      <c r="V253">
        <v>-640.21091789091417</v>
      </c>
      <c r="W253">
        <v>69.219569399999997</v>
      </c>
      <c r="X253">
        <v>94.843662199999997</v>
      </c>
      <c r="Y253">
        <v>177.97</v>
      </c>
      <c r="Z253">
        <v>252.24180200000001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2.6706427128573442</v>
      </c>
    </row>
    <row r="254" spans="1:40" x14ac:dyDescent="0.3">
      <c r="A254">
        <v>31</v>
      </c>
      <c r="B254">
        <v>12</v>
      </c>
      <c r="C254">
        <v>13.927301122980856</v>
      </c>
      <c r="D254">
        <v>19</v>
      </c>
      <c r="E254">
        <v>5</v>
      </c>
      <c r="F254">
        <v>0.33846138059474595</v>
      </c>
      <c r="G254">
        <v>28</v>
      </c>
      <c r="H254">
        <v>7</v>
      </c>
      <c r="I254">
        <v>1.3519358458519668</v>
      </c>
      <c r="J254">
        <v>327193337.63318729</v>
      </c>
      <c r="K254">
        <v>165430000</v>
      </c>
      <c r="L254">
        <v>79925721.773507908</v>
      </c>
      <c r="M254">
        <v>77595700</v>
      </c>
      <c r="N254">
        <v>15759908.799999999</v>
      </c>
      <c r="O254">
        <v>231.60491200000001</v>
      </c>
      <c r="P254">
        <v>2.6331366863511279</v>
      </c>
      <c r="Q254">
        <v>43.837043899999998</v>
      </c>
      <c r="R254">
        <v>800.34295200000008</v>
      </c>
      <c r="S254">
        <v>4.1704805700000001E-8</v>
      </c>
      <c r="T254">
        <v>21.75165320032276</v>
      </c>
      <c r="U254">
        <v>100.934</v>
      </c>
      <c r="V254">
        <v>-602.93371929956561</v>
      </c>
      <c r="W254">
        <v>69.219854799999993</v>
      </c>
      <c r="X254">
        <v>94.847401099999999</v>
      </c>
      <c r="Y254">
        <v>170.55</v>
      </c>
      <c r="Z254">
        <v>254.218309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2.6331366863511279</v>
      </c>
    </row>
    <row r="255" spans="1:40" x14ac:dyDescent="0.3">
      <c r="A255">
        <v>33</v>
      </c>
      <c r="B255">
        <v>11</v>
      </c>
      <c r="C255">
        <v>2.9807238923412736</v>
      </c>
      <c r="D255">
        <v>28</v>
      </c>
      <c r="E255">
        <v>6</v>
      </c>
      <c r="F255">
        <v>1.1546841041929619</v>
      </c>
      <c r="G255">
        <v>14</v>
      </c>
      <c r="H255">
        <v>10</v>
      </c>
      <c r="I255">
        <v>0.3411508859378895</v>
      </c>
      <c r="J255">
        <v>327198860.713386</v>
      </c>
      <c r="K255">
        <v>165430000</v>
      </c>
      <c r="L255">
        <v>79925748.746932775</v>
      </c>
      <c r="M255">
        <v>77595700</v>
      </c>
      <c r="N255">
        <v>15765878.4</v>
      </c>
      <c r="O255">
        <v>227.36007900000001</v>
      </c>
      <c r="P255">
        <v>2.6823140745724996</v>
      </c>
      <c r="Q255">
        <v>44.182445899999998</v>
      </c>
      <c r="R255">
        <v>803.74948999999992</v>
      </c>
      <c r="S255">
        <v>9.1960738200000004E-11</v>
      </c>
      <c r="T255">
        <v>22.226147576024779</v>
      </c>
      <c r="U255">
        <v>100.934</v>
      </c>
      <c r="V255">
        <v>-646.34982074445372</v>
      </c>
      <c r="W255">
        <v>69.239730699999996</v>
      </c>
      <c r="X255">
        <v>94.9297641</v>
      </c>
      <c r="Y255">
        <v>177.97</v>
      </c>
      <c r="Z255">
        <v>255.79773499999999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2.6823140745724996</v>
      </c>
    </row>
    <row r="256" spans="1:40" x14ac:dyDescent="0.3">
      <c r="A256">
        <v>33</v>
      </c>
      <c r="B256">
        <v>15</v>
      </c>
      <c r="C256">
        <v>12.781306787499116</v>
      </c>
      <c r="D256">
        <v>17</v>
      </c>
      <c r="E256">
        <v>6</v>
      </c>
      <c r="F256">
        <v>1.1892887767509142</v>
      </c>
      <c r="G256">
        <v>15</v>
      </c>
      <c r="H256">
        <v>8</v>
      </c>
      <c r="I256">
        <v>0.68135860873726828</v>
      </c>
      <c r="J256">
        <v>327194152.26240015</v>
      </c>
      <c r="K256">
        <v>165430000</v>
      </c>
      <c r="L256">
        <v>79925724.157244146</v>
      </c>
      <c r="M256">
        <v>77595700</v>
      </c>
      <c r="N256">
        <v>15760445.76</v>
      </c>
      <c r="O256">
        <v>227.37284700000001</v>
      </c>
      <c r="P256">
        <v>2.6821493928936002</v>
      </c>
      <c r="Q256">
        <v>44.184162299999997</v>
      </c>
      <c r="R256">
        <v>803.91489899999999</v>
      </c>
      <c r="S256">
        <v>8.7999373899999997E-11</v>
      </c>
      <c r="T256">
        <v>22.267128132799755</v>
      </c>
      <c r="U256">
        <v>100.934</v>
      </c>
      <c r="V256">
        <v>-658.63199788341126</v>
      </c>
      <c r="W256">
        <v>69.219092900000007</v>
      </c>
      <c r="X256">
        <v>94.839013399999999</v>
      </c>
      <c r="Y256">
        <v>177.97</v>
      </c>
      <c r="Z256">
        <v>252.87043800000001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2.6821493928936002</v>
      </c>
    </row>
    <row r="257" spans="1:40" x14ac:dyDescent="0.3">
      <c r="A257">
        <v>31</v>
      </c>
      <c r="B257">
        <v>18</v>
      </c>
      <c r="C257">
        <v>7.8463934243148552</v>
      </c>
      <c r="D257">
        <v>23</v>
      </c>
      <c r="E257">
        <v>9</v>
      </c>
      <c r="F257">
        <v>1.0229864257088854</v>
      </c>
      <c r="G257">
        <v>10</v>
      </c>
      <c r="H257">
        <v>8</v>
      </c>
      <c r="I257">
        <v>0.49453558257527325</v>
      </c>
      <c r="J257">
        <v>327190959.98585528</v>
      </c>
      <c r="K257">
        <v>165430000</v>
      </c>
      <c r="L257">
        <v>79925758.130467415</v>
      </c>
      <c r="M257">
        <v>77595700</v>
      </c>
      <c r="N257">
        <v>15767790.800000001</v>
      </c>
      <c r="O257">
        <v>226.80026899999999</v>
      </c>
      <c r="P257">
        <v>2.6889111690085827</v>
      </c>
      <c r="Q257">
        <v>44.230409600000002</v>
      </c>
      <c r="R257">
        <v>804.50739499999997</v>
      </c>
      <c r="S257">
        <v>2.29626164E-14</v>
      </c>
      <c r="T257">
        <v>22.370386430749562</v>
      </c>
      <c r="U257">
        <v>100.934</v>
      </c>
      <c r="V257">
        <v>-665.0638162190229</v>
      </c>
      <c r="W257">
        <v>69.219679099999993</v>
      </c>
      <c r="X257">
        <v>94.846131400000004</v>
      </c>
      <c r="Y257">
        <v>177.97</v>
      </c>
      <c r="Z257">
        <v>262.118246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2.6889111690085827</v>
      </c>
    </row>
    <row r="258" spans="1:40" x14ac:dyDescent="0.3">
      <c r="A258">
        <v>30</v>
      </c>
      <c r="B258">
        <v>10</v>
      </c>
      <c r="C258">
        <v>13.436716727800803</v>
      </c>
      <c r="D258">
        <v>26</v>
      </c>
      <c r="E258">
        <v>11</v>
      </c>
      <c r="F258">
        <v>0.9315577743886998</v>
      </c>
      <c r="G258">
        <v>18</v>
      </c>
      <c r="H258">
        <v>14</v>
      </c>
      <c r="I258">
        <v>1.0663596927928487</v>
      </c>
      <c r="J258">
        <v>327193333.81380826</v>
      </c>
      <c r="K258">
        <v>165430000</v>
      </c>
      <c r="L258">
        <v>79925721.798366323</v>
      </c>
      <c r="M258">
        <v>77595700</v>
      </c>
      <c r="N258">
        <v>15759916</v>
      </c>
      <c r="O258">
        <v>226.68664100000001</v>
      </c>
      <c r="P258">
        <v>2.690266110271224</v>
      </c>
      <c r="Q258">
        <v>44.236631500000001</v>
      </c>
      <c r="R258">
        <v>804.68050000000005</v>
      </c>
      <c r="S258">
        <v>1.1693178500000001E-16</v>
      </c>
      <c r="T258">
        <v>22.405395548720559</v>
      </c>
      <c r="U258">
        <v>100.934</v>
      </c>
      <c r="V258">
        <v>-665.24533868207232</v>
      </c>
      <c r="W258">
        <v>69.221204599999993</v>
      </c>
      <c r="X258">
        <v>94.856067100000004</v>
      </c>
      <c r="Y258">
        <v>177.97</v>
      </c>
      <c r="Z258">
        <v>252.58577700000001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2.690266110271224</v>
      </c>
    </row>
    <row r="259" spans="1:40" x14ac:dyDescent="0.3">
      <c r="A259">
        <v>37</v>
      </c>
      <c r="B259">
        <v>11</v>
      </c>
      <c r="C259">
        <v>11.456338914480867</v>
      </c>
      <c r="D259">
        <v>13</v>
      </c>
      <c r="E259">
        <v>5</v>
      </c>
      <c r="F259">
        <v>1.1231231282571104</v>
      </c>
      <c r="G259">
        <v>29</v>
      </c>
      <c r="H259">
        <v>11</v>
      </c>
      <c r="I259">
        <v>1.0085975127562132</v>
      </c>
      <c r="J259">
        <v>327192551.0747816</v>
      </c>
      <c r="K259">
        <v>165430000</v>
      </c>
      <c r="L259">
        <v>79925720.51785025</v>
      </c>
      <c r="M259">
        <v>77595700</v>
      </c>
      <c r="N259">
        <v>15759619.280000001</v>
      </c>
      <c r="O259">
        <v>227.98564200000001</v>
      </c>
      <c r="P259">
        <v>2.6749353653030519</v>
      </c>
      <c r="Q259">
        <v>44.123372500000002</v>
      </c>
      <c r="R259">
        <v>803.47499000000005</v>
      </c>
      <c r="S259">
        <v>1.8876795399999999E-9</v>
      </c>
      <c r="T259">
        <v>22.180576657681065</v>
      </c>
      <c r="U259">
        <v>100.934</v>
      </c>
      <c r="V259">
        <v>-652.41530000004536</v>
      </c>
      <c r="W259">
        <v>69.220158900000001</v>
      </c>
      <c r="X259">
        <v>94.8480299</v>
      </c>
      <c r="Y259">
        <v>165.7</v>
      </c>
      <c r="Z259">
        <v>253.07838000000001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2.6749353653030519</v>
      </c>
    </row>
    <row r="260" spans="1:40" x14ac:dyDescent="0.3">
      <c r="A260">
        <v>28</v>
      </c>
      <c r="B260">
        <v>10</v>
      </c>
      <c r="C260">
        <v>14.779037954653164</v>
      </c>
      <c r="D260">
        <v>24</v>
      </c>
      <c r="E260">
        <v>11</v>
      </c>
      <c r="F260">
        <v>0.44774780947320303</v>
      </c>
      <c r="G260">
        <v>28</v>
      </c>
      <c r="H260">
        <v>10</v>
      </c>
      <c r="I260">
        <v>0.95100972715323184</v>
      </c>
      <c r="J260">
        <v>327192734.92558026</v>
      </c>
      <c r="K260">
        <v>165430000</v>
      </c>
      <c r="L260">
        <v>79925720.81861642</v>
      </c>
      <c r="M260">
        <v>77595700</v>
      </c>
      <c r="N260">
        <v>15759688.720000001</v>
      </c>
      <c r="O260">
        <v>229.988044</v>
      </c>
      <c r="P260">
        <v>2.6516464541747107</v>
      </c>
      <c r="Q260">
        <v>43.9688169</v>
      </c>
      <c r="R260">
        <v>801.57724200000007</v>
      </c>
      <c r="S260">
        <v>3.5428237699999999E-14</v>
      </c>
      <c r="T260">
        <v>21.920262628822563</v>
      </c>
      <c r="U260">
        <v>100.934</v>
      </c>
      <c r="V260">
        <v>-622.21630923702799</v>
      </c>
      <c r="W260">
        <v>69.221620900000005</v>
      </c>
      <c r="X260">
        <v>94.858874200000002</v>
      </c>
      <c r="Y260">
        <v>177.97</v>
      </c>
      <c r="Z260">
        <v>253.65647300000001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2.6516464541747107</v>
      </c>
    </row>
    <row r="261" spans="1:40" x14ac:dyDescent="0.3">
      <c r="A261">
        <v>28</v>
      </c>
      <c r="B261">
        <v>19</v>
      </c>
      <c r="C261">
        <v>5.7884013921725916</v>
      </c>
      <c r="D261">
        <v>22</v>
      </c>
      <c r="E261">
        <v>14</v>
      </c>
      <c r="F261">
        <v>1.0791504453336043</v>
      </c>
      <c r="G261">
        <v>15</v>
      </c>
      <c r="H261">
        <v>10</v>
      </c>
      <c r="I261">
        <v>1.2913876010984948</v>
      </c>
      <c r="J261">
        <v>327192130.88704032</v>
      </c>
      <c r="K261">
        <v>165430000</v>
      </c>
      <c r="L261">
        <v>79925721.205051631</v>
      </c>
      <c r="M261">
        <v>77595700</v>
      </c>
      <c r="N261">
        <v>15759759.68</v>
      </c>
      <c r="O261">
        <v>226.10145600000001</v>
      </c>
      <c r="P261">
        <v>2.697225316941434</v>
      </c>
      <c r="Q261">
        <v>44.267780199999997</v>
      </c>
      <c r="R261">
        <v>805.36070800000005</v>
      </c>
      <c r="S261">
        <v>2.2036120199999999E-12</v>
      </c>
      <c r="T261">
        <v>22.595586149006543</v>
      </c>
      <c r="U261">
        <v>100.934</v>
      </c>
      <c r="V261">
        <v>-676.65851570488542</v>
      </c>
      <c r="W261">
        <v>69.223452899999998</v>
      </c>
      <c r="X261">
        <v>94.869304600000007</v>
      </c>
      <c r="Y261">
        <v>165.7</v>
      </c>
      <c r="Z261">
        <v>252.68549999999999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2.697225316941434</v>
      </c>
    </row>
    <row r="262" spans="1:40" x14ac:dyDescent="0.3">
      <c r="A262">
        <v>32</v>
      </c>
      <c r="B262">
        <v>10</v>
      </c>
      <c r="C262">
        <v>2.3848775610122797</v>
      </c>
      <c r="D262">
        <v>26</v>
      </c>
      <c r="E262">
        <v>7</v>
      </c>
      <c r="F262">
        <v>0.43943476901304701</v>
      </c>
      <c r="G262">
        <v>26</v>
      </c>
      <c r="H262">
        <v>12</v>
      </c>
      <c r="I262">
        <v>0.34998615762997914</v>
      </c>
      <c r="J262">
        <v>327200570.43932056</v>
      </c>
      <c r="K262">
        <v>165430000</v>
      </c>
      <c r="L262">
        <v>79925733.001495183</v>
      </c>
      <c r="M262">
        <v>77595700</v>
      </c>
      <c r="N262">
        <v>15762521.039999999</v>
      </c>
      <c r="O262">
        <v>230.109207</v>
      </c>
      <c r="P262">
        <v>2.6502733571796027</v>
      </c>
      <c r="Q262">
        <v>43.935487100000003</v>
      </c>
      <c r="R262">
        <v>801.285212</v>
      </c>
      <c r="S262">
        <v>2.28081753E-10</v>
      </c>
      <c r="T262">
        <v>21.908514968424932</v>
      </c>
      <c r="U262">
        <v>100.934</v>
      </c>
      <c r="V262">
        <v>-596.71325410161262</v>
      </c>
      <c r="W262">
        <v>69.267633700000005</v>
      </c>
      <c r="X262">
        <v>95.020045100000004</v>
      </c>
      <c r="Y262">
        <v>177.97</v>
      </c>
      <c r="Z262">
        <v>253.28443799999999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2.6502733571796027</v>
      </c>
    </row>
    <row r="263" spans="1:40" x14ac:dyDescent="0.3">
      <c r="A263">
        <v>27</v>
      </c>
      <c r="B263">
        <v>16</v>
      </c>
      <c r="C263">
        <v>3.3408240983173787</v>
      </c>
      <c r="D263">
        <v>15</v>
      </c>
      <c r="E263">
        <v>11</v>
      </c>
      <c r="F263">
        <v>0.38083258707258882</v>
      </c>
      <c r="G263">
        <v>28</v>
      </c>
      <c r="H263">
        <v>14</v>
      </c>
      <c r="I263">
        <v>0.56355208377128252</v>
      </c>
      <c r="J263">
        <v>327192744.71712494</v>
      </c>
      <c r="K263">
        <v>165430000</v>
      </c>
      <c r="L263">
        <v>79925720.766023427</v>
      </c>
      <c r="M263">
        <v>77595700</v>
      </c>
      <c r="N263">
        <v>15759679.760000002</v>
      </c>
      <c r="O263">
        <v>230.87373199999999</v>
      </c>
      <c r="P263">
        <v>2.6414741198111602</v>
      </c>
      <c r="Q263">
        <v>43.8487771</v>
      </c>
      <c r="R263">
        <v>801.45094299999994</v>
      </c>
      <c r="S263">
        <v>6.3525845500000002E-13</v>
      </c>
      <c r="T263">
        <v>21.641799066215782</v>
      </c>
      <c r="U263">
        <v>100.934</v>
      </c>
      <c r="V263">
        <v>-618.8190050290583</v>
      </c>
      <c r="W263">
        <v>69.235556099999997</v>
      </c>
      <c r="X263">
        <v>94.919115899999994</v>
      </c>
      <c r="Y263">
        <v>121.52199999999999</v>
      </c>
      <c r="Z263">
        <v>253.967589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2.6414741198111602</v>
      </c>
    </row>
    <row r="264" spans="1:40" x14ac:dyDescent="0.3">
      <c r="A264">
        <v>27</v>
      </c>
      <c r="B264">
        <v>18</v>
      </c>
      <c r="C264">
        <v>12.828576250739571</v>
      </c>
      <c r="D264">
        <v>26</v>
      </c>
      <c r="E264">
        <v>5</v>
      </c>
      <c r="F264">
        <v>0.37790560073593249</v>
      </c>
      <c r="G264">
        <v>16</v>
      </c>
      <c r="H264">
        <v>14</v>
      </c>
      <c r="I264">
        <v>0.99306926270331863</v>
      </c>
      <c r="J264">
        <v>327182214.32879561</v>
      </c>
      <c r="K264">
        <v>165430000</v>
      </c>
      <c r="L264">
        <v>79925722.689570978</v>
      </c>
      <c r="M264">
        <v>77595700</v>
      </c>
      <c r="N264">
        <v>15759876.399999999</v>
      </c>
      <c r="O264">
        <v>231.340204</v>
      </c>
      <c r="P264">
        <v>2.6361169778087805</v>
      </c>
      <c r="Q264">
        <v>43.8712947</v>
      </c>
      <c r="R264">
        <v>800.38620800000001</v>
      </c>
      <c r="S264">
        <v>2.9670142599999999E-8</v>
      </c>
      <c r="T264">
        <v>21.808139581346701</v>
      </c>
      <c r="U264">
        <v>100.934</v>
      </c>
      <c r="V264">
        <v>-601.41832911488996</v>
      </c>
      <c r="W264">
        <v>69.221106399999996</v>
      </c>
      <c r="X264">
        <v>94.856325200000001</v>
      </c>
      <c r="Y264">
        <v>177.97</v>
      </c>
      <c r="Z264">
        <v>259.11860799999999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2.6361169778087805</v>
      </c>
    </row>
    <row r="265" spans="1:40" x14ac:dyDescent="0.3">
      <c r="A265">
        <v>38</v>
      </c>
      <c r="B265">
        <v>14</v>
      </c>
      <c r="C265">
        <v>5.8945479800774834</v>
      </c>
      <c r="D265">
        <v>29</v>
      </c>
      <c r="E265">
        <v>7</v>
      </c>
      <c r="F265">
        <v>0.94606424459379501</v>
      </c>
      <c r="G265">
        <v>22</v>
      </c>
      <c r="H265">
        <v>14</v>
      </c>
      <c r="I265">
        <v>0.36310676966206112</v>
      </c>
      <c r="J265">
        <v>327199744.22971267</v>
      </c>
      <c r="K265">
        <v>165430000</v>
      </c>
      <c r="L265">
        <v>79925734.199012935</v>
      </c>
      <c r="M265">
        <v>77595700</v>
      </c>
      <c r="N265">
        <v>15762755.039999999</v>
      </c>
      <c r="O265">
        <v>227.56222199999999</v>
      </c>
      <c r="P265">
        <v>2.6799340168035477</v>
      </c>
      <c r="Q265">
        <v>44.179600000000001</v>
      </c>
      <c r="R265">
        <v>803.66455900000005</v>
      </c>
      <c r="S265">
        <v>9.5279445600000006E-12</v>
      </c>
      <c r="T265">
        <v>22.221143814445504</v>
      </c>
      <c r="U265">
        <v>100.934</v>
      </c>
      <c r="V265">
        <v>-651.79068431709504</v>
      </c>
      <c r="W265">
        <v>69.220060200000006</v>
      </c>
      <c r="X265">
        <v>94.848417900000001</v>
      </c>
      <c r="Y265">
        <v>177.97</v>
      </c>
      <c r="Z265">
        <v>252.58761899999999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2.6799340168035477</v>
      </c>
    </row>
    <row r="266" spans="1:40" x14ac:dyDescent="0.3">
      <c r="A266">
        <v>37</v>
      </c>
      <c r="B266">
        <v>13</v>
      </c>
      <c r="C266">
        <v>6.0404606757479469</v>
      </c>
      <c r="D266">
        <v>13</v>
      </c>
      <c r="E266">
        <v>9</v>
      </c>
      <c r="F266">
        <v>1.1998478816403877</v>
      </c>
      <c r="G266">
        <v>10</v>
      </c>
      <c r="H266">
        <v>8</v>
      </c>
      <c r="I266">
        <v>0.35585233636441671</v>
      </c>
      <c r="J266">
        <v>327194658.77590436</v>
      </c>
      <c r="K266">
        <v>165430000</v>
      </c>
      <c r="L266">
        <v>79925773.774006084</v>
      </c>
      <c r="M266">
        <v>77595700</v>
      </c>
      <c r="N266">
        <v>15771275.439999999</v>
      </c>
      <c r="O266">
        <v>226.735409</v>
      </c>
      <c r="P266">
        <v>2.6896914340839762</v>
      </c>
      <c r="Q266">
        <v>44.195751799999996</v>
      </c>
      <c r="R266">
        <v>805.19009799999992</v>
      </c>
      <c r="S266">
        <v>2.1805505599999999E-14</v>
      </c>
      <c r="T266">
        <v>22.476592031863937</v>
      </c>
      <c r="U266">
        <v>100.934</v>
      </c>
      <c r="V266">
        <v>-672.45423402038477</v>
      </c>
      <c r="W266">
        <v>69.2206774</v>
      </c>
      <c r="X266">
        <v>94.852411599999996</v>
      </c>
      <c r="Y266">
        <v>144.29</v>
      </c>
      <c r="Z266">
        <v>265.19387799999998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2.6896914340839762</v>
      </c>
    </row>
    <row r="267" spans="1:40" x14ac:dyDescent="0.3">
      <c r="A267">
        <v>28</v>
      </c>
      <c r="B267">
        <v>18</v>
      </c>
      <c r="C267">
        <v>8.4375274893259515</v>
      </c>
      <c r="D267">
        <v>17</v>
      </c>
      <c r="E267">
        <v>5</v>
      </c>
      <c r="F267">
        <v>0.30967014070402404</v>
      </c>
      <c r="G267">
        <v>29</v>
      </c>
      <c r="H267">
        <v>8</v>
      </c>
      <c r="I267">
        <v>0.95154837169560547</v>
      </c>
      <c r="J267">
        <v>327193321.99150163</v>
      </c>
      <c r="K267">
        <v>165430000</v>
      </c>
      <c r="L267">
        <v>79925721.730981544</v>
      </c>
      <c r="M267">
        <v>77595700</v>
      </c>
      <c r="N267">
        <v>15759900</v>
      </c>
      <c r="O267">
        <v>231.830322</v>
      </c>
      <c r="P267">
        <v>2.6305764260979032</v>
      </c>
      <c r="Q267">
        <v>43.811496300000002</v>
      </c>
      <c r="R267">
        <v>800.26005099999998</v>
      </c>
      <c r="S267">
        <v>5.4997799200000003E-8</v>
      </c>
      <c r="T267">
        <v>21.718998827057412</v>
      </c>
      <c r="U267">
        <v>100.934</v>
      </c>
      <c r="V267">
        <v>-601.85941261771541</v>
      </c>
      <c r="W267">
        <v>69.221169200000006</v>
      </c>
      <c r="X267">
        <v>94.857005999999998</v>
      </c>
      <c r="Y267">
        <v>170.55</v>
      </c>
      <c r="Z267">
        <v>254.27740700000001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2.6305764260979032</v>
      </c>
    </row>
    <row r="268" spans="1:40" x14ac:dyDescent="0.3">
      <c r="A268">
        <v>32</v>
      </c>
      <c r="B268">
        <v>15</v>
      </c>
      <c r="C268">
        <v>3.7814572296793649</v>
      </c>
      <c r="D268">
        <v>20</v>
      </c>
      <c r="E268">
        <v>7</v>
      </c>
      <c r="F268">
        <v>0.57232403243441854</v>
      </c>
      <c r="G268">
        <v>16</v>
      </c>
      <c r="H268">
        <v>13</v>
      </c>
      <c r="I268">
        <v>1.3207251565821054</v>
      </c>
      <c r="J268">
        <v>327189026.55727959</v>
      </c>
      <c r="K268">
        <v>165430000</v>
      </c>
      <c r="L268">
        <v>79925720.754518703</v>
      </c>
      <c r="M268">
        <v>77595700</v>
      </c>
      <c r="N268">
        <v>15759592.32</v>
      </c>
      <c r="O268">
        <v>229.186125</v>
      </c>
      <c r="P268">
        <v>2.6609135432188848</v>
      </c>
      <c r="Q268">
        <v>44.0330254</v>
      </c>
      <c r="R268">
        <v>802.32400900000005</v>
      </c>
      <c r="S268">
        <v>7.1174236400000001E-11</v>
      </c>
      <c r="T268">
        <v>22.038728933357348</v>
      </c>
      <c r="U268">
        <v>100.934</v>
      </c>
      <c r="V268">
        <v>-631.2673741404891</v>
      </c>
      <c r="W268">
        <v>69.223303200000004</v>
      </c>
      <c r="X268">
        <v>94.868917699999997</v>
      </c>
      <c r="Y268">
        <v>177.97</v>
      </c>
      <c r="Z268">
        <v>254.94933700000001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2.6609135432188848</v>
      </c>
    </row>
    <row r="269" spans="1:40" x14ac:dyDescent="0.3">
      <c r="A269">
        <v>37</v>
      </c>
      <c r="B269">
        <v>19</v>
      </c>
      <c r="C269">
        <v>3.9766478934320277</v>
      </c>
      <c r="D269">
        <v>12</v>
      </c>
      <c r="E269">
        <v>6</v>
      </c>
      <c r="F269">
        <v>1.1915176120186868</v>
      </c>
      <c r="G269">
        <v>17</v>
      </c>
      <c r="H269">
        <v>11</v>
      </c>
      <c r="I269">
        <v>1.2940288747314037</v>
      </c>
      <c r="J269">
        <v>327192216.23015165</v>
      </c>
      <c r="K269">
        <v>165430000</v>
      </c>
      <c r="L269">
        <v>79925720.62385799</v>
      </c>
      <c r="M269">
        <v>77595700</v>
      </c>
      <c r="N269">
        <v>15759635.280000001</v>
      </c>
      <c r="O269">
        <v>227.45094800000001</v>
      </c>
      <c r="P269">
        <v>2.6812226311588212</v>
      </c>
      <c r="Q269">
        <v>44.155827000000002</v>
      </c>
      <c r="R269">
        <v>804.14843700000006</v>
      </c>
      <c r="S269">
        <v>1.0022282799999999E-10</v>
      </c>
      <c r="T269">
        <v>22.283459977287954</v>
      </c>
      <c r="U269">
        <v>100.934</v>
      </c>
      <c r="V269">
        <v>-661.8434317139953</v>
      </c>
      <c r="W269">
        <v>69.219664699999996</v>
      </c>
      <c r="X269">
        <v>94.846648500000001</v>
      </c>
      <c r="Y269">
        <v>144.29</v>
      </c>
      <c r="Z269">
        <v>252.99650199999999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2.6812226311588212</v>
      </c>
    </row>
    <row r="270" spans="1:40" x14ac:dyDescent="0.3">
      <c r="A270">
        <v>27</v>
      </c>
      <c r="B270">
        <v>13</v>
      </c>
      <c r="C270">
        <v>9.5949147126369212</v>
      </c>
      <c r="D270">
        <v>28</v>
      </c>
      <c r="E270">
        <v>6</v>
      </c>
      <c r="F270">
        <v>0.54205843531329667</v>
      </c>
      <c r="G270">
        <v>24</v>
      </c>
      <c r="H270">
        <v>7</v>
      </c>
      <c r="I270">
        <v>1.238441991037019</v>
      </c>
      <c r="J270">
        <v>327193506.47067928</v>
      </c>
      <c r="K270">
        <v>165430000</v>
      </c>
      <c r="L270">
        <v>79925722.009149164</v>
      </c>
      <c r="M270">
        <v>77595700</v>
      </c>
      <c r="N270">
        <v>15759964.4</v>
      </c>
      <c r="O270">
        <v>229.80400499999999</v>
      </c>
      <c r="P270">
        <v>2.653772309766842</v>
      </c>
      <c r="Q270">
        <v>44.001563500000003</v>
      </c>
      <c r="R270">
        <v>801.57966899999997</v>
      </c>
      <c r="S270">
        <v>9.6564116600000005E-10</v>
      </c>
      <c r="T270">
        <v>21.973808343961171</v>
      </c>
      <c r="U270">
        <v>100.934</v>
      </c>
      <c r="V270">
        <v>-618.68145120481643</v>
      </c>
      <c r="W270">
        <v>69.222094799999994</v>
      </c>
      <c r="X270">
        <v>94.862232399999996</v>
      </c>
      <c r="Y270">
        <v>177.97</v>
      </c>
      <c r="Z270">
        <v>253.70618400000001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2.653772309766842</v>
      </c>
    </row>
    <row r="271" spans="1:40" x14ac:dyDescent="0.3">
      <c r="A271">
        <v>29</v>
      </c>
      <c r="B271">
        <v>13</v>
      </c>
      <c r="C271">
        <v>1.3058175807620198</v>
      </c>
      <c r="D271">
        <v>26</v>
      </c>
      <c r="E271">
        <v>9</v>
      </c>
      <c r="F271">
        <v>0.34393923520897685</v>
      </c>
      <c r="G271">
        <v>17</v>
      </c>
      <c r="H271">
        <v>11</v>
      </c>
      <c r="I271">
        <v>0.97351268622598108</v>
      </c>
      <c r="J271">
        <v>327192083.57562965</v>
      </c>
      <c r="K271">
        <v>165430000</v>
      </c>
      <c r="L271">
        <v>79925720.844502032</v>
      </c>
      <c r="M271">
        <v>77595700</v>
      </c>
      <c r="N271">
        <v>15759678.959999999</v>
      </c>
      <c r="O271">
        <v>229.80621300000001</v>
      </c>
      <c r="P271">
        <v>2.6537426087906777</v>
      </c>
      <c r="Q271">
        <v>43.818967499999999</v>
      </c>
      <c r="R271">
        <v>801.34077000000002</v>
      </c>
      <c r="S271">
        <v>1.28965703E-11</v>
      </c>
      <c r="T271">
        <v>21.839385661292432</v>
      </c>
      <c r="U271">
        <v>91.850000000000009</v>
      </c>
      <c r="V271">
        <v>-527.64920185587425</v>
      </c>
      <c r="W271">
        <v>69.446499399999993</v>
      </c>
      <c r="X271">
        <v>96.041227500000005</v>
      </c>
      <c r="Y271">
        <v>177.97</v>
      </c>
      <c r="Z271">
        <v>254.29399900000001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2.6537426087906777</v>
      </c>
    </row>
    <row r="272" spans="1:40" x14ac:dyDescent="0.3">
      <c r="A272">
        <v>34</v>
      </c>
      <c r="B272">
        <v>12</v>
      </c>
      <c r="C272">
        <v>1.6648712150788874</v>
      </c>
      <c r="D272">
        <v>27</v>
      </c>
      <c r="E272">
        <v>10</v>
      </c>
      <c r="F272">
        <v>0.88433163965744677</v>
      </c>
      <c r="G272">
        <v>25</v>
      </c>
      <c r="H272">
        <v>12</v>
      </c>
      <c r="I272">
        <v>1.3185123441452375</v>
      </c>
      <c r="J272">
        <v>327192363.74344182</v>
      </c>
      <c r="K272">
        <v>165430000</v>
      </c>
      <c r="L272">
        <v>79925720.217494965</v>
      </c>
      <c r="M272">
        <v>77595700</v>
      </c>
      <c r="N272">
        <v>15759549.68</v>
      </c>
      <c r="O272">
        <v>226.31003799999999</v>
      </c>
      <c r="P272">
        <v>2.6947400777524546</v>
      </c>
      <c r="Q272">
        <v>44.190673699999998</v>
      </c>
      <c r="R272">
        <v>804.84977400000002</v>
      </c>
      <c r="S272">
        <v>2.5507804999999999E-15</v>
      </c>
      <c r="T272">
        <v>22.400819440791466</v>
      </c>
      <c r="U272">
        <v>100.934</v>
      </c>
      <c r="V272">
        <v>-624.21594248826352</v>
      </c>
      <c r="W272">
        <v>69.322634899999997</v>
      </c>
      <c r="X272">
        <v>95.233377300000001</v>
      </c>
      <c r="Y272">
        <v>177.97</v>
      </c>
      <c r="Z272">
        <v>252.75532200000001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2.6947400777524546</v>
      </c>
    </row>
    <row r="273" spans="1:40" x14ac:dyDescent="0.3">
      <c r="A273">
        <v>30</v>
      </c>
      <c r="B273">
        <v>16</v>
      </c>
      <c r="C273">
        <v>6.1289142971007173</v>
      </c>
      <c r="D273">
        <v>23</v>
      </c>
      <c r="E273">
        <v>11</v>
      </c>
      <c r="F273">
        <v>0.68207092637783728</v>
      </c>
      <c r="G273">
        <v>13</v>
      </c>
      <c r="H273">
        <v>10</v>
      </c>
      <c r="I273">
        <v>1.3193013010182753</v>
      </c>
      <c r="J273">
        <v>327189912.80044627</v>
      </c>
      <c r="K273">
        <v>165430000</v>
      </c>
      <c r="L273">
        <v>79925722.361070231</v>
      </c>
      <c r="M273">
        <v>77595700</v>
      </c>
      <c r="N273">
        <v>15759961.68</v>
      </c>
      <c r="O273">
        <v>227.688277</v>
      </c>
      <c r="P273">
        <v>2.6784210131339821</v>
      </c>
      <c r="Q273">
        <v>44.145716200000003</v>
      </c>
      <c r="R273">
        <v>803.94661399999995</v>
      </c>
      <c r="S273">
        <v>1.0803370000000001E-15</v>
      </c>
      <c r="T273">
        <v>22.286072863320705</v>
      </c>
      <c r="U273">
        <v>100.934</v>
      </c>
      <c r="V273">
        <v>-652.59903003401553</v>
      </c>
      <c r="W273">
        <v>69.220809900000006</v>
      </c>
      <c r="X273">
        <v>94.855443800000003</v>
      </c>
      <c r="Y273">
        <v>177.97</v>
      </c>
      <c r="Z273">
        <v>254.21394900000001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2.6784210131339821</v>
      </c>
    </row>
    <row r="274" spans="1:40" x14ac:dyDescent="0.3">
      <c r="A274">
        <v>28</v>
      </c>
      <c r="B274">
        <v>12</v>
      </c>
      <c r="C274">
        <v>5.7100633182423781</v>
      </c>
      <c r="D274">
        <v>20</v>
      </c>
      <c r="E274">
        <v>12</v>
      </c>
      <c r="F274">
        <v>0.88984630077147409</v>
      </c>
      <c r="G274">
        <v>13</v>
      </c>
      <c r="H274">
        <v>10</v>
      </c>
      <c r="I274">
        <v>0.81947741921402462</v>
      </c>
      <c r="J274">
        <v>327188370.84728813</v>
      </c>
      <c r="K274">
        <v>165430000</v>
      </c>
      <c r="L274">
        <v>79925725.295594782</v>
      </c>
      <c r="M274">
        <v>77595700</v>
      </c>
      <c r="N274">
        <v>15760564.640000001</v>
      </c>
      <c r="O274">
        <v>226.60585599999999</v>
      </c>
      <c r="P274">
        <v>2.6912103224652282</v>
      </c>
      <c r="Q274">
        <v>44.219289699999997</v>
      </c>
      <c r="R274">
        <v>805.03986900000007</v>
      </c>
      <c r="S274">
        <v>1.06119813E-17</v>
      </c>
      <c r="T274">
        <v>22.483883349627749</v>
      </c>
      <c r="U274">
        <v>100.934</v>
      </c>
      <c r="V274">
        <v>-668.53669239631756</v>
      </c>
      <c r="W274">
        <v>69.225023100000001</v>
      </c>
      <c r="X274">
        <v>94.874888900000002</v>
      </c>
      <c r="Y274">
        <v>165.7</v>
      </c>
      <c r="Z274">
        <v>254.98952800000001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2.6912103224652282</v>
      </c>
    </row>
    <row r="275" spans="1:40" x14ac:dyDescent="0.3">
      <c r="A275">
        <v>30</v>
      </c>
      <c r="B275">
        <v>15</v>
      </c>
      <c r="C275">
        <v>4.7303611514250665</v>
      </c>
      <c r="D275">
        <v>24</v>
      </c>
      <c r="E275">
        <v>11</v>
      </c>
      <c r="F275">
        <v>1.0686151858863091</v>
      </c>
      <c r="G275">
        <v>22</v>
      </c>
      <c r="H275">
        <v>12</v>
      </c>
      <c r="I275">
        <v>0.8293057588573447</v>
      </c>
      <c r="J275">
        <v>327192547.05203348</v>
      </c>
      <c r="K275">
        <v>165430000</v>
      </c>
      <c r="L275">
        <v>79925720.600026801</v>
      </c>
      <c r="M275">
        <v>77595700</v>
      </c>
      <c r="N275">
        <v>15759638.16</v>
      </c>
      <c r="O275">
        <v>226.41368199999999</v>
      </c>
      <c r="P275">
        <v>2.6935070727583401</v>
      </c>
      <c r="Q275">
        <v>44.257243000000003</v>
      </c>
      <c r="R275">
        <v>804.88073900000006</v>
      </c>
      <c r="S275">
        <v>5.34211303E-17</v>
      </c>
      <c r="T275">
        <v>22.461251971018243</v>
      </c>
      <c r="U275">
        <v>100.934</v>
      </c>
      <c r="V275">
        <v>-669.5289028166427</v>
      </c>
      <c r="W275">
        <v>69.222532000000001</v>
      </c>
      <c r="X275">
        <v>94.865966700000001</v>
      </c>
      <c r="Y275">
        <v>177.97</v>
      </c>
      <c r="Z275">
        <v>252.57118399999999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2.6935070727583401</v>
      </c>
    </row>
    <row r="276" spans="1:40" x14ac:dyDescent="0.3">
      <c r="A276">
        <v>38</v>
      </c>
      <c r="B276">
        <v>12</v>
      </c>
      <c r="C276">
        <v>14.707409006132664</v>
      </c>
      <c r="D276">
        <v>20</v>
      </c>
      <c r="E276">
        <v>12</v>
      </c>
      <c r="F276">
        <v>0.34876742082469731</v>
      </c>
      <c r="G276">
        <v>16</v>
      </c>
      <c r="H276">
        <v>12</v>
      </c>
      <c r="I276">
        <v>1.2242645092587758</v>
      </c>
      <c r="J276">
        <v>327190828.68355072</v>
      </c>
      <c r="K276">
        <v>165430000</v>
      </c>
      <c r="L276">
        <v>79925720.732741922</v>
      </c>
      <c r="M276">
        <v>77595700</v>
      </c>
      <c r="N276">
        <v>15759638.16</v>
      </c>
      <c r="O276">
        <v>231.21211500000001</v>
      </c>
      <c r="P276">
        <v>2.6376026503326129</v>
      </c>
      <c r="Q276">
        <v>43.861268199999998</v>
      </c>
      <c r="R276">
        <v>800.52566000000002</v>
      </c>
      <c r="S276">
        <v>4.2013142999999998E-14</v>
      </c>
      <c r="T276">
        <v>21.675766243127192</v>
      </c>
      <c r="U276">
        <v>100.934</v>
      </c>
      <c r="V276">
        <v>-614.23141248735556</v>
      </c>
      <c r="W276">
        <v>69.219262900000004</v>
      </c>
      <c r="X276">
        <v>94.840489700000006</v>
      </c>
      <c r="Y276">
        <v>144.29</v>
      </c>
      <c r="Z276">
        <v>254.74561399999999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2.6376026503326129</v>
      </c>
    </row>
    <row r="277" spans="1:40" x14ac:dyDescent="0.3">
      <c r="A277">
        <v>32</v>
      </c>
      <c r="B277">
        <v>10</v>
      </c>
      <c r="C277">
        <v>7.688214238224492</v>
      </c>
      <c r="D277">
        <v>27</v>
      </c>
      <c r="E277">
        <v>12</v>
      </c>
      <c r="F277">
        <v>0.87309166110147296</v>
      </c>
      <c r="G277">
        <v>23</v>
      </c>
      <c r="H277">
        <v>9</v>
      </c>
      <c r="I277">
        <v>1.001708369094569</v>
      </c>
      <c r="J277">
        <v>327193004.44042259</v>
      </c>
      <c r="K277">
        <v>165430000</v>
      </c>
      <c r="L277">
        <v>79925721.224568561</v>
      </c>
      <c r="M277">
        <v>77595700</v>
      </c>
      <c r="N277">
        <v>15759783.76</v>
      </c>
      <c r="O277">
        <v>226.71802299999999</v>
      </c>
      <c r="P277">
        <v>2.6898927410667701</v>
      </c>
      <c r="Q277">
        <v>44.230418299999997</v>
      </c>
      <c r="R277">
        <v>804.70633300000009</v>
      </c>
      <c r="S277">
        <v>1.03513279E-17</v>
      </c>
      <c r="T277">
        <v>22.4113442782321</v>
      </c>
      <c r="U277">
        <v>100.934</v>
      </c>
      <c r="V277">
        <v>-663.56659133341032</v>
      </c>
      <c r="W277">
        <v>69.2234081</v>
      </c>
      <c r="X277">
        <v>94.866253099999994</v>
      </c>
      <c r="Y277">
        <v>177.97</v>
      </c>
      <c r="Z277">
        <v>252.61926600000001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2.6898927410667701</v>
      </c>
    </row>
    <row r="278" spans="1:40" x14ac:dyDescent="0.3">
      <c r="A278">
        <v>35</v>
      </c>
      <c r="B278">
        <v>16</v>
      </c>
      <c r="C278">
        <v>4.987780988052541</v>
      </c>
      <c r="D278">
        <v>25</v>
      </c>
      <c r="E278">
        <v>9</v>
      </c>
      <c r="F278">
        <v>0.446668732623554</v>
      </c>
      <c r="G278">
        <v>15</v>
      </c>
      <c r="H278">
        <v>13</v>
      </c>
      <c r="I278">
        <v>1.1738243600621834</v>
      </c>
      <c r="J278">
        <v>327183674.42085183</v>
      </c>
      <c r="K278">
        <v>165430000</v>
      </c>
      <c r="L278">
        <v>79925722.122552797</v>
      </c>
      <c r="M278">
        <v>77595700</v>
      </c>
      <c r="N278">
        <v>15759783.76</v>
      </c>
      <c r="O278">
        <v>230.15428800000001</v>
      </c>
      <c r="P278">
        <v>2.6497044043998876</v>
      </c>
      <c r="Q278">
        <v>43.963694500000003</v>
      </c>
      <c r="R278">
        <v>801.35657400000002</v>
      </c>
      <c r="S278">
        <v>2.72236811E-12</v>
      </c>
      <c r="T278">
        <v>21.912176551522101</v>
      </c>
      <c r="U278">
        <v>100.934</v>
      </c>
      <c r="V278">
        <v>-618.67513296518382</v>
      </c>
      <c r="W278">
        <v>69.220004900000006</v>
      </c>
      <c r="X278">
        <v>94.849277799999996</v>
      </c>
      <c r="Y278">
        <v>177.97</v>
      </c>
      <c r="Z278">
        <v>257.71734300000003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2.6497044043998876</v>
      </c>
    </row>
    <row r="279" spans="1:40" x14ac:dyDescent="0.3">
      <c r="A279">
        <v>29</v>
      </c>
      <c r="B279">
        <v>17</v>
      </c>
      <c r="C279">
        <v>3.0749626484835213</v>
      </c>
      <c r="D279">
        <v>28</v>
      </c>
      <c r="E279">
        <v>11</v>
      </c>
      <c r="F279">
        <v>0.96727672892262961</v>
      </c>
      <c r="G279">
        <v>22</v>
      </c>
      <c r="H279">
        <v>9</v>
      </c>
      <c r="I279">
        <v>1.2606945690757427</v>
      </c>
      <c r="J279">
        <v>327192799.71777707</v>
      </c>
      <c r="K279">
        <v>165430000</v>
      </c>
      <c r="L279">
        <v>79925720.911270469</v>
      </c>
      <c r="M279">
        <v>77595700</v>
      </c>
      <c r="N279">
        <v>15759710.559999999</v>
      </c>
      <c r="O279">
        <v>226.55740700000001</v>
      </c>
      <c r="P279">
        <v>2.6917991048498013</v>
      </c>
      <c r="Q279">
        <v>44.242320399999997</v>
      </c>
      <c r="R279">
        <v>804.72413399999994</v>
      </c>
      <c r="S279">
        <v>1.33369924E-13</v>
      </c>
      <c r="T279">
        <v>22.410514494052194</v>
      </c>
      <c r="U279">
        <v>100.934</v>
      </c>
      <c r="V279">
        <v>-662.2622381679945</v>
      </c>
      <c r="W279">
        <v>69.231785599999995</v>
      </c>
      <c r="X279">
        <v>94.904752299999998</v>
      </c>
      <c r="Y279">
        <v>177.97</v>
      </c>
      <c r="Z279">
        <v>252.60295600000001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2.6917991048498013</v>
      </c>
    </row>
    <row r="280" spans="1:40" x14ac:dyDescent="0.3">
      <c r="A280">
        <v>27</v>
      </c>
      <c r="B280">
        <v>15</v>
      </c>
      <c r="C280">
        <v>1.1289782592205528</v>
      </c>
      <c r="D280">
        <v>29</v>
      </c>
      <c r="E280">
        <v>8</v>
      </c>
      <c r="F280">
        <v>1.0441026503320483</v>
      </c>
      <c r="G280">
        <v>13</v>
      </c>
      <c r="H280">
        <v>9</v>
      </c>
      <c r="I280">
        <v>0.47418068151325798</v>
      </c>
      <c r="J280">
        <v>327193890.37442482</v>
      </c>
      <c r="K280">
        <v>165430000</v>
      </c>
      <c r="L280">
        <v>79925734.984826177</v>
      </c>
      <c r="M280">
        <v>77595700</v>
      </c>
      <c r="N280">
        <v>15762785.200000001</v>
      </c>
      <c r="O280">
        <v>224.929562</v>
      </c>
      <c r="P280">
        <v>2.711283302803682</v>
      </c>
      <c r="Q280">
        <v>44.146212300000002</v>
      </c>
      <c r="R280">
        <v>805.76877500000001</v>
      </c>
      <c r="S280">
        <v>7.0804182199999998E-12</v>
      </c>
      <c r="T280">
        <v>22.453972040342723</v>
      </c>
      <c r="U280">
        <v>80.72</v>
      </c>
      <c r="V280">
        <v>-553.52330550955207</v>
      </c>
      <c r="W280">
        <v>69.554941299999996</v>
      </c>
      <c r="X280">
        <v>96.4703023</v>
      </c>
      <c r="Y280">
        <v>177.97</v>
      </c>
      <c r="Z280">
        <v>254.77811500000001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2.711283302803682</v>
      </c>
    </row>
    <row r="281" spans="1:40" x14ac:dyDescent="0.3">
      <c r="A281">
        <v>34</v>
      </c>
      <c r="B281">
        <v>12</v>
      </c>
      <c r="C281">
        <v>5.6355821746735169</v>
      </c>
      <c r="D281">
        <v>29</v>
      </c>
      <c r="E281">
        <v>6</v>
      </c>
      <c r="F281">
        <v>0.71882992930760747</v>
      </c>
      <c r="G281">
        <v>24</v>
      </c>
      <c r="H281">
        <v>11</v>
      </c>
      <c r="I281">
        <v>1.2889762073105486</v>
      </c>
      <c r="J281">
        <v>327192435.8836062</v>
      </c>
      <c r="K281">
        <v>165430000</v>
      </c>
      <c r="L281">
        <v>79925720.353497148</v>
      </c>
      <c r="M281">
        <v>77595700</v>
      </c>
      <c r="N281">
        <v>15759580.720000001</v>
      </c>
      <c r="O281">
        <v>228.77749299999999</v>
      </c>
      <c r="P281">
        <v>2.6656764630644898</v>
      </c>
      <c r="Q281">
        <v>44.084591400000001</v>
      </c>
      <c r="R281">
        <v>802.50064899999995</v>
      </c>
      <c r="S281">
        <v>3.6804562699999997E-10</v>
      </c>
      <c r="T281">
        <v>22.08177389738783</v>
      </c>
      <c r="U281">
        <v>100.934</v>
      </c>
      <c r="V281">
        <v>-632.42190547896894</v>
      </c>
      <c r="W281">
        <v>69.222310100000001</v>
      </c>
      <c r="X281">
        <v>94.862559000000005</v>
      </c>
      <c r="Y281">
        <v>177.97</v>
      </c>
      <c r="Z281">
        <v>253.49359699999999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2.6656764630644898</v>
      </c>
    </row>
    <row r="282" spans="1:40" x14ac:dyDescent="0.3">
      <c r="A282">
        <v>31</v>
      </c>
      <c r="B282">
        <v>16</v>
      </c>
      <c r="C282">
        <v>6.2605776117362542</v>
      </c>
      <c r="D282">
        <v>13</v>
      </c>
      <c r="E282">
        <v>11</v>
      </c>
      <c r="F282">
        <v>0.8922526941158313</v>
      </c>
      <c r="G282">
        <v>28</v>
      </c>
      <c r="H282">
        <v>12</v>
      </c>
      <c r="I282">
        <v>0.90868568661493687</v>
      </c>
      <c r="J282">
        <v>327192483.99370205</v>
      </c>
      <c r="K282">
        <v>165430000</v>
      </c>
      <c r="L282">
        <v>79925720.396228954</v>
      </c>
      <c r="M282">
        <v>77595700</v>
      </c>
      <c r="N282">
        <v>15759580.720000001</v>
      </c>
      <c r="O282">
        <v>227.64689000000001</v>
      </c>
      <c r="P282">
        <v>2.6789156268674974</v>
      </c>
      <c r="Q282">
        <v>44.079883199999998</v>
      </c>
      <c r="R282">
        <v>805.69242100000008</v>
      </c>
      <c r="S282">
        <v>1.26039741E-15</v>
      </c>
      <c r="T282">
        <v>22.298148728870654</v>
      </c>
      <c r="U282">
        <v>100.934</v>
      </c>
      <c r="V282">
        <v>-665.92039489044294</v>
      </c>
      <c r="W282">
        <v>69.220313399999995</v>
      </c>
      <c r="X282">
        <v>94.851938399999995</v>
      </c>
      <c r="Y282">
        <v>121.52199999999999</v>
      </c>
      <c r="Z282">
        <v>252.97839999999999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2.6789156268674974</v>
      </c>
    </row>
    <row r="283" spans="1:40" x14ac:dyDescent="0.3">
      <c r="A283">
        <v>38</v>
      </c>
      <c r="B283">
        <v>10</v>
      </c>
      <c r="C283">
        <v>2.6093796096484043</v>
      </c>
      <c r="D283">
        <v>25</v>
      </c>
      <c r="E283">
        <v>10</v>
      </c>
      <c r="F283">
        <v>0.82936004561713306</v>
      </c>
      <c r="G283">
        <v>25</v>
      </c>
      <c r="H283">
        <v>7</v>
      </c>
      <c r="I283">
        <v>0.92042925964320665</v>
      </c>
      <c r="J283">
        <v>327194164.70789969</v>
      </c>
      <c r="K283">
        <v>165430000</v>
      </c>
      <c r="L283">
        <v>79925722.970203891</v>
      </c>
      <c r="M283">
        <v>77595700</v>
      </c>
      <c r="N283">
        <v>15760189.280000001</v>
      </c>
      <c r="O283">
        <v>226.92809399999999</v>
      </c>
      <c r="P283">
        <v>2.6874061348712099</v>
      </c>
      <c r="Q283">
        <v>44.1905693</v>
      </c>
      <c r="R283">
        <v>804.43219799999997</v>
      </c>
      <c r="S283">
        <v>3.8960529900000001E-15</v>
      </c>
      <c r="T283">
        <v>22.351161747095251</v>
      </c>
      <c r="U283">
        <v>100.934</v>
      </c>
      <c r="V283">
        <v>-646.51825871447625</v>
      </c>
      <c r="W283">
        <v>69.254603399999993</v>
      </c>
      <c r="X283">
        <v>94.970473200000001</v>
      </c>
      <c r="Y283">
        <v>177.97</v>
      </c>
      <c r="Z283">
        <v>252.65194199999999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2.6874061348712099</v>
      </c>
    </row>
    <row r="284" spans="1:40" x14ac:dyDescent="0.3">
      <c r="A284">
        <v>30</v>
      </c>
      <c r="B284">
        <v>15</v>
      </c>
      <c r="C284">
        <v>5.6669748829785647</v>
      </c>
      <c r="D284">
        <v>24</v>
      </c>
      <c r="E284">
        <v>11</v>
      </c>
      <c r="F284">
        <v>1.177301767287469</v>
      </c>
      <c r="G284">
        <v>13</v>
      </c>
      <c r="H284">
        <v>7</v>
      </c>
      <c r="I284">
        <v>0.78040544212357243</v>
      </c>
      <c r="J284">
        <v>327194541.22834009</v>
      </c>
      <c r="K284">
        <v>165430000</v>
      </c>
      <c r="L284">
        <v>79925725.361541465</v>
      </c>
      <c r="M284">
        <v>77595700</v>
      </c>
      <c r="N284">
        <v>15760715.200000001</v>
      </c>
      <c r="O284">
        <v>226.28279900000001</v>
      </c>
      <c r="P284">
        <v>2.695070992086591</v>
      </c>
      <c r="Q284">
        <v>44.270838099999999</v>
      </c>
      <c r="R284">
        <v>804.94778300000007</v>
      </c>
      <c r="S284">
        <v>3.3378213800000002E-17</v>
      </c>
      <c r="T284">
        <v>22.490238202215327</v>
      </c>
      <c r="U284">
        <v>100.934</v>
      </c>
      <c r="V284">
        <v>-671.83651391827811</v>
      </c>
      <c r="W284">
        <v>69.221403499999994</v>
      </c>
      <c r="X284">
        <v>94.858900500000004</v>
      </c>
      <c r="Y284">
        <v>177.97</v>
      </c>
      <c r="Z284">
        <v>252.58599899999999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2.695070992086591</v>
      </c>
    </row>
    <row r="285" spans="1:40" x14ac:dyDescent="0.3">
      <c r="A285">
        <v>38</v>
      </c>
      <c r="B285">
        <v>14</v>
      </c>
      <c r="C285">
        <v>13.355632100143412</v>
      </c>
      <c r="D285">
        <v>22</v>
      </c>
      <c r="E285">
        <v>12</v>
      </c>
      <c r="F285">
        <v>1.1658739875668958</v>
      </c>
      <c r="G285">
        <v>22</v>
      </c>
      <c r="H285">
        <v>11</v>
      </c>
      <c r="I285">
        <v>0.31977801816878632</v>
      </c>
      <c r="J285">
        <v>327204754.81690335</v>
      </c>
      <c r="K285">
        <v>165430000</v>
      </c>
      <c r="L285">
        <v>79925739.870838314</v>
      </c>
      <c r="M285">
        <v>77595700</v>
      </c>
      <c r="N285">
        <v>15764103.6</v>
      </c>
      <c r="O285">
        <v>226.198612</v>
      </c>
      <c r="P285">
        <v>2.6961047008546069</v>
      </c>
      <c r="Q285">
        <v>44.2727602</v>
      </c>
      <c r="R285">
        <v>805.11764799999992</v>
      </c>
      <c r="S285">
        <v>1.9055958099999999E-18</v>
      </c>
      <c r="T285">
        <v>22.547942581660681</v>
      </c>
      <c r="U285">
        <v>100.934</v>
      </c>
      <c r="V285">
        <v>-675.13126053395035</v>
      </c>
      <c r="W285">
        <v>69.218908299999995</v>
      </c>
      <c r="X285">
        <v>94.835976700000003</v>
      </c>
      <c r="Y285">
        <v>177.97</v>
      </c>
      <c r="Z285">
        <v>251.54496700000001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2.6961047008546069</v>
      </c>
    </row>
    <row r="286" spans="1:40" x14ac:dyDescent="0.3">
      <c r="A286">
        <v>32</v>
      </c>
      <c r="B286">
        <v>17</v>
      </c>
      <c r="C286">
        <v>13.657154198563605</v>
      </c>
      <c r="D286">
        <v>12</v>
      </c>
      <c r="E286">
        <v>9</v>
      </c>
      <c r="F286">
        <v>0.88006829338935821</v>
      </c>
      <c r="G286">
        <v>18</v>
      </c>
      <c r="H286">
        <v>14</v>
      </c>
      <c r="I286">
        <v>0.7371721825563351</v>
      </c>
      <c r="J286">
        <v>327189073.71831441</v>
      </c>
      <c r="K286">
        <v>165430000</v>
      </c>
      <c r="L286">
        <v>79925721.184918374</v>
      </c>
      <c r="M286">
        <v>77595700</v>
      </c>
      <c r="N286">
        <v>15759683.119999999</v>
      </c>
      <c r="O286">
        <v>227.66454300000001</v>
      </c>
      <c r="P286">
        <v>2.6786977361945485</v>
      </c>
      <c r="Q286">
        <v>44.101216000000001</v>
      </c>
      <c r="R286">
        <v>804.88795199999993</v>
      </c>
      <c r="S286">
        <v>1.2027693199999999E-13</v>
      </c>
      <c r="T286">
        <v>22.292016954568517</v>
      </c>
      <c r="U286">
        <v>100.934</v>
      </c>
      <c r="V286">
        <v>-663.97063098685578</v>
      </c>
      <c r="W286">
        <v>69.219048400000005</v>
      </c>
      <c r="X286">
        <v>94.838050699999997</v>
      </c>
      <c r="Y286">
        <v>121.52199999999999</v>
      </c>
      <c r="Z286">
        <v>254.317814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2.6786977361945485</v>
      </c>
    </row>
    <row r="287" spans="1:40" x14ac:dyDescent="0.3">
      <c r="A287">
        <v>34</v>
      </c>
      <c r="B287">
        <v>16</v>
      </c>
      <c r="C287">
        <v>8.0385556776194882</v>
      </c>
      <c r="D287">
        <v>11</v>
      </c>
      <c r="E287">
        <v>8</v>
      </c>
      <c r="F287">
        <v>0.52380302588722871</v>
      </c>
      <c r="G287">
        <v>21</v>
      </c>
      <c r="H287">
        <v>14</v>
      </c>
      <c r="I287">
        <v>1.1238447053319316</v>
      </c>
      <c r="J287">
        <v>327192066.47200859</v>
      </c>
      <c r="K287">
        <v>165430000</v>
      </c>
      <c r="L287">
        <v>79925720.135318413</v>
      </c>
      <c r="M287">
        <v>77595700</v>
      </c>
      <c r="N287">
        <v>15759525.199999999</v>
      </c>
      <c r="O287">
        <v>229.91198499999999</v>
      </c>
      <c r="P287">
        <v>2.6525216925600703</v>
      </c>
      <c r="Q287">
        <v>43.921665400000002</v>
      </c>
      <c r="R287">
        <v>802.851811</v>
      </c>
      <c r="S287">
        <v>1.83163098E-11</v>
      </c>
      <c r="T287">
        <v>21.811859312425234</v>
      </c>
      <c r="U287">
        <v>100.934</v>
      </c>
      <c r="V287">
        <v>-638.62320401705301</v>
      </c>
      <c r="W287">
        <v>69.219250799999998</v>
      </c>
      <c r="X287">
        <v>94.841308400000003</v>
      </c>
      <c r="Y287">
        <v>121.52199999999999</v>
      </c>
      <c r="Z287">
        <v>253.91393600000001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2.6525216925600703</v>
      </c>
    </row>
    <row r="288" spans="1:40" x14ac:dyDescent="0.3">
      <c r="A288">
        <v>38</v>
      </c>
      <c r="B288">
        <v>14</v>
      </c>
      <c r="C288">
        <v>4.7100356829095889</v>
      </c>
      <c r="D288">
        <v>19</v>
      </c>
      <c r="E288">
        <v>10</v>
      </c>
      <c r="F288">
        <v>0.39831169545575024</v>
      </c>
      <c r="G288">
        <v>18</v>
      </c>
      <c r="H288">
        <v>11</v>
      </c>
      <c r="I288">
        <v>0.4799208055764318</v>
      </c>
      <c r="J288">
        <v>327193934.62133819</v>
      </c>
      <c r="K288">
        <v>165430000</v>
      </c>
      <c r="L288">
        <v>79925724.725494981</v>
      </c>
      <c r="M288">
        <v>77595700</v>
      </c>
      <c r="N288">
        <v>15760563.6</v>
      </c>
      <c r="O288">
        <v>230.57653500000001</v>
      </c>
      <c r="P288">
        <v>2.6448822981696272</v>
      </c>
      <c r="Q288">
        <v>43.912386499999997</v>
      </c>
      <c r="R288">
        <v>801.11261500000001</v>
      </c>
      <c r="S288">
        <v>7.6089888799999997E-13</v>
      </c>
      <c r="T288">
        <v>21.795757681057566</v>
      </c>
      <c r="U288">
        <v>100.934</v>
      </c>
      <c r="V288">
        <v>-619.5785743731758</v>
      </c>
      <c r="W288">
        <v>69.220952400000002</v>
      </c>
      <c r="X288">
        <v>94.854461599999993</v>
      </c>
      <c r="Y288">
        <v>144.29</v>
      </c>
      <c r="Z288">
        <v>254.058269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2.6448822981696272</v>
      </c>
    </row>
    <row r="289" spans="1:40" x14ac:dyDescent="0.3">
      <c r="A289">
        <v>38</v>
      </c>
      <c r="B289">
        <v>12</v>
      </c>
      <c r="C289">
        <v>9.3427106020380144</v>
      </c>
      <c r="D289">
        <v>23</v>
      </c>
      <c r="E289">
        <v>14</v>
      </c>
      <c r="F289">
        <v>0.6516749748390942</v>
      </c>
      <c r="G289">
        <v>19</v>
      </c>
      <c r="H289">
        <v>9</v>
      </c>
      <c r="I289">
        <v>1.3303696137173049</v>
      </c>
      <c r="J289">
        <v>327192775.23607868</v>
      </c>
      <c r="K289">
        <v>165430000</v>
      </c>
      <c r="L289">
        <v>79925720.90510723</v>
      </c>
      <c r="M289">
        <v>77595700</v>
      </c>
      <c r="N289">
        <v>15759708.959999999</v>
      </c>
      <c r="O289">
        <v>227.58480900000001</v>
      </c>
      <c r="P289">
        <v>2.6796472551037702</v>
      </c>
      <c r="Q289">
        <v>44.141284300000002</v>
      </c>
      <c r="R289">
        <v>804.27833199999998</v>
      </c>
      <c r="S289">
        <v>8.2629500899999998E-19</v>
      </c>
      <c r="T289">
        <v>22.329445655013053</v>
      </c>
      <c r="U289">
        <v>100.934</v>
      </c>
      <c r="V289">
        <v>-656.23826362924444</v>
      </c>
      <c r="W289">
        <v>69.219965099999996</v>
      </c>
      <c r="X289">
        <v>94.846776500000004</v>
      </c>
      <c r="Y289">
        <v>165.7</v>
      </c>
      <c r="Z289">
        <v>252.91101800000001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2.6796472551037702</v>
      </c>
    </row>
    <row r="290" spans="1:40" x14ac:dyDescent="0.3">
      <c r="A290">
        <v>29</v>
      </c>
      <c r="B290">
        <v>12</v>
      </c>
      <c r="C290">
        <v>9.5890102737742424</v>
      </c>
      <c r="D290">
        <v>12</v>
      </c>
      <c r="E290">
        <v>7</v>
      </c>
      <c r="F290">
        <v>0.93126004964333409</v>
      </c>
      <c r="G290">
        <v>20</v>
      </c>
      <c r="H290">
        <v>7</v>
      </c>
      <c r="I290">
        <v>1.3128122924428041</v>
      </c>
      <c r="J290">
        <v>327193496.00497246</v>
      </c>
      <c r="K290">
        <v>165430000</v>
      </c>
      <c r="L290">
        <v>79925721.981209129</v>
      </c>
      <c r="M290">
        <v>77595700</v>
      </c>
      <c r="N290">
        <v>15759958.720000001</v>
      </c>
      <c r="O290">
        <v>227.661359</v>
      </c>
      <c r="P290">
        <v>2.6787483862723596</v>
      </c>
      <c r="Q290">
        <v>44.125718300000003</v>
      </c>
      <c r="R290">
        <v>804.18603099999996</v>
      </c>
      <c r="S290">
        <v>1.32205337E-11</v>
      </c>
      <c r="T290">
        <v>22.268220975233032</v>
      </c>
      <c r="U290">
        <v>100.934</v>
      </c>
      <c r="V290">
        <v>-659.92360585373615</v>
      </c>
      <c r="W290">
        <v>69.221248799999998</v>
      </c>
      <c r="X290">
        <v>94.857204899999999</v>
      </c>
      <c r="Y290">
        <v>144.29</v>
      </c>
      <c r="Z290">
        <v>252.90180899999999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2.6787483862723596</v>
      </c>
    </row>
    <row r="291" spans="1:40" x14ac:dyDescent="0.3">
      <c r="A291">
        <v>34</v>
      </c>
      <c r="B291">
        <v>15</v>
      </c>
      <c r="C291">
        <v>12.138005231702152</v>
      </c>
      <c r="D291">
        <v>28</v>
      </c>
      <c r="E291">
        <v>5</v>
      </c>
      <c r="F291">
        <v>0.35499806312646204</v>
      </c>
      <c r="G291">
        <v>24</v>
      </c>
      <c r="H291">
        <v>14</v>
      </c>
      <c r="I291">
        <v>0.87825732900471731</v>
      </c>
      <c r="J291">
        <v>327192272.49913347</v>
      </c>
      <c r="K291">
        <v>165430000</v>
      </c>
      <c r="L291">
        <v>79925720.180515513</v>
      </c>
      <c r="M291">
        <v>77595700</v>
      </c>
      <c r="N291">
        <v>15759539.84</v>
      </c>
      <c r="O291">
        <v>231.55634000000001</v>
      </c>
      <c r="P291">
        <v>2.6336858988815188</v>
      </c>
      <c r="Q291">
        <v>43.855056599999998</v>
      </c>
      <c r="R291">
        <v>800.22654899999998</v>
      </c>
      <c r="S291">
        <v>3.5758109199999997E-8</v>
      </c>
      <c r="T291">
        <v>21.790752658287889</v>
      </c>
      <c r="U291">
        <v>100.934</v>
      </c>
      <c r="V291">
        <v>-599.09581501083642</v>
      </c>
      <c r="W291">
        <v>69.219036000000003</v>
      </c>
      <c r="X291">
        <v>94.838087299999998</v>
      </c>
      <c r="Y291">
        <v>177.97</v>
      </c>
      <c r="Z291">
        <v>254.31545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2.6336858988815188</v>
      </c>
    </row>
    <row r="292" spans="1:40" x14ac:dyDescent="0.3">
      <c r="A292">
        <v>33</v>
      </c>
      <c r="B292">
        <v>13</v>
      </c>
      <c r="C292">
        <v>10.680692470877988</v>
      </c>
      <c r="D292">
        <v>28</v>
      </c>
      <c r="E292">
        <v>14</v>
      </c>
      <c r="F292">
        <v>1.1076623258594251</v>
      </c>
      <c r="G292">
        <v>13</v>
      </c>
      <c r="H292">
        <v>7</v>
      </c>
      <c r="I292">
        <v>0.8045361597926084</v>
      </c>
      <c r="J292">
        <v>327194464.819709</v>
      </c>
      <c r="K292">
        <v>165430000</v>
      </c>
      <c r="L292">
        <v>79925725.160003483</v>
      </c>
      <c r="M292">
        <v>77595700</v>
      </c>
      <c r="N292">
        <v>15760669.84</v>
      </c>
      <c r="O292">
        <v>226.153944</v>
      </c>
      <c r="P292">
        <v>2.6966063245957366</v>
      </c>
      <c r="Q292">
        <v>44.282517900000002</v>
      </c>
      <c r="R292">
        <v>805.08516900000006</v>
      </c>
      <c r="S292">
        <v>5.9163724299999996E-21</v>
      </c>
      <c r="T292">
        <v>22.529481442554005</v>
      </c>
      <c r="U292">
        <v>100.934</v>
      </c>
      <c r="V292">
        <v>-674.00176787986652</v>
      </c>
      <c r="W292">
        <v>69.219637899999995</v>
      </c>
      <c r="X292">
        <v>94.845330799999999</v>
      </c>
      <c r="Y292">
        <v>177.97</v>
      </c>
      <c r="Z292">
        <v>252.53644399999999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2.6966063245957366</v>
      </c>
    </row>
    <row r="293" spans="1:40" x14ac:dyDescent="0.3">
      <c r="A293">
        <v>27</v>
      </c>
      <c r="B293">
        <v>10</v>
      </c>
      <c r="C293">
        <v>7.1239906377668856</v>
      </c>
      <c r="D293">
        <v>16</v>
      </c>
      <c r="E293">
        <v>8</v>
      </c>
      <c r="F293">
        <v>0.31283894681009611</v>
      </c>
      <c r="G293">
        <v>24</v>
      </c>
      <c r="H293">
        <v>11</v>
      </c>
      <c r="I293">
        <v>0.81115885623957285</v>
      </c>
      <c r="J293">
        <v>327192668.41540301</v>
      </c>
      <c r="K293">
        <v>165430000</v>
      </c>
      <c r="L293">
        <v>79925720.721648082</v>
      </c>
      <c r="M293">
        <v>77595700</v>
      </c>
      <c r="N293">
        <v>15759666.560000001</v>
      </c>
      <c r="O293">
        <v>231.58677399999999</v>
      </c>
      <c r="P293">
        <v>2.6333409533326928</v>
      </c>
      <c r="Q293">
        <v>43.820653399999998</v>
      </c>
      <c r="R293">
        <v>800.36328800000001</v>
      </c>
      <c r="S293">
        <v>1.9376674099999999E-10</v>
      </c>
      <c r="T293">
        <v>21.642463038986509</v>
      </c>
      <c r="U293">
        <v>100.934</v>
      </c>
      <c r="V293">
        <v>-606.61343237976212</v>
      </c>
      <c r="W293">
        <v>69.226792500000002</v>
      </c>
      <c r="X293">
        <v>94.881197400000005</v>
      </c>
      <c r="Y293">
        <v>144.29</v>
      </c>
      <c r="Z293">
        <v>254.30101099999999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2.6333409533326928</v>
      </c>
    </row>
    <row r="294" spans="1:40" x14ac:dyDescent="0.3">
      <c r="A294">
        <v>38</v>
      </c>
      <c r="B294">
        <v>18</v>
      </c>
      <c r="C294">
        <v>5.8921035259742709</v>
      </c>
      <c r="D294">
        <v>27</v>
      </c>
      <c r="E294">
        <v>12</v>
      </c>
      <c r="F294">
        <v>0.58352989048690573</v>
      </c>
      <c r="G294">
        <v>19</v>
      </c>
      <c r="H294">
        <v>10</v>
      </c>
      <c r="I294">
        <v>0.57359853929125504</v>
      </c>
      <c r="J294">
        <v>327193788.53015548</v>
      </c>
      <c r="K294">
        <v>165430000</v>
      </c>
      <c r="L294">
        <v>79925722.906311631</v>
      </c>
      <c r="M294">
        <v>77595700</v>
      </c>
      <c r="N294">
        <v>15760167.76</v>
      </c>
      <c r="O294">
        <v>228.43696199999999</v>
      </c>
      <c r="P294">
        <v>2.6696542069231404</v>
      </c>
      <c r="Q294">
        <v>44.093656799999998</v>
      </c>
      <c r="R294">
        <v>803.18690000000004</v>
      </c>
      <c r="S294">
        <v>3.4306779799999998E-16</v>
      </c>
      <c r="T294">
        <v>22.184183855206253</v>
      </c>
      <c r="U294">
        <v>100.934</v>
      </c>
      <c r="V294">
        <v>-640.99616277059533</v>
      </c>
      <c r="W294">
        <v>69.219043400000004</v>
      </c>
      <c r="X294">
        <v>94.8381361</v>
      </c>
      <c r="Y294">
        <v>177.97</v>
      </c>
      <c r="Z294">
        <v>253.181365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2.6696542069231404</v>
      </c>
    </row>
    <row r="295" spans="1:40" x14ac:dyDescent="0.3">
      <c r="A295">
        <v>36</v>
      </c>
      <c r="B295">
        <v>15</v>
      </c>
      <c r="C295">
        <v>1.2613833581333185</v>
      </c>
      <c r="D295">
        <v>16</v>
      </c>
      <c r="E295">
        <v>10</v>
      </c>
      <c r="F295">
        <v>0.53644388384774877</v>
      </c>
      <c r="G295">
        <v>20</v>
      </c>
      <c r="H295">
        <v>12</v>
      </c>
      <c r="I295">
        <v>0.85133595183769928</v>
      </c>
      <c r="J295">
        <v>327192358.98592353</v>
      </c>
      <c r="K295">
        <v>165430000</v>
      </c>
      <c r="L295">
        <v>79925720.585235015</v>
      </c>
      <c r="M295">
        <v>77595700</v>
      </c>
      <c r="N295">
        <v>15759629.84</v>
      </c>
      <c r="O295">
        <v>227.47303700000001</v>
      </c>
      <c r="P295">
        <v>2.6809626943461229</v>
      </c>
      <c r="Q295">
        <v>43.966100400000002</v>
      </c>
      <c r="R295">
        <v>804.09143900000004</v>
      </c>
      <c r="S295">
        <v>8.4503335699999995E-14</v>
      </c>
      <c r="T295">
        <v>22.182917689437627</v>
      </c>
      <c r="U295">
        <v>100.934</v>
      </c>
      <c r="V295">
        <v>-564.01597906984045</v>
      </c>
      <c r="W295">
        <v>69.445555900000002</v>
      </c>
      <c r="X295">
        <v>96.037907899999993</v>
      </c>
      <c r="Y295">
        <v>144.29</v>
      </c>
      <c r="Z295">
        <v>253.613877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2.6809626943461229</v>
      </c>
    </row>
    <row r="296" spans="1:40" x14ac:dyDescent="0.3">
      <c r="A296">
        <v>33</v>
      </c>
      <c r="B296">
        <v>19</v>
      </c>
      <c r="C296">
        <v>5.7209132784517545</v>
      </c>
      <c r="D296">
        <v>28</v>
      </c>
      <c r="E296">
        <v>13</v>
      </c>
      <c r="F296">
        <v>0.44974396353943635</v>
      </c>
      <c r="G296">
        <v>14</v>
      </c>
      <c r="H296">
        <v>10</v>
      </c>
      <c r="I296">
        <v>0.7495487138026784</v>
      </c>
      <c r="J296">
        <v>327190482.78238624</v>
      </c>
      <c r="K296">
        <v>165430000</v>
      </c>
      <c r="L296">
        <v>79925723.483601883</v>
      </c>
      <c r="M296">
        <v>77595700</v>
      </c>
      <c r="N296">
        <v>15760213.680000002</v>
      </c>
      <c r="O296">
        <v>229.96803499999999</v>
      </c>
      <c r="P296">
        <v>2.651870519727801</v>
      </c>
      <c r="Q296">
        <v>43.9762147</v>
      </c>
      <c r="R296">
        <v>801.56327499999998</v>
      </c>
      <c r="S296">
        <v>4.5505653200000002E-16</v>
      </c>
      <c r="T296">
        <v>21.934766725714706</v>
      </c>
      <c r="U296">
        <v>100.934</v>
      </c>
      <c r="V296">
        <v>-621.86149938718927</v>
      </c>
      <c r="W296">
        <v>69.219609199999994</v>
      </c>
      <c r="X296">
        <v>94.845480600000002</v>
      </c>
      <c r="Y296">
        <v>177.97</v>
      </c>
      <c r="Z296">
        <v>254.95737299999999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2.651870519727801</v>
      </c>
    </row>
    <row r="297" spans="1:40" x14ac:dyDescent="0.3">
      <c r="A297">
        <v>39</v>
      </c>
      <c r="B297">
        <v>12</v>
      </c>
      <c r="C297">
        <v>10.754833086169413</v>
      </c>
      <c r="D297">
        <v>29</v>
      </c>
      <c r="E297">
        <v>10</v>
      </c>
      <c r="F297">
        <v>0.78819178384518651</v>
      </c>
      <c r="G297">
        <v>21</v>
      </c>
      <c r="H297">
        <v>14</v>
      </c>
      <c r="I297">
        <v>0.91826862708422285</v>
      </c>
      <c r="J297">
        <v>327192005.13754261</v>
      </c>
      <c r="K297">
        <v>165430000</v>
      </c>
      <c r="L297">
        <v>79925720.25837779</v>
      </c>
      <c r="M297">
        <v>77595700</v>
      </c>
      <c r="N297">
        <v>15759550.719999999</v>
      </c>
      <c r="O297">
        <v>227.35942</v>
      </c>
      <c r="P297">
        <v>2.6823013797045623</v>
      </c>
      <c r="Q297">
        <v>44.188062000000002</v>
      </c>
      <c r="R297">
        <v>804.04767600000002</v>
      </c>
      <c r="S297">
        <v>5.3892085500000001E-15</v>
      </c>
      <c r="T297">
        <v>22.298893859008022</v>
      </c>
      <c r="U297">
        <v>100.934</v>
      </c>
      <c r="V297">
        <v>-654.59656958897631</v>
      </c>
      <c r="W297">
        <v>69.219609199999994</v>
      </c>
      <c r="X297">
        <v>94.844116</v>
      </c>
      <c r="Y297">
        <v>177.97</v>
      </c>
      <c r="Z297">
        <v>252.98362399999999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2.6823013797045623</v>
      </c>
    </row>
    <row r="298" spans="1:40" x14ac:dyDescent="0.3">
      <c r="A298">
        <v>33</v>
      </c>
      <c r="B298">
        <v>19</v>
      </c>
      <c r="C298">
        <v>6.3348710271546835</v>
      </c>
      <c r="D298">
        <v>24</v>
      </c>
      <c r="E298">
        <v>14</v>
      </c>
      <c r="F298">
        <v>0.31974376527990606</v>
      </c>
      <c r="G298">
        <v>29</v>
      </c>
      <c r="H298">
        <v>12</v>
      </c>
      <c r="I298">
        <v>0.65687746852661011</v>
      </c>
      <c r="J298">
        <v>327192776.80975306</v>
      </c>
      <c r="K298">
        <v>165430000</v>
      </c>
      <c r="L298">
        <v>79925720.838338792</v>
      </c>
      <c r="M298">
        <v>77595700</v>
      </c>
      <c r="N298">
        <v>15759695.359999999</v>
      </c>
      <c r="O298">
        <v>231.588584</v>
      </c>
      <c r="P298">
        <v>2.6333206899717587</v>
      </c>
      <c r="Q298">
        <v>43.837586000000002</v>
      </c>
      <c r="R298">
        <v>800.09633499999995</v>
      </c>
      <c r="S298">
        <v>2.1171865499999998E-15</v>
      </c>
      <c r="T298">
        <v>21.631774684542677</v>
      </c>
      <c r="U298">
        <v>100.934</v>
      </c>
      <c r="V298">
        <v>-608.02155734121857</v>
      </c>
      <c r="W298">
        <v>69.219450800000004</v>
      </c>
      <c r="X298">
        <v>94.843542299999996</v>
      </c>
      <c r="Y298">
        <v>165.7</v>
      </c>
      <c r="Z298">
        <v>254.154875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2.6333206899717587</v>
      </c>
    </row>
    <row r="299" spans="1:40" x14ac:dyDescent="0.3">
      <c r="A299">
        <v>31</v>
      </c>
      <c r="B299">
        <v>19</v>
      </c>
      <c r="C299">
        <v>7.0213010694682927</v>
      </c>
      <c r="D299">
        <v>21</v>
      </c>
      <c r="E299">
        <v>7</v>
      </c>
      <c r="F299">
        <v>0.56436124991403225</v>
      </c>
      <c r="G299">
        <v>29</v>
      </c>
      <c r="H299">
        <v>13</v>
      </c>
      <c r="I299">
        <v>1.147621035805374</v>
      </c>
      <c r="J299">
        <v>327192308.24749076</v>
      </c>
      <c r="K299">
        <v>165430000</v>
      </c>
      <c r="L299">
        <v>79925720.147850335</v>
      </c>
      <c r="M299">
        <v>77595700</v>
      </c>
      <c r="N299">
        <v>15759532.960000001</v>
      </c>
      <c r="O299">
        <v>229.28900899999999</v>
      </c>
      <c r="P299">
        <v>2.6597292839386397</v>
      </c>
      <c r="Q299">
        <v>44.030075699999998</v>
      </c>
      <c r="R299">
        <v>802.20926699999995</v>
      </c>
      <c r="S299">
        <v>7.5382788900000006E-11</v>
      </c>
      <c r="T299">
        <v>22.028251902504071</v>
      </c>
      <c r="U299">
        <v>100.934</v>
      </c>
      <c r="V299">
        <v>-630.81604073681353</v>
      </c>
      <c r="W299">
        <v>69.219866100000004</v>
      </c>
      <c r="X299">
        <v>94.847652400000001</v>
      </c>
      <c r="Y299">
        <v>177.97</v>
      </c>
      <c r="Z299">
        <v>253.652871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2.6597292839386397</v>
      </c>
    </row>
    <row r="300" spans="1:40" x14ac:dyDescent="0.3">
      <c r="A300">
        <v>36</v>
      </c>
      <c r="B300">
        <v>14</v>
      </c>
      <c r="C300">
        <v>3.0231835399217495</v>
      </c>
      <c r="D300">
        <v>12</v>
      </c>
      <c r="E300">
        <v>9</v>
      </c>
      <c r="F300">
        <v>0.67826594251056471</v>
      </c>
      <c r="G300">
        <v>27</v>
      </c>
      <c r="H300">
        <v>12</v>
      </c>
      <c r="I300">
        <v>0.37138807823506681</v>
      </c>
      <c r="J300">
        <v>327198735.73732573</v>
      </c>
      <c r="K300">
        <v>165430000</v>
      </c>
      <c r="L300">
        <v>79925730.089774624</v>
      </c>
      <c r="M300">
        <v>77595700</v>
      </c>
      <c r="N300">
        <v>15761846.879999999</v>
      </c>
      <c r="O300">
        <v>228.577924</v>
      </c>
      <c r="P300">
        <v>2.6680225473435328</v>
      </c>
      <c r="Q300">
        <v>44.019623799999998</v>
      </c>
      <c r="R300">
        <v>804.11053099999992</v>
      </c>
      <c r="S300">
        <v>4.57298752E-13</v>
      </c>
      <c r="T300">
        <v>22.091828573970712</v>
      </c>
      <c r="U300">
        <v>100.934</v>
      </c>
      <c r="V300">
        <v>-650.21891082318643</v>
      </c>
      <c r="W300">
        <v>69.226600199999993</v>
      </c>
      <c r="X300">
        <v>94.880683500000004</v>
      </c>
      <c r="Y300">
        <v>121.52199999999999</v>
      </c>
      <c r="Z300">
        <v>252.74212700000001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2.6680225473435328</v>
      </c>
    </row>
    <row r="301" spans="1:40" x14ac:dyDescent="0.3">
      <c r="A301">
        <v>34</v>
      </c>
      <c r="B301">
        <v>12</v>
      </c>
      <c r="C301">
        <v>13.475752892219322</v>
      </c>
      <c r="D301">
        <v>24</v>
      </c>
      <c r="E301">
        <v>8</v>
      </c>
      <c r="F301">
        <v>0.3694550745165579</v>
      </c>
      <c r="G301">
        <v>24</v>
      </c>
      <c r="H301">
        <v>9</v>
      </c>
      <c r="I301">
        <v>0.38725054408268167</v>
      </c>
      <c r="J301">
        <v>327198913.30459595</v>
      </c>
      <c r="K301">
        <v>165430000</v>
      </c>
      <c r="L301">
        <v>79925730.213861212</v>
      </c>
      <c r="M301">
        <v>77595700</v>
      </c>
      <c r="N301">
        <v>15761875.84</v>
      </c>
      <c r="O301">
        <v>231.09254000000001</v>
      </c>
      <c r="P301">
        <v>2.6389911833563637</v>
      </c>
      <c r="Q301">
        <v>43.888132900000002</v>
      </c>
      <c r="R301">
        <v>800.50488900000005</v>
      </c>
      <c r="S301">
        <v>7.1076207000000003E-11</v>
      </c>
      <c r="T301">
        <v>21.771477882355317</v>
      </c>
      <c r="U301">
        <v>100.934</v>
      </c>
      <c r="V301">
        <v>-608.09211520883548</v>
      </c>
      <c r="W301">
        <v>69.219551499999994</v>
      </c>
      <c r="X301">
        <v>94.844107100000002</v>
      </c>
      <c r="Y301">
        <v>177.97</v>
      </c>
      <c r="Z301">
        <v>253.61248399999999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2.6389911833563637</v>
      </c>
    </row>
    <row r="302" spans="1:40" x14ac:dyDescent="0.3">
      <c r="A302">
        <v>31</v>
      </c>
      <c r="B302">
        <v>12</v>
      </c>
      <c r="C302">
        <v>4.9009967367081444</v>
      </c>
      <c r="D302">
        <v>21</v>
      </c>
      <c r="E302">
        <v>12</v>
      </c>
      <c r="F302">
        <v>0.36780657676372813</v>
      </c>
      <c r="G302">
        <v>19</v>
      </c>
      <c r="H302">
        <v>9</v>
      </c>
      <c r="I302">
        <v>1.2416314595481934</v>
      </c>
      <c r="J302">
        <v>327192765.2699008</v>
      </c>
      <c r="K302">
        <v>165430000</v>
      </c>
      <c r="L302">
        <v>79925720.919077247</v>
      </c>
      <c r="M302">
        <v>77595700</v>
      </c>
      <c r="N302">
        <v>15759711.279999999</v>
      </c>
      <c r="O302">
        <v>230.931961</v>
      </c>
      <c r="P302">
        <v>2.640808138179604</v>
      </c>
      <c r="Q302">
        <v>43.882885899999998</v>
      </c>
      <c r="R302">
        <v>800.72382499999992</v>
      </c>
      <c r="S302">
        <v>2.5343329399999999E-14</v>
      </c>
      <c r="T302">
        <v>21.726391822215497</v>
      </c>
      <c r="U302">
        <v>100.934</v>
      </c>
      <c r="V302">
        <v>-614.12425085570078</v>
      </c>
      <c r="W302">
        <v>69.224497499999998</v>
      </c>
      <c r="X302">
        <v>94.872084700000002</v>
      </c>
      <c r="Y302">
        <v>144.29</v>
      </c>
      <c r="Z302">
        <v>253.98188400000001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2.640808138179604</v>
      </c>
    </row>
    <row r="303" spans="1:40" x14ac:dyDescent="0.3">
      <c r="A303">
        <v>31</v>
      </c>
      <c r="B303">
        <v>10</v>
      </c>
      <c r="C303">
        <v>7.0791844283299881</v>
      </c>
      <c r="D303">
        <v>24</v>
      </c>
      <c r="E303">
        <v>7</v>
      </c>
      <c r="F303">
        <v>0.50995627623234685</v>
      </c>
      <c r="G303">
        <v>14</v>
      </c>
      <c r="H303">
        <v>11</v>
      </c>
      <c r="I303">
        <v>0.94450843053888667</v>
      </c>
      <c r="J303">
        <v>327188124.25680739</v>
      </c>
      <c r="K303">
        <v>165430000</v>
      </c>
      <c r="L303">
        <v>79925722.711347774</v>
      </c>
      <c r="M303">
        <v>77595700</v>
      </c>
      <c r="N303">
        <v>15759996.800000001</v>
      </c>
      <c r="O303">
        <v>229.73744400000001</v>
      </c>
      <c r="P303">
        <v>2.6545252736382743</v>
      </c>
      <c r="Q303">
        <v>43.996360500000002</v>
      </c>
      <c r="R303">
        <v>801.72476900000004</v>
      </c>
      <c r="S303">
        <v>1.1781659899999999E-10</v>
      </c>
      <c r="T303">
        <v>21.974131271841511</v>
      </c>
      <c r="U303">
        <v>100.934</v>
      </c>
      <c r="V303">
        <v>-621.04227533698884</v>
      </c>
      <c r="W303">
        <v>69.224357900000001</v>
      </c>
      <c r="X303">
        <v>94.870281599999998</v>
      </c>
      <c r="Y303">
        <v>177.97</v>
      </c>
      <c r="Z303">
        <v>255.867446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2.6545252736382743</v>
      </c>
    </row>
    <row r="304" spans="1:40" x14ac:dyDescent="0.3">
      <c r="A304">
        <v>27</v>
      </c>
      <c r="B304">
        <v>17</v>
      </c>
      <c r="C304">
        <v>1.7867040345299428</v>
      </c>
      <c r="D304">
        <v>15</v>
      </c>
      <c r="E304">
        <v>12</v>
      </c>
      <c r="F304">
        <v>1.0525885669433497</v>
      </c>
      <c r="G304">
        <v>13</v>
      </c>
      <c r="H304">
        <v>8</v>
      </c>
      <c r="I304">
        <v>1.0253509128856089</v>
      </c>
      <c r="J304">
        <v>327192942.66538328</v>
      </c>
      <c r="K304">
        <v>165430000</v>
      </c>
      <c r="L304">
        <v>79925723.170920119</v>
      </c>
      <c r="M304">
        <v>77595700</v>
      </c>
      <c r="N304">
        <v>15760204</v>
      </c>
      <c r="O304">
        <v>225.84885800000001</v>
      </c>
      <c r="P304">
        <v>2.7002444369251895</v>
      </c>
      <c r="Q304">
        <v>44.1566896</v>
      </c>
      <c r="R304">
        <v>806.32373199999995</v>
      </c>
      <c r="S304">
        <v>1.337436E-11</v>
      </c>
      <c r="T304">
        <v>22.62776625190989</v>
      </c>
      <c r="U304">
        <v>80.72</v>
      </c>
      <c r="V304">
        <v>-635.87180205438187</v>
      </c>
      <c r="W304">
        <v>69.342372100000006</v>
      </c>
      <c r="X304">
        <v>95.315613099999993</v>
      </c>
      <c r="Y304">
        <v>121.52199999999999</v>
      </c>
      <c r="Z304">
        <v>252.87097299999999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2.7002444369251895</v>
      </c>
    </row>
    <row r="305" spans="1:40" x14ac:dyDescent="0.3">
      <c r="A305">
        <v>32</v>
      </c>
      <c r="B305">
        <v>12</v>
      </c>
      <c r="C305">
        <v>4.1146678358866522</v>
      </c>
      <c r="D305">
        <v>18</v>
      </c>
      <c r="E305">
        <v>12</v>
      </c>
      <c r="F305">
        <v>0.407093803558498</v>
      </c>
      <c r="G305">
        <v>27</v>
      </c>
      <c r="H305">
        <v>9</v>
      </c>
      <c r="I305">
        <v>1.1160144445592108</v>
      </c>
      <c r="J305">
        <v>327192811.07386869</v>
      </c>
      <c r="K305">
        <v>165430000</v>
      </c>
      <c r="L305">
        <v>79925720.953385949</v>
      </c>
      <c r="M305">
        <v>77595700</v>
      </c>
      <c r="N305">
        <v>15759719.199999999</v>
      </c>
      <c r="O305">
        <v>230.432458</v>
      </c>
      <c r="P305">
        <v>2.6465326905849054</v>
      </c>
      <c r="Q305">
        <v>43.906210700000003</v>
      </c>
      <c r="R305">
        <v>801.44539400000008</v>
      </c>
      <c r="S305">
        <v>1.16978344E-14</v>
      </c>
      <c r="T305">
        <v>21.779999578241664</v>
      </c>
      <c r="U305">
        <v>100.934</v>
      </c>
      <c r="V305">
        <v>-623.02651309078215</v>
      </c>
      <c r="W305">
        <v>69.226360799999995</v>
      </c>
      <c r="X305">
        <v>94.879207600000001</v>
      </c>
      <c r="Y305">
        <v>144.29</v>
      </c>
      <c r="Z305">
        <v>253.813334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2.6465326905849054</v>
      </c>
    </row>
    <row r="306" spans="1:40" x14ac:dyDescent="0.3">
      <c r="A306">
        <v>33</v>
      </c>
      <c r="B306">
        <v>11</v>
      </c>
      <c r="C306">
        <v>10.880740468921061</v>
      </c>
      <c r="D306">
        <v>28</v>
      </c>
      <c r="E306">
        <v>11</v>
      </c>
      <c r="F306">
        <v>0.49389032839166869</v>
      </c>
      <c r="G306">
        <v>16</v>
      </c>
      <c r="H306">
        <v>14</v>
      </c>
      <c r="I306">
        <v>1.1091206162951879</v>
      </c>
      <c r="J306">
        <v>327182889.24629915</v>
      </c>
      <c r="K306">
        <v>165430000</v>
      </c>
      <c r="L306">
        <v>79925721.877666682</v>
      </c>
      <c r="M306">
        <v>77595700</v>
      </c>
      <c r="N306">
        <v>15759719.199999999</v>
      </c>
      <c r="O306">
        <v>229.50106299999999</v>
      </c>
      <c r="P306">
        <v>2.6572438907847333</v>
      </c>
      <c r="Q306">
        <v>44.015159799999999</v>
      </c>
      <c r="R306">
        <v>802.01695900000004</v>
      </c>
      <c r="S306">
        <v>1.53957729E-14</v>
      </c>
      <c r="T306">
        <v>22.020335876969828</v>
      </c>
      <c r="U306">
        <v>100.934</v>
      </c>
      <c r="V306">
        <v>-625.58950229739423</v>
      </c>
      <c r="W306">
        <v>69.220559199999997</v>
      </c>
      <c r="X306">
        <v>94.851756699999996</v>
      </c>
      <c r="Y306">
        <v>177.97</v>
      </c>
      <c r="Z306">
        <v>257.96263599999997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2.6572438907847333</v>
      </c>
    </row>
    <row r="307" spans="1:40" x14ac:dyDescent="0.3">
      <c r="A307">
        <v>38</v>
      </c>
      <c r="B307">
        <v>19</v>
      </c>
      <c r="C307">
        <v>7.2913723396027343</v>
      </c>
      <c r="D307">
        <v>24</v>
      </c>
      <c r="E307">
        <v>6</v>
      </c>
      <c r="F307">
        <v>0.33204040811965191</v>
      </c>
      <c r="G307">
        <v>23</v>
      </c>
      <c r="H307">
        <v>12</v>
      </c>
      <c r="I307">
        <v>1.0469132957342491</v>
      </c>
      <c r="J307">
        <v>327192381.69705719</v>
      </c>
      <c r="K307">
        <v>165430000</v>
      </c>
      <c r="L307">
        <v>79925720.302342251</v>
      </c>
      <c r="M307">
        <v>77595700</v>
      </c>
      <c r="N307">
        <v>15759568.48</v>
      </c>
      <c r="O307">
        <v>231.61550199999999</v>
      </c>
      <c r="P307">
        <v>2.6330134914034584</v>
      </c>
      <c r="Q307">
        <v>43.844873</v>
      </c>
      <c r="R307">
        <v>800.177999</v>
      </c>
      <c r="S307">
        <v>6.2682758499999997E-9</v>
      </c>
      <c r="T307">
        <v>21.737591979359745</v>
      </c>
      <c r="U307">
        <v>100.934</v>
      </c>
      <c r="V307">
        <v>-601.33632214987961</v>
      </c>
      <c r="W307">
        <v>69.218827700000006</v>
      </c>
      <c r="X307">
        <v>94.833290399999996</v>
      </c>
      <c r="Y307">
        <v>177.97</v>
      </c>
      <c r="Z307">
        <v>254.321583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2.6330134914034584</v>
      </c>
    </row>
    <row r="308" spans="1:40" x14ac:dyDescent="0.3">
      <c r="A308">
        <v>37</v>
      </c>
      <c r="B308">
        <v>17</v>
      </c>
      <c r="C308">
        <v>9.2318327592142388</v>
      </c>
      <c r="D308">
        <v>23</v>
      </c>
      <c r="E308">
        <v>14</v>
      </c>
      <c r="F308">
        <v>1.1206783345494318</v>
      </c>
      <c r="G308">
        <v>21</v>
      </c>
      <c r="H308">
        <v>14</v>
      </c>
      <c r="I308">
        <v>0.8467120574541902</v>
      </c>
      <c r="J308">
        <v>327191989.74517471</v>
      </c>
      <c r="K308">
        <v>165430000</v>
      </c>
      <c r="L308">
        <v>79925720.337678164</v>
      </c>
      <c r="M308">
        <v>77595700</v>
      </c>
      <c r="N308">
        <v>15759568.48</v>
      </c>
      <c r="O308">
        <v>226.087659</v>
      </c>
      <c r="P308">
        <v>2.6973894913284102</v>
      </c>
      <c r="Q308">
        <v>44.277121399999999</v>
      </c>
      <c r="R308">
        <v>805.29313999999999</v>
      </c>
      <c r="S308">
        <v>6.2702971299999999E-21</v>
      </c>
      <c r="T308">
        <v>22.592987428368406</v>
      </c>
      <c r="U308">
        <v>100.934</v>
      </c>
      <c r="V308">
        <v>-677.36782960888752</v>
      </c>
      <c r="W308">
        <v>69.218827700000006</v>
      </c>
      <c r="X308">
        <v>94.834453400000001</v>
      </c>
      <c r="Y308">
        <v>177.97</v>
      </c>
      <c r="Z308">
        <v>252.58793600000001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2.6973894913284102</v>
      </c>
    </row>
    <row r="309" spans="1:40" x14ac:dyDescent="0.3">
      <c r="A309">
        <v>28</v>
      </c>
      <c r="B309">
        <v>16</v>
      </c>
      <c r="C309">
        <v>5.9723776551826768</v>
      </c>
      <c r="D309">
        <v>15</v>
      </c>
      <c r="E309">
        <v>6</v>
      </c>
      <c r="F309">
        <v>0.40873771802237296</v>
      </c>
      <c r="G309">
        <v>22</v>
      </c>
      <c r="H309">
        <v>8</v>
      </c>
      <c r="I309">
        <v>0.79051810435863989</v>
      </c>
      <c r="J309">
        <v>327193732.60479021</v>
      </c>
      <c r="K309">
        <v>165430000</v>
      </c>
      <c r="L309">
        <v>79925722.34545669</v>
      </c>
      <c r="M309">
        <v>77595700</v>
      </c>
      <c r="N309">
        <v>15760043.92</v>
      </c>
      <c r="O309">
        <v>230.709834</v>
      </c>
      <c r="P309">
        <v>2.6433535497009664</v>
      </c>
      <c r="Q309">
        <v>43.898743400000001</v>
      </c>
      <c r="R309">
        <v>801.09797700000001</v>
      </c>
      <c r="S309">
        <v>2.8506801299999999E-9</v>
      </c>
      <c r="T309">
        <v>21.803975777013484</v>
      </c>
      <c r="U309">
        <v>100.934</v>
      </c>
      <c r="V309">
        <v>-617.11553787774369</v>
      </c>
      <c r="W309">
        <v>69.222522499999997</v>
      </c>
      <c r="X309">
        <v>94.864871100000002</v>
      </c>
      <c r="Y309">
        <v>165.7</v>
      </c>
      <c r="Z309">
        <v>253.94166100000001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2.6433535497009664</v>
      </c>
    </row>
    <row r="310" spans="1:40" x14ac:dyDescent="0.3">
      <c r="A310">
        <v>39</v>
      </c>
      <c r="B310">
        <v>16</v>
      </c>
      <c r="C310">
        <v>4.3599104399672104</v>
      </c>
      <c r="D310">
        <v>17</v>
      </c>
      <c r="E310">
        <v>12</v>
      </c>
      <c r="F310">
        <v>0.67838119424666277</v>
      </c>
      <c r="G310">
        <v>19</v>
      </c>
      <c r="H310">
        <v>13</v>
      </c>
      <c r="I310">
        <v>1.009980619990533</v>
      </c>
      <c r="J310">
        <v>327191849.81125218</v>
      </c>
      <c r="K310">
        <v>165430000</v>
      </c>
      <c r="L310">
        <v>79925720.38431336</v>
      </c>
      <c r="M310">
        <v>77595700</v>
      </c>
      <c r="N310">
        <v>15759574.32</v>
      </c>
      <c r="O310">
        <v>227.73268300000001</v>
      </c>
      <c r="P310">
        <v>2.6779045171605027</v>
      </c>
      <c r="Q310">
        <v>44.109304399999999</v>
      </c>
      <c r="R310">
        <v>804.45687600000008</v>
      </c>
      <c r="S310">
        <v>1.4170147700000001E-16</v>
      </c>
      <c r="T310">
        <v>22.306955866350229</v>
      </c>
      <c r="U310">
        <v>100.934</v>
      </c>
      <c r="V310">
        <v>-659.07844654374969</v>
      </c>
      <c r="W310">
        <v>69.220044000000001</v>
      </c>
      <c r="X310">
        <v>94.849080999999998</v>
      </c>
      <c r="Y310">
        <v>144.29</v>
      </c>
      <c r="Z310">
        <v>253.17317499999999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2.6779045171605027</v>
      </c>
    </row>
    <row r="311" spans="1:40" x14ac:dyDescent="0.3">
      <c r="A311">
        <v>32</v>
      </c>
      <c r="B311">
        <v>15</v>
      </c>
      <c r="C311">
        <v>8.601241415771133</v>
      </c>
      <c r="D311">
        <v>19</v>
      </c>
      <c r="E311">
        <v>13</v>
      </c>
      <c r="F311">
        <v>0.35270747109132999</v>
      </c>
      <c r="G311">
        <v>27</v>
      </c>
      <c r="H311">
        <v>12</v>
      </c>
      <c r="I311">
        <v>0.7393939525482035</v>
      </c>
      <c r="J311">
        <v>327192616.64975691</v>
      </c>
      <c r="K311">
        <v>165430000</v>
      </c>
      <c r="L311">
        <v>79925720.610298872</v>
      </c>
      <c r="M311">
        <v>77595700</v>
      </c>
      <c r="N311">
        <v>15759641.52</v>
      </c>
      <c r="O311">
        <v>231.16739200000001</v>
      </c>
      <c r="P311">
        <v>2.6381181870279899</v>
      </c>
      <c r="Q311">
        <v>43.855005300000002</v>
      </c>
      <c r="R311">
        <v>800.73286799999994</v>
      </c>
      <c r="S311">
        <v>5.8388449299999999E-15</v>
      </c>
      <c r="T311">
        <v>21.649690298176782</v>
      </c>
      <c r="U311">
        <v>100.934</v>
      </c>
      <c r="V311">
        <v>-617.68245755100088</v>
      </c>
      <c r="W311">
        <v>69.219596999999993</v>
      </c>
      <c r="X311">
        <v>94.845409700000005</v>
      </c>
      <c r="Y311">
        <v>144.29</v>
      </c>
      <c r="Z311">
        <v>254.04980800000001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2.6381181870279899</v>
      </c>
    </row>
    <row r="312" spans="1:40" x14ac:dyDescent="0.3">
      <c r="A312">
        <v>38</v>
      </c>
      <c r="B312">
        <v>17</v>
      </c>
      <c r="C312">
        <v>10.434177214674449</v>
      </c>
      <c r="D312">
        <v>17</v>
      </c>
      <c r="E312">
        <v>14</v>
      </c>
      <c r="F312">
        <v>1.0816937920136294</v>
      </c>
      <c r="G312">
        <v>20</v>
      </c>
      <c r="H312">
        <v>8</v>
      </c>
      <c r="I312">
        <v>1.0019015388280808</v>
      </c>
      <c r="J312">
        <v>327193390.15086836</v>
      </c>
      <c r="K312">
        <v>165430000</v>
      </c>
      <c r="L312">
        <v>79925721.824046493</v>
      </c>
      <c r="M312">
        <v>77595700</v>
      </c>
      <c r="N312">
        <v>15759922.880000001</v>
      </c>
      <c r="O312">
        <v>226.30430699999999</v>
      </c>
      <c r="P312">
        <v>2.6948113991406335</v>
      </c>
      <c r="Q312">
        <v>44.2115972</v>
      </c>
      <c r="R312">
        <v>806.16318099999989</v>
      </c>
      <c r="S312">
        <v>3.73169718E-20</v>
      </c>
      <c r="T312">
        <v>22.641574940099765</v>
      </c>
      <c r="U312">
        <v>100.934</v>
      </c>
      <c r="V312">
        <v>-679.95071715886627</v>
      </c>
      <c r="W312">
        <v>69.218752499999994</v>
      </c>
      <c r="X312">
        <v>94.832274600000005</v>
      </c>
      <c r="Y312">
        <v>121.52199999999999</v>
      </c>
      <c r="Z312">
        <v>252.44691499999999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2.6948113991406335</v>
      </c>
    </row>
    <row r="313" spans="1:40" x14ac:dyDescent="0.3">
      <c r="A313">
        <v>31</v>
      </c>
      <c r="B313">
        <v>10</v>
      </c>
      <c r="C313">
        <v>4.402131725202139</v>
      </c>
      <c r="D313">
        <v>23</v>
      </c>
      <c r="E313">
        <v>8</v>
      </c>
      <c r="F313">
        <v>1.163652842663184</v>
      </c>
      <c r="G313">
        <v>23</v>
      </c>
      <c r="H313">
        <v>13</v>
      </c>
      <c r="I313">
        <v>0.50680975924552585</v>
      </c>
      <c r="J313">
        <v>327193597.35208964</v>
      </c>
      <c r="K313">
        <v>165430000</v>
      </c>
      <c r="L313">
        <v>79925722.445917517</v>
      </c>
      <c r="M313">
        <v>77595700</v>
      </c>
      <c r="N313">
        <v>15760065.280000001</v>
      </c>
      <c r="O313">
        <v>226.71191899999999</v>
      </c>
      <c r="P313">
        <v>2.6899669392231296</v>
      </c>
      <c r="Q313">
        <v>44.232427299999998</v>
      </c>
      <c r="R313">
        <v>804.48230599999999</v>
      </c>
      <c r="S313">
        <v>2.5767477700000002E-13</v>
      </c>
      <c r="T313">
        <v>22.361969847386529</v>
      </c>
      <c r="U313">
        <v>100.934</v>
      </c>
      <c r="V313">
        <v>-660.66840597960152</v>
      </c>
      <c r="W313">
        <v>69.231538099999995</v>
      </c>
      <c r="X313">
        <v>94.898487900000006</v>
      </c>
      <c r="Y313">
        <v>177.97</v>
      </c>
      <c r="Z313">
        <v>252.61554899999999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2.6899669392231296</v>
      </c>
    </row>
    <row r="314" spans="1:40" x14ac:dyDescent="0.3">
      <c r="A314">
        <v>34</v>
      </c>
      <c r="B314">
        <v>11</v>
      </c>
      <c r="C314">
        <v>5.9523399324348141</v>
      </c>
      <c r="D314">
        <v>28</v>
      </c>
      <c r="E314">
        <v>8</v>
      </c>
      <c r="F314">
        <v>0.68556260693084492</v>
      </c>
      <c r="G314">
        <v>24</v>
      </c>
      <c r="H314">
        <v>8</v>
      </c>
      <c r="I314">
        <v>0.38418081843646074</v>
      </c>
      <c r="J314">
        <v>327200584.30132145</v>
      </c>
      <c r="K314">
        <v>165430000</v>
      </c>
      <c r="L314">
        <v>79925732.595132157</v>
      </c>
      <c r="M314">
        <v>77595700</v>
      </c>
      <c r="N314">
        <v>15762430.959999999</v>
      </c>
      <c r="O314">
        <v>228.279449</v>
      </c>
      <c r="P314">
        <v>2.6715164796289503</v>
      </c>
      <c r="Q314">
        <v>44.116046400000002</v>
      </c>
      <c r="R314">
        <v>803.0950610000001</v>
      </c>
      <c r="S314">
        <v>2.4227144200000002E-12</v>
      </c>
      <c r="T314">
        <v>22.165230755092839</v>
      </c>
      <c r="U314">
        <v>100.934</v>
      </c>
      <c r="V314">
        <v>-639.60237333065959</v>
      </c>
      <c r="W314">
        <v>69.223342900000006</v>
      </c>
      <c r="X314">
        <v>94.865926799999997</v>
      </c>
      <c r="Y314">
        <v>177.97</v>
      </c>
      <c r="Z314">
        <v>252.45740900000001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2.6715164796289503</v>
      </c>
    </row>
    <row r="315" spans="1:40" x14ac:dyDescent="0.3">
      <c r="A315">
        <v>27</v>
      </c>
      <c r="B315">
        <v>16</v>
      </c>
      <c r="C315">
        <v>9.1290689738750999</v>
      </c>
      <c r="D315">
        <v>29</v>
      </c>
      <c r="E315">
        <v>10</v>
      </c>
      <c r="F315">
        <v>0.38204666933836123</v>
      </c>
      <c r="G315">
        <v>15</v>
      </c>
      <c r="H315">
        <v>10</v>
      </c>
      <c r="I315">
        <v>0.8678079264058689</v>
      </c>
      <c r="J315">
        <v>327191791.55725509</v>
      </c>
      <c r="K315">
        <v>165430000</v>
      </c>
      <c r="L315">
        <v>79925721.848083124</v>
      </c>
      <c r="M315">
        <v>77595700</v>
      </c>
      <c r="N315">
        <v>15759889.199999999</v>
      </c>
      <c r="O315">
        <v>230.91604599999999</v>
      </c>
      <c r="P315">
        <v>2.6409872831650536</v>
      </c>
      <c r="Q315">
        <v>43.9066124</v>
      </c>
      <c r="R315">
        <v>800.55788299999995</v>
      </c>
      <c r="S315">
        <v>1.01858277E-12</v>
      </c>
      <c r="T315">
        <v>21.79916032543457</v>
      </c>
      <c r="U315">
        <v>100.934</v>
      </c>
      <c r="V315">
        <v>-607.78938583278455</v>
      </c>
      <c r="W315">
        <v>69.2217488</v>
      </c>
      <c r="X315">
        <v>94.860699699999998</v>
      </c>
      <c r="Y315">
        <v>177.97</v>
      </c>
      <c r="Z315">
        <v>254.47322199999999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2.6409872831650536</v>
      </c>
    </row>
    <row r="316" spans="1:40" x14ac:dyDescent="0.3">
      <c r="A316">
        <v>34</v>
      </c>
      <c r="B316">
        <v>12</v>
      </c>
      <c r="C316">
        <v>8.2139051984337748</v>
      </c>
      <c r="D316">
        <v>19</v>
      </c>
      <c r="E316">
        <v>5</v>
      </c>
      <c r="F316">
        <v>0.76235520511873811</v>
      </c>
      <c r="G316">
        <v>24</v>
      </c>
      <c r="H316">
        <v>10</v>
      </c>
      <c r="I316">
        <v>0.59119825671725712</v>
      </c>
      <c r="J316">
        <v>327193757.7195031</v>
      </c>
      <c r="K316">
        <v>165430000</v>
      </c>
      <c r="L316">
        <v>79925722.361481115</v>
      </c>
      <c r="M316">
        <v>77595700</v>
      </c>
      <c r="N316">
        <v>15760049.84</v>
      </c>
      <c r="O316">
        <v>228.98908299999999</v>
      </c>
      <c r="P316">
        <v>2.6632172491125807</v>
      </c>
      <c r="Q316">
        <v>44.058756099999997</v>
      </c>
      <c r="R316">
        <v>802.39780500000006</v>
      </c>
      <c r="S316">
        <v>4.4194631400000003E-9</v>
      </c>
      <c r="T316">
        <v>22.048543739358788</v>
      </c>
      <c r="U316">
        <v>100.934</v>
      </c>
      <c r="V316">
        <v>-633.85747301214917</v>
      </c>
      <c r="W316">
        <v>69.220552499999997</v>
      </c>
      <c r="X316">
        <v>94.851852600000001</v>
      </c>
      <c r="Y316">
        <v>177.97</v>
      </c>
      <c r="Z316">
        <v>253.42864399999999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2.6632172491125807</v>
      </c>
    </row>
    <row r="317" spans="1:40" x14ac:dyDescent="0.3">
      <c r="A317">
        <v>37</v>
      </c>
      <c r="B317">
        <v>15</v>
      </c>
      <c r="C317">
        <v>3.9288091268147207</v>
      </c>
      <c r="D317">
        <v>13</v>
      </c>
      <c r="E317">
        <v>10</v>
      </c>
      <c r="F317">
        <v>0.93876092500251929</v>
      </c>
      <c r="G317">
        <v>14</v>
      </c>
      <c r="H317">
        <v>9</v>
      </c>
      <c r="I317">
        <v>0.31133479768765848</v>
      </c>
      <c r="J317">
        <v>327201842.04696769</v>
      </c>
      <c r="K317">
        <v>165430000</v>
      </c>
      <c r="L317">
        <v>79925746.907205284</v>
      </c>
      <c r="M317">
        <v>77595700</v>
      </c>
      <c r="N317">
        <v>15765542.719999999</v>
      </c>
      <c r="O317">
        <v>227.22693200000001</v>
      </c>
      <c r="P317">
        <v>2.6838947233208805</v>
      </c>
      <c r="Q317">
        <v>44.134094699999999</v>
      </c>
      <c r="R317">
        <v>805.31205199999999</v>
      </c>
      <c r="S317">
        <v>6.0178022099999997E-15</v>
      </c>
      <c r="T317">
        <v>22.394161667062665</v>
      </c>
      <c r="U317">
        <v>100.934</v>
      </c>
      <c r="V317">
        <v>-667.99794490492161</v>
      </c>
      <c r="W317">
        <v>69.221391100000005</v>
      </c>
      <c r="X317">
        <v>94.857861099999994</v>
      </c>
      <c r="Y317">
        <v>121.52199999999999</v>
      </c>
      <c r="Z317">
        <v>254.077223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2.6838947233208805</v>
      </c>
    </row>
    <row r="318" spans="1:40" x14ac:dyDescent="0.3">
      <c r="A318">
        <v>27</v>
      </c>
      <c r="B318">
        <v>12</v>
      </c>
      <c r="C318">
        <v>13.547799480555478</v>
      </c>
      <c r="D318">
        <v>17</v>
      </c>
      <c r="E318">
        <v>7</v>
      </c>
      <c r="F318">
        <v>0.30938687508873081</v>
      </c>
      <c r="G318">
        <v>17</v>
      </c>
      <c r="H318">
        <v>12</v>
      </c>
      <c r="I318">
        <v>1.2250260836753926</v>
      </c>
      <c r="J318">
        <v>327191664.11591506</v>
      </c>
      <c r="K318">
        <v>165430000</v>
      </c>
      <c r="L318">
        <v>79925720.515384957</v>
      </c>
      <c r="M318">
        <v>77595700</v>
      </c>
      <c r="N318">
        <v>15759598.16</v>
      </c>
      <c r="O318">
        <v>231.69839899999999</v>
      </c>
      <c r="P318">
        <v>2.6320693499938677</v>
      </c>
      <c r="Q318">
        <v>43.820911799999998</v>
      </c>
      <c r="R318">
        <v>800.24216200000001</v>
      </c>
      <c r="S318">
        <v>1.30476364E-9</v>
      </c>
      <c r="T318">
        <v>21.662902745947164</v>
      </c>
      <c r="U318">
        <v>100.934</v>
      </c>
      <c r="V318">
        <v>-605.32238214014922</v>
      </c>
      <c r="W318">
        <v>69.221391100000005</v>
      </c>
      <c r="X318">
        <v>94.858579800000001</v>
      </c>
      <c r="Y318">
        <v>165.7</v>
      </c>
      <c r="Z318">
        <v>254.652366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2.6320693499938677</v>
      </c>
    </row>
    <row r="319" spans="1:40" x14ac:dyDescent="0.3">
      <c r="A319">
        <v>33</v>
      </c>
      <c r="B319">
        <v>15</v>
      </c>
      <c r="C319">
        <v>7.6582729799608167</v>
      </c>
      <c r="D319">
        <v>16</v>
      </c>
      <c r="E319">
        <v>8</v>
      </c>
      <c r="F319">
        <v>1.0391705467798891</v>
      </c>
      <c r="G319">
        <v>29</v>
      </c>
      <c r="H319">
        <v>10</v>
      </c>
      <c r="I319">
        <v>0.67464985685513712</v>
      </c>
      <c r="J319">
        <v>327193395.38906509</v>
      </c>
      <c r="K319">
        <v>165430000</v>
      </c>
      <c r="L319">
        <v>79925721.76261951</v>
      </c>
      <c r="M319">
        <v>77595700</v>
      </c>
      <c r="N319">
        <v>15759910.879999999</v>
      </c>
      <c r="O319">
        <v>226.966487</v>
      </c>
      <c r="P319">
        <v>2.6869492399298491</v>
      </c>
      <c r="Q319">
        <v>44.201622399999998</v>
      </c>
      <c r="R319">
        <v>804.53082200000006</v>
      </c>
      <c r="S319">
        <v>4.2515702200000002E-13</v>
      </c>
      <c r="T319">
        <v>22.37638667262944</v>
      </c>
      <c r="U319">
        <v>100.934</v>
      </c>
      <c r="V319">
        <v>-666.25072387416253</v>
      </c>
      <c r="W319">
        <v>69.219617700000001</v>
      </c>
      <c r="X319">
        <v>94.845561500000002</v>
      </c>
      <c r="Y319">
        <v>165.7</v>
      </c>
      <c r="Z319">
        <v>252.647862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2.6869492399298491</v>
      </c>
    </row>
    <row r="320" spans="1:40" x14ac:dyDescent="0.3">
      <c r="A320">
        <v>36</v>
      </c>
      <c r="B320">
        <v>13</v>
      </c>
      <c r="C320">
        <v>4.367863483326575</v>
      </c>
      <c r="D320">
        <v>17</v>
      </c>
      <c r="E320">
        <v>12</v>
      </c>
      <c r="F320">
        <v>0.96792283774530974</v>
      </c>
      <c r="G320">
        <v>25</v>
      </c>
      <c r="H320">
        <v>10</v>
      </c>
      <c r="I320">
        <v>1.0611410461056898</v>
      </c>
      <c r="J320">
        <v>327192701.5421102</v>
      </c>
      <c r="K320">
        <v>165430000</v>
      </c>
      <c r="L320">
        <v>79925720.746506497</v>
      </c>
      <c r="M320">
        <v>77595700</v>
      </c>
      <c r="N320">
        <v>15759672.640000001</v>
      </c>
      <c r="O320">
        <v>226.51149799999999</v>
      </c>
      <c r="P320">
        <v>2.6923443802955989</v>
      </c>
      <c r="Q320">
        <v>44.212638499999997</v>
      </c>
      <c r="R320">
        <v>805.41211099999998</v>
      </c>
      <c r="S320">
        <v>9.2268049500000005E-18</v>
      </c>
      <c r="T320">
        <v>22.545038478816259</v>
      </c>
      <c r="U320">
        <v>100.934</v>
      </c>
      <c r="V320">
        <v>-673.3992100555198</v>
      </c>
      <c r="W320">
        <v>69.222742600000004</v>
      </c>
      <c r="X320">
        <v>94.864381100000003</v>
      </c>
      <c r="Y320">
        <v>144.29</v>
      </c>
      <c r="Z320">
        <v>252.57638700000001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2.6923443802955989</v>
      </c>
    </row>
    <row r="321" spans="1:40" x14ac:dyDescent="0.3">
      <c r="A321">
        <v>38</v>
      </c>
      <c r="B321">
        <v>10</v>
      </c>
      <c r="C321">
        <v>5.7957801791702579</v>
      </c>
      <c r="D321">
        <v>17</v>
      </c>
      <c r="E321">
        <v>7</v>
      </c>
      <c r="F321">
        <v>1.1471849040618438</v>
      </c>
      <c r="G321">
        <v>24</v>
      </c>
      <c r="H321">
        <v>9</v>
      </c>
      <c r="I321">
        <v>0.45447347403438182</v>
      </c>
      <c r="J321">
        <v>327196893.17102814</v>
      </c>
      <c r="K321">
        <v>165430000</v>
      </c>
      <c r="L321">
        <v>79925727.113956362</v>
      </c>
      <c r="M321">
        <v>77595700</v>
      </c>
      <c r="N321">
        <v>15761156.08</v>
      </c>
      <c r="O321">
        <v>227.02431799999999</v>
      </c>
      <c r="P321">
        <v>2.6862752395600409</v>
      </c>
      <c r="Q321">
        <v>44.202770200000003</v>
      </c>
      <c r="R321">
        <v>804.30158600000004</v>
      </c>
      <c r="S321">
        <v>5.2359021200000001E-12</v>
      </c>
      <c r="T321">
        <v>22.332899816685689</v>
      </c>
      <c r="U321">
        <v>100.934</v>
      </c>
      <c r="V321">
        <v>-661.28111885707654</v>
      </c>
      <c r="W321">
        <v>69.225318799999997</v>
      </c>
      <c r="X321">
        <v>94.871279599999994</v>
      </c>
      <c r="Y321">
        <v>177.97</v>
      </c>
      <c r="Z321">
        <v>252.38094599999999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2.6862752395600409</v>
      </c>
    </row>
    <row r="322" spans="1:40" x14ac:dyDescent="0.3">
      <c r="A322">
        <v>29</v>
      </c>
      <c r="B322">
        <v>18</v>
      </c>
      <c r="C322">
        <v>9.6921137519625269</v>
      </c>
      <c r="D322">
        <v>28</v>
      </c>
      <c r="E322">
        <v>12</v>
      </c>
      <c r="F322">
        <v>0.75444165001519292</v>
      </c>
      <c r="G322">
        <v>15</v>
      </c>
      <c r="H322">
        <v>12</v>
      </c>
      <c r="I322">
        <v>0.37651635398521643</v>
      </c>
      <c r="J322">
        <v>327195367.70591432</v>
      </c>
      <c r="K322">
        <v>165430000</v>
      </c>
      <c r="L322">
        <v>79925753.253905579</v>
      </c>
      <c r="M322">
        <v>77595700</v>
      </c>
      <c r="N322">
        <v>15766793.680000002</v>
      </c>
      <c r="O322">
        <v>227.21337600000001</v>
      </c>
      <c r="P322">
        <v>2.6840355061296948</v>
      </c>
      <c r="Q322">
        <v>44.192600800000001</v>
      </c>
      <c r="R322">
        <v>804.31255999999996</v>
      </c>
      <c r="S322">
        <v>4.4726942799999997E-14</v>
      </c>
      <c r="T322">
        <v>22.348464690530214</v>
      </c>
      <c r="U322">
        <v>100.934</v>
      </c>
      <c r="V322">
        <v>-657.30629123233996</v>
      </c>
      <c r="W322">
        <v>69.2201685</v>
      </c>
      <c r="X322">
        <v>94.850277199999994</v>
      </c>
      <c r="Y322">
        <v>177.97</v>
      </c>
      <c r="Z322">
        <v>258.446234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2.6840355061296948</v>
      </c>
    </row>
    <row r="323" spans="1:40" x14ac:dyDescent="0.3">
      <c r="A323">
        <v>34</v>
      </c>
      <c r="B323">
        <v>10</v>
      </c>
      <c r="C323">
        <v>11.983444416606627</v>
      </c>
      <c r="D323">
        <v>17</v>
      </c>
      <c r="E323">
        <v>7</v>
      </c>
      <c r="F323">
        <v>0.7250935477950653</v>
      </c>
      <c r="G323">
        <v>26</v>
      </c>
      <c r="H323">
        <v>14</v>
      </c>
      <c r="I323">
        <v>1.2042485802567737</v>
      </c>
      <c r="J323">
        <v>327192264.40994531</v>
      </c>
      <c r="K323">
        <v>165430000</v>
      </c>
      <c r="L323">
        <v>79925720.071837038</v>
      </c>
      <c r="M323">
        <v>77595700</v>
      </c>
      <c r="N323">
        <v>15759516</v>
      </c>
      <c r="O323">
        <v>228.236504</v>
      </c>
      <c r="P323">
        <v>2.6719944061324559</v>
      </c>
      <c r="Q323">
        <v>44.102978100000001</v>
      </c>
      <c r="R323">
        <v>803.29780799999992</v>
      </c>
      <c r="S323">
        <v>2.6628558500000001E-11</v>
      </c>
      <c r="T323">
        <v>22.165713888417478</v>
      </c>
      <c r="U323">
        <v>100.934</v>
      </c>
      <c r="V323">
        <v>-647.11801746192907</v>
      </c>
      <c r="W323">
        <v>69.220982100000001</v>
      </c>
      <c r="X323">
        <v>94.853590699999998</v>
      </c>
      <c r="Y323">
        <v>177.97</v>
      </c>
      <c r="Z323">
        <v>253.19005000000001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2.6719944061324559</v>
      </c>
    </row>
    <row r="324" spans="1:40" x14ac:dyDescent="0.3">
      <c r="A324">
        <v>39</v>
      </c>
      <c r="B324">
        <v>13</v>
      </c>
      <c r="C324">
        <v>3.0040734408097967</v>
      </c>
      <c r="D324">
        <v>17</v>
      </c>
      <c r="E324">
        <v>9</v>
      </c>
      <c r="F324">
        <v>0.41007099203960162</v>
      </c>
      <c r="G324">
        <v>17</v>
      </c>
      <c r="H324">
        <v>14</v>
      </c>
      <c r="I324">
        <v>0.99617812246212756</v>
      </c>
      <c r="J324">
        <v>327187464.48103875</v>
      </c>
      <c r="K324">
        <v>165430000</v>
      </c>
      <c r="L324">
        <v>79925720.868127793</v>
      </c>
      <c r="M324">
        <v>77595700</v>
      </c>
      <c r="N324">
        <v>15759581.200000001</v>
      </c>
      <c r="O324">
        <v>230.403999</v>
      </c>
      <c r="P324">
        <v>2.6468438315035359</v>
      </c>
      <c r="Q324">
        <v>43.915733400000001</v>
      </c>
      <c r="R324">
        <v>801.33294699999999</v>
      </c>
      <c r="S324">
        <v>5.1102371099999999E-12</v>
      </c>
      <c r="T324">
        <v>21.816554983288295</v>
      </c>
      <c r="U324">
        <v>100.934</v>
      </c>
      <c r="V324">
        <v>-619.32833422326053</v>
      </c>
      <c r="W324">
        <v>69.228718000000001</v>
      </c>
      <c r="X324">
        <v>94.887243900000001</v>
      </c>
      <c r="Y324">
        <v>144.29</v>
      </c>
      <c r="Z324">
        <v>255.850742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2.6468438315035359</v>
      </c>
    </row>
    <row r="325" spans="1:40" x14ac:dyDescent="0.3">
      <c r="A325">
        <v>33</v>
      </c>
      <c r="B325">
        <v>14</v>
      </c>
      <c r="C325">
        <v>7.7005194017701406</v>
      </c>
      <c r="D325">
        <v>29</v>
      </c>
      <c r="E325">
        <v>11</v>
      </c>
      <c r="F325">
        <v>0.71023437942961998</v>
      </c>
      <c r="G325">
        <v>25</v>
      </c>
      <c r="H325">
        <v>9</v>
      </c>
      <c r="I325">
        <v>0.80000629787709099</v>
      </c>
      <c r="J325">
        <v>327193340.8040728</v>
      </c>
      <c r="K325">
        <v>165430000</v>
      </c>
      <c r="L325">
        <v>79925721.715778887</v>
      </c>
      <c r="M325">
        <v>77595700</v>
      </c>
      <c r="N325">
        <v>15759898.560000001</v>
      </c>
      <c r="O325">
        <v>227.60433800000001</v>
      </c>
      <c r="P325">
        <v>2.6794190217890148</v>
      </c>
      <c r="Q325">
        <v>44.165275000000001</v>
      </c>
      <c r="R325">
        <v>803.89574200000004</v>
      </c>
      <c r="S325">
        <v>7.6396535299999998E-16</v>
      </c>
      <c r="T325">
        <v>22.28693279513935</v>
      </c>
      <c r="U325">
        <v>100.934</v>
      </c>
      <c r="V325">
        <v>-650.91664124307317</v>
      </c>
      <c r="W325">
        <v>69.219876900000003</v>
      </c>
      <c r="X325">
        <v>94.847764999999995</v>
      </c>
      <c r="Y325">
        <v>177.97</v>
      </c>
      <c r="Z325">
        <v>252.861771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2.6794190217890148</v>
      </c>
    </row>
    <row r="326" spans="1:40" x14ac:dyDescent="0.3">
      <c r="A326">
        <v>28</v>
      </c>
      <c r="B326">
        <v>15</v>
      </c>
      <c r="C326">
        <v>10.76385160016102</v>
      </c>
      <c r="D326">
        <v>19</v>
      </c>
      <c r="E326">
        <v>12</v>
      </c>
      <c r="F326">
        <v>0.79885707703811648</v>
      </c>
      <c r="G326">
        <v>19</v>
      </c>
      <c r="H326">
        <v>14</v>
      </c>
      <c r="I326">
        <v>0.31831670386163285</v>
      </c>
      <c r="J326">
        <v>327201240.84160304</v>
      </c>
      <c r="K326">
        <v>165430000</v>
      </c>
      <c r="L326">
        <v>79925746.485023275</v>
      </c>
      <c r="M326">
        <v>77595700</v>
      </c>
      <c r="N326">
        <v>15765440.32</v>
      </c>
      <c r="O326">
        <v>226.95998399999999</v>
      </c>
      <c r="P326">
        <v>2.6870496944512055</v>
      </c>
      <c r="Q326">
        <v>44.186567199999999</v>
      </c>
      <c r="R326">
        <v>804.86586800000009</v>
      </c>
      <c r="S326">
        <v>2.6087183000000001E-17</v>
      </c>
      <c r="T326">
        <v>22.436837385754821</v>
      </c>
      <c r="U326">
        <v>100.934</v>
      </c>
      <c r="V326">
        <v>-666.61693935378833</v>
      </c>
      <c r="W326">
        <v>69.220609300000007</v>
      </c>
      <c r="X326">
        <v>94.8539143</v>
      </c>
      <c r="Y326">
        <v>144.29</v>
      </c>
      <c r="Z326">
        <v>254.047935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2.6870496944512055</v>
      </c>
    </row>
    <row r="327" spans="1:40" x14ac:dyDescent="0.3">
      <c r="A327">
        <v>27</v>
      </c>
      <c r="B327">
        <v>16</v>
      </c>
      <c r="C327">
        <v>9.1234673262965007</v>
      </c>
      <c r="D327">
        <v>25</v>
      </c>
      <c r="E327">
        <v>11</v>
      </c>
      <c r="F327">
        <v>0.72382890695911017</v>
      </c>
      <c r="G327">
        <v>11</v>
      </c>
      <c r="H327">
        <v>9</v>
      </c>
      <c r="I327">
        <v>0.92787136947510329</v>
      </c>
      <c r="J327">
        <v>327185776.1726954</v>
      </c>
      <c r="K327">
        <v>165430000</v>
      </c>
      <c r="L327">
        <v>79925731.169163585</v>
      </c>
      <c r="M327">
        <v>77595700</v>
      </c>
      <c r="N327">
        <v>15761801.84</v>
      </c>
      <c r="O327">
        <v>227.458754</v>
      </c>
      <c r="P327">
        <v>2.6811113956516599</v>
      </c>
      <c r="Q327">
        <v>44.168691500000001</v>
      </c>
      <c r="R327">
        <v>804.09593700000005</v>
      </c>
      <c r="S327">
        <v>5.1591850199999999E-14</v>
      </c>
      <c r="T327">
        <v>22.312498615802134</v>
      </c>
      <c r="U327">
        <v>100.934</v>
      </c>
      <c r="V327">
        <v>-654.17515890718664</v>
      </c>
      <c r="W327">
        <v>69.221750799999995</v>
      </c>
      <c r="X327">
        <v>94.860710400000002</v>
      </c>
      <c r="Y327">
        <v>177.97</v>
      </c>
      <c r="Z327">
        <v>257.78709600000002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2.6811113956516599</v>
      </c>
    </row>
    <row r="328" spans="1:40" x14ac:dyDescent="0.3">
      <c r="A328">
        <v>29</v>
      </c>
      <c r="B328">
        <v>18</v>
      </c>
      <c r="C328">
        <v>13.090719005787385</v>
      </c>
      <c r="D328">
        <v>16</v>
      </c>
      <c r="E328">
        <v>7</v>
      </c>
      <c r="F328">
        <v>0.30219907837380083</v>
      </c>
      <c r="G328">
        <v>18</v>
      </c>
      <c r="H328">
        <v>10</v>
      </c>
      <c r="I328">
        <v>0.3272546304783549</v>
      </c>
      <c r="J328">
        <v>327201708.20658034</v>
      </c>
      <c r="K328">
        <v>165430000</v>
      </c>
      <c r="L328">
        <v>79925737.172160462</v>
      </c>
      <c r="M328">
        <v>77595700</v>
      </c>
      <c r="N328">
        <v>15763441.440000001</v>
      </c>
      <c r="O328">
        <v>231.774902</v>
      </c>
      <c r="P328">
        <v>2.631229989401354</v>
      </c>
      <c r="Q328">
        <v>43.8126186</v>
      </c>
      <c r="R328">
        <v>800.23873300000002</v>
      </c>
      <c r="S328">
        <v>1.4830742199999999E-9</v>
      </c>
      <c r="T328">
        <v>21.64599341921711</v>
      </c>
      <c r="U328">
        <v>100.934</v>
      </c>
      <c r="V328">
        <v>-606.30576861747409</v>
      </c>
      <c r="W328">
        <v>69.219789800000001</v>
      </c>
      <c r="X328">
        <v>94.846975099999995</v>
      </c>
      <c r="Y328">
        <v>144.29</v>
      </c>
      <c r="Z328">
        <v>253.95277100000001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2.631229989401354</v>
      </c>
    </row>
    <row r="329" spans="1:40" x14ac:dyDescent="0.3">
      <c r="A329">
        <v>37</v>
      </c>
      <c r="B329">
        <v>13</v>
      </c>
      <c r="C329">
        <v>8.3451698405752701</v>
      </c>
      <c r="D329">
        <v>24</v>
      </c>
      <c r="E329">
        <v>12</v>
      </c>
      <c r="F329">
        <v>0.43256318371040442</v>
      </c>
      <c r="G329">
        <v>14</v>
      </c>
      <c r="H329">
        <v>8</v>
      </c>
      <c r="I329">
        <v>0.69730080350977242</v>
      </c>
      <c r="J329">
        <v>327193671.25999641</v>
      </c>
      <c r="K329">
        <v>165430000</v>
      </c>
      <c r="L329">
        <v>79925724.249076441</v>
      </c>
      <c r="M329">
        <v>77595700</v>
      </c>
      <c r="N329">
        <v>15760453.279999999</v>
      </c>
      <c r="O329">
        <v>230.15603899999999</v>
      </c>
      <c r="P329">
        <v>2.6497137318677662</v>
      </c>
      <c r="Q329">
        <v>43.9550056</v>
      </c>
      <c r="R329">
        <v>801.42482400000006</v>
      </c>
      <c r="S329">
        <v>5.5717567600000002E-15</v>
      </c>
      <c r="T329">
        <v>21.885161187787066</v>
      </c>
      <c r="U329">
        <v>100.934</v>
      </c>
      <c r="V329">
        <v>-621.90078917075869</v>
      </c>
      <c r="W329">
        <v>69.219789800000001</v>
      </c>
      <c r="X329">
        <v>94.845728100000002</v>
      </c>
      <c r="Y329">
        <v>170.55</v>
      </c>
      <c r="Z329">
        <v>253.94907799999999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2.6497137318677662</v>
      </c>
    </row>
    <row r="330" spans="1:40" x14ac:dyDescent="0.3">
      <c r="A330">
        <v>34</v>
      </c>
      <c r="B330">
        <v>17</v>
      </c>
      <c r="C330">
        <v>3.6852898419696807</v>
      </c>
      <c r="D330">
        <v>16</v>
      </c>
      <c r="E330">
        <v>12</v>
      </c>
      <c r="F330">
        <v>1.1396578781221189</v>
      </c>
      <c r="G330">
        <v>27</v>
      </c>
      <c r="H330">
        <v>12</v>
      </c>
      <c r="I330">
        <v>1.2593053063168644</v>
      </c>
      <c r="J330">
        <v>327192368.78422123</v>
      </c>
      <c r="K330">
        <v>165430000</v>
      </c>
      <c r="L330">
        <v>79925720.23125954</v>
      </c>
      <c r="M330">
        <v>77595700</v>
      </c>
      <c r="N330">
        <v>15759552.799999999</v>
      </c>
      <c r="O330">
        <v>226.29229000000001</v>
      </c>
      <c r="P330">
        <v>2.6949514400965224</v>
      </c>
      <c r="Q330">
        <v>44.227596699999999</v>
      </c>
      <c r="R330">
        <v>805.6963780000001</v>
      </c>
      <c r="S330">
        <v>4.7344013500000002E-18</v>
      </c>
      <c r="T330">
        <v>22.607718192639751</v>
      </c>
      <c r="U330">
        <v>100.934</v>
      </c>
      <c r="V330">
        <v>-677.8981407110374</v>
      </c>
      <c r="W330">
        <v>69.221285100000003</v>
      </c>
      <c r="X330">
        <v>94.858736300000004</v>
      </c>
      <c r="Y330">
        <v>144.29</v>
      </c>
      <c r="Z330">
        <v>252.53249400000001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2.6949514400965224</v>
      </c>
    </row>
    <row r="331" spans="1:40" x14ac:dyDescent="0.3">
      <c r="A331">
        <v>32</v>
      </c>
      <c r="B331">
        <v>12</v>
      </c>
      <c r="C331">
        <v>9.0140377640947182</v>
      </c>
      <c r="D331">
        <v>27</v>
      </c>
      <c r="E331">
        <v>12</v>
      </c>
      <c r="F331">
        <v>1.1646162153839046</v>
      </c>
      <c r="G331">
        <v>13</v>
      </c>
      <c r="H331">
        <v>9</v>
      </c>
      <c r="I331">
        <v>1.0596861430962894</v>
      </c>
      <c r="J331">
        <v>327191595.50408387</v>
      </c>
      <c r="K331">
        <v>165430000</v>
      </c>
      <c r="L331">
        <v>79925722.920487091</v>
      </c>
      <c r="M331">
        <v>77595700</v>
      </c>
      <c r="N331">
        <v>15760118.880000001</v>
      </c>
      <c r="O331">
        <v>226.226293</v>
      </c>
      <c r="P331">
        <v>2.6957353178795032</v>
      </c>
      <c r="Q331">
        <v>44.278550000000003</v>
      </c>
      <c r="R331">
        <v>804.97503000000006</v>
      </c>
      <c r="S331">
        <v>1.7657127299999999E-18</v>
      </c>
      <c r="T331">
        <v>22.500062363682495</v>
      </c>
      <c r="U331">
        <v>100.934</v>
      </c>
      <c r="V331">
        <v>-672.30045252820969</v>
      </c>
      <c r="W331">
        <v>69.220550099999997</v>
      </c>
      <c r="X331">
        <v>94.8523158</v>
      </c>
      <c r="Y331">
        <v>177.97</v>
      </c>
      <c r="Z331">
        <v>253.18013400000001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2.6957353178795032</v>
      </c>
    </row>
    <row r="332" spans="1:40" x14ac:dyDescent="0.3">
      <c r="A332">
        <v>30</v>
      </c>
      <c r="B332">
        <v>19</v>
      </c>
      <c r="C332">
        <v>6.1010209033381653</v>
      </c>
      <c r="D332">
        <v>21</v>
      </c>
      <c r="E332">
        <v>14</v>
      </c>
      <c r="F332">
        <v>1.1822513907494132</v>
      </c>
      <c r="G332">
        <v>22</v>
      </c>
      <c r="H332">
        <v>9</v>
      </c>
      <c r="I332">
        <v>0.7156365884795961</v>
      </c>
      <c r="J332">
        <v>327193677.91156638</v>
      </c>
      <c r="K332">
        <v>165430000</v>
      </c>
      <c r="L332">
        <v>79925722.23862718</v>
      </c>
      <c r="M332">
        <v>77595700</v>
      </c>
      <c r="N332">
        <v>15760020.560000001</v>
      </c>
      <c r="O332">
        <v>226.03263100000001</v>
      </c>
      <c r="P332">
        <v>2.6980512452029348</v>
      </c>
      <c r="Q332">
        <v>44.274057300000003</v>
      </c>
      <c r="R332">
        <v>805.41706599999998</v>
      </c>
      <c r="S332">
        <v>1.0343674000000001E-13</v>
      </c>
      <c r="T332">
        <v>22.636855251237247</v>
      </c>
      <c r="U332">
        <v>100.934</v>
      </c>
      <c r="V332">
        <v>-678.85123098217775</v>
      </c>
      <c r="W332">
        <v>69.220729199999994</v>
      </c>
      <c r="X332">
        <v>94.854388299999997</v>
      </c>
      <c r="Y332">
        <v>165.7</v>
      </c>
      <c r="Z332">
        <v>252.34050199999999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2.6980512452029348</v>
      </c>
    </row>
    <row r="333" spans="1:40" x14ac:dyDescent="0.3">
      <c r="A333">
        <v>32</v>
      </c>
      <c r="B333">
        <v>16</v>
      </c>
      <c r="C333">
        <v>4.998783269654802</v>
      </c>
      <c r="D333">
        <v>21</v>
      </c>
      <c r="E333">
        <v>7</v>
      </c>
      <c r="F333">
        <v>1.0823461576899909</v>
      </c>
      <c r="G333">
        <v>20</v>
      </c>
      <c r="H333">
        <v>13</v>
      </c>
      <c r="I333">
        <v>0.56467841817551867</v>
      </c>
      <c r="J333">
        <v>327192429.15601093</v>
      </c>
      <c r="K333">
        <v>165430000</v>
      </c>
      <c r="L333">
        <v>79925721.845412388</v>
      </c>
      <c r="M333">
        <v>77595700</v>
      </c>
      <c r="N333">
        <v>15759904.640000001</v>
      </c>
      <c r="O333">
        <v>227.193218</v>
      </c>
      <c r="P333">
        <v>2.6842648700980969</v>
      </c>
      <c r="Q333">
        <v>44.201270600000001</v>
      </c>
      <c r="R333">
        <v>804.06214599999998</v>
      </c>
      <c r="S333">
        <v>6.1418569700000003E-12</v>
      </c>
      <c r="T333">
        <v>22.289327156755473</v>
      </c>
      <c r="U333">
        <v>100.934</v>
      </c>
      <c r="V333">
        <v>-659.05156988158967</v>
      </c>
      <c r="W333">
        <v>69.220729199999994</v>
      </c>
      <c r="X333">
        <v>94.854768300000003</v>
      </c>
      <c r="Y333">
        <v>177.97</v>
      </c>
      <c r="Z333">
        <v>253.018021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2.6842648700980969</v>
      </c>
    </row>
    <row r="334" spans="1:40" x14ac:dyDescent="0.3">
      <c r="A334">
        <v>39</v>
      </c>
      <c r="B334">
        <v>18</v>
      </c>
      <c r="C334">
        <v>1.4491773534455983</v>
      </c>
      <c r="D334">
        <v>17</v>
      </c>
      <c r="E334">
        <v>11</v>
      </c>
      <c r="F334">
        <v>0.87020482043541714</v>
      </c>
      <c r="G334">
        <v>22</v>
      </c>
      <c r="H334">
        <v>14</v>
      </c>
      <c r="I334">
        <v>0.57286370420091415</v>
      </c>
      <c r="J334">
        <v>327192471.33232856</v>
      </c>
      <c r="K334">
        <v>165430000</v>
      </c>
      <c r="L334">
        <v>79925721.171975568</v>
      </c>
      <c r="M334">
        <v>77595700</v>
      </c>
      <c r="N334">
        <v>15759760.399999999</v>
      </c>
      <c r="O334">
        <v>226.00012599999999</v>
      </c>
      <c r="P334">
        <v>2.698435674471916</v>
      </c>
      <c r="Q334">
        <v>44.158185699999997</v>
      </c>
      <c r="R334">
        <v>805.55465800000002</v>
      </c>
      <c r="S334">
        <v>2.32651229E-16</v>
      </c>
      <c r="T334">
        <v>22.540545541592813</v>
      </c>
      <c r="U334">
        <v>100.934</v>
      </c>
      <c r="V334">
        <v>-622.2849298640283</v>
      </c>
      <c r="W334">
        <v>69.349483300000003</v>
      </c>
      <c r="X334">
        <v>95.357548499999993</v>
      </c>
      <c r="Y334">
        <v>144.29</v>
      </c>
      <c r="Z334">
        <v>252.803155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2.698435674471916</v>
      </c>
    </row>
    <row r="335" spans="1:40" x14ac:dyDescent="0.3">
      <c r="A335">
        <v>38</v>
      </c>
      <c r="B335">
        <v>14</v>
      </c>
      <c r="C335">
        <v>10.851074775471229</v>
      </c>
      <c r="D335">
        <v>16</v>
      </c>
      <c r="E335">
        <v>8</v>
      </c>
      <c r="F335">
        <v>0.55402496973807502</v>
      </c>
      <c r="G335">
        <v>23</v>
      </c>
      <c r="H335">
        <v>13</v>
      </c>
      <c r="I335">
        <v>1.2080828807994981</v>
      </c>
      <c r="J335">
        <v>327192286.56898612</v>
      </c>
      <c r="K335">
        <v>165430000</v>
      </c>
      <c r="L335">
        <v>79925720.151548281</v>
      </c>
      <c r="M335">
        <v>77595700</v>
      </c>
      <c r="N335">
        <v>15759533.84</v>
      </c>
      <c r="O335">
        <v>229.094415</v>
      </c>
      <c r="P335">
        <v>2.6619884077313989</v>
      </c>
      <c r="Q335">
        <v>44.025767600000002</v>
      </c>
      <c r="R335">
        <v>802.64208599999995</v>
      </c>
      <c r="S335">
        <v>8.0646308900000006E-12</v>
      </c>
      <c r="T335">
        <v>22.045059727330614</v>
      </c>
      <c r="U335">
        <v>100.934</v>
      </c>
      <c r="V335">
        <v>-639.1006481926936</v>
      </c>
      <c r="W335">
        <v>69.219059099999996</v>
      </c>
      <c r="X335">
        <v>94.838299199999994</v>
      </c>
      <c r="Y335">
        <v>144.29</v>
      </c>
      <c r="Z335">
        <v>253.60394400000001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2.6619884077313989</v>
      </c>
    </row>
    <row r="336" spans="1:40" x14ac:dyDescent="0.3">
      <c r="A336">
        <v>33</v>
      </c>
      <c r="B336">
        <v>13</v>
      </c>
      <c r="C336">
        <v>8.6905182372025038</v>
      </c>
      <c r="D336">
        <v>16</v>
      </c>
      <c r="E336">
        <v>8</v>
      </c>
      <c r="F336">
        <v>0.69939755368149248</v>
      </c>
      <c r="G336">
        <v>16</v>
      </c>
      <c r="H336">
        <v>12</v>
      </c>
      <c r="I336">
        <v>1.1229728869003885</v>
      </c>
      <c r="J336">
        <v>327190629.63428104</v>
      </c>
      <c r="K336">
        <v>165430000</v>
      </c>
      <c r="L336">
        <v>79925720.883125007</v>
      </c>
      <c r="M336">
        <v>77595700</v>
      </c>
      <c r="N336">
        <v>15759654.720000001</v>
      </c>
      <c r="O336">
        <v>228.08364599999999</v>
      </c>
      <c r="P336">
        <v>2.6737802682590943</v>
      </c>
      <c r="Q336">
        <v>44.105680499999998</v>
      </c>
      <c r="R336">
        <v>803.60472299999992</v>
      </c>
      <c r="S336">
        <v>2.4281640399999999E-12</v>
      </c>
      <c r="T336">
        <v>22.204952348927868</v>
      </c>
      <c r="U336">
        <v>100.934</v>
      </c>
      <c r="V336">
        <v>-651.5549202516346</v>
      </c>
      <c r="W336">
        <v>69.220001400000001</v>
      </c>
      <c r="X336">
        <v>94.848502499999995</v>
      </c>
      <c r="Y336">
        <v>165.7</v>
      </c>
      <c r="Z336">
        <v>253.833584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2.6737802682590943</v>
      </c>
    </row>
    <row r="337" spans="1:40" x14ac:dyDescent="0.3">
      <c r="A337">
        <v>38</v>
      </c>
      <c r="B337">
        <v>19</v>
      </c>
      <c r="C337">
        <v>3.4110114909665752</v>
      </c>
      <c r="D337">
        <v>21</v>
      </c>
      <c r="E337">
        <v>5</v>
      </c>
      <c r="F337">
        <v>0.60808369314234512</v>
      </c>
      <c r="G337">
        <v>19</v>
      </c>
      <c r="H337">
        <v>11</v>
      </c>
      <c r="I337">
        <v>1.2002141818696155</v>
      </c>
      <c r="J337">
        <v>327192402.60388499</v>
      </c>
      <c r="K337">
        <v>165430000</v>
      </c>
      <c r="L337">
        <v>79925720.48415786</v>
      </c>
      <c r="M337">
        <v>77595700</v>
      </c>
      <c r="N337">
        <v>15759608.879999999</v>
      </c>
      <c r="O337">
        <v>229.73264399999999</v>
      </c>
      <c r="P337">
        <v>2.6545933793235408</v>
      </c>
      <c r="Q337">
        <v>44.002112599999997</v>
      </c>
      <c r="R337">
        <v>801.71898199999998</v>
      </c>
      <c r="S337">
        <v>7.8286115399999997E-9</v>
      </c>
      <c r="T337">
        <v>21.971964954324889</v>
      </c>
      <c r="U337">
        <v>100.934</v>
      </c>
      <c r="V337">
        <v>-623.05073225964622</v>
      </c>
      <c r="W337">
        <v>69.220001400000001</v>
      </c>
      <c r="X337">
        <v>94.850393999999994</v>
      </c>
      <c r="Y337">
        <v>177.97</v>
      </c>
      <c r="Z337">
        <v>253.79577499999999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2.6545933793235408</v>
      </c>
    </row>
    <row r="338" spans="1:40" x14ac:dyDescent="0.3">
      <c r="A338">
        <v>36</v>
      </c>
      <c r="B338">
        <v>12</v>
      </c>
      <c r="C338">
        <v>13.098245070724555</v>
      </c>
      <c r="D338">
        <v>16</v>
      </c>
      <c r="E338">
        <v>7</v>
      </c>
      <c r="F338">
        <v>0.49692376507427272</v>
      </c>
      <c r="G338">
        <v>17</v>
      </c>
      <c r="H338">
        <v>7</v>
      </c>
      <c r="I338">
        <v>1.0088034647472341</v>
      </c>
      <c r="J338">
        <v>327193910.46920776</v>
      </c>
      <c r="K338">
        <v>165430000</v>
      </c>
      <c r="L338">
        <v>79925722.709498793</v>
      </c>
      <c r="M338">
        <v>77595700</v>
      </c>
      <c r="N338">
        <v>15760126.560000001</v>
      </c>
      <c r="O338">
        <v>229.75276500000001</v>
      </c>
      <c r="P338">
        <v>2.6543653539881968</v>
      </c>
      <c r="Q338">
        <v>43.978133700000001</v>
      </c>
      <c r="R338">
        <v>801.94016199999999</v>
      </c>
      <c r="S338">
        <v>1.3802801500000001E-10</v>
      </c>
      <c r="T338">
        <v>21.940074989596184</v>
      </c>
      <c r="U338">
        <v>100.934</v>
      </c>
      <c r="V338">
        <v>-629.74873507223799</v>
      </c>
      <c r="W338">
        <v>69.219473199999996</v>
      </c>
      <c r="X338">
        <v>94.842992600000002</v>
      </c>
      <c r="Y338">
        <v>165.7</v>
      </c>
      <c r="Z338">
        <v>253.66493600000001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2.6543653539881968</v>
      </c>
    </row>
    <row r="339" spans="1:40" x14ac:dyDescent="0.3">
      <c r="A339">
        <v>33</v>
      </c>
      <c r="B339">
        <v>18</v>
      </c>
      <c r="C339">
        <v>5.3652381561573375</v>
      </c>
      <c r="D339">
        <v>26</v>
      </c>
      <c r="E339">
        <v>8</v>
      </c>
      <c r="F339">
        <v>0.47960670641833181</v>
      </c>
      <c r="G339">
        <v>16</v>
      </c>
      <c r="H339">
        <v>7</v>
      </c>
      <c r="I339">
        <v>1.0231938441360726</v>
      </c>
      <c r="J339">
        <v>327193905.2205162</v>
      </c>
      <c r="K339">
        <v>165430000</v>
      </c>
      <c r="L339">
        <v>79925722.7820196</v>
      </c>
      <c r="M339">
        <v>77595700</v>
      </c>
      <c r="N339">
        <v>15760126.560000001</v>
      </c>
      <c r="O339">
        <v>229.91243299999999</v>
      </c>
      <c r="P339">
        <v>2.6525219531554902</v>
      </c>
      <c r="Q339">
        <v>43.986694900000003</v>
      </c>
      <c r="R339">
        <v>801.56152499999996</v>
      </c>
      <c r="S339">
        <v>1.6180345699999999E-11</v>
      </c>
      <c r="T339">
        <v>21.955594453082217</v>
      </c>
      <c r="U339">
        <v>100.934</v>
      </c>
      <c r="V339">
        <v>-620.51955995505978</v>
      </c>
      <c r="W339">
        <v>69.2198025</v>
      </c>
      <c r="X339">
        <v>94.847730799999994</v>
      </c>
      <c r="Y339">
        <v>177.97</v>
      </c>
      <c r="Z339">
        <v>253.72886399999999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2.6525219531554902</v>
      </c>
    </row>
    <row r="340" spans="1:40" x14ac:dyDescent="0.3">
      <c r="A340">
        <v>35</v>
      </c>
      <c r="B340">
        <v>13</v>
      </c>
      <c r="C340">
        <v>10.321383301481548</v>
      </c>
      <c r="D340">
        <v>27</v>
      </c>
      <c r="E340">
        <v>13</v>
      </c>
      <c r="F340">
        <v>0.96193427363893624</v>
      </c>
      <c r="G340">
        <v>25</v>
      </c>
      <c r="H340">
        <v>11</v>
      </c>
      <c r="I340">
        <v>0.58046546551036216</v>
      </c>
      <c r="J340">
        <v>327193616.09742481</v>
      </c>
      <c r="K340">
        <v>165430000</v>
      </c>
      <c r="L340">
        <v>79925722.099954247</v>
      </c>
      <c r="M340">
        <v>77595700</v>
      </c>
      <c r="N340">
        <v>15759990.32</v>
      </c>
      <c r="O340">
        <v>226.40897200000001</v>
      </c>
      <c r="P340">
        <v>2.6935663113350419</v>
      </c>
      <c r="Q340">
        <v>44.258124199999997</v>
      </c>
      <c r="R340">
        <v>804.96591899999999</v>
      </c>
      <c r="S340">
        <v>2.9284908200000002E-19</v>
      </c>
      <c r="T340">
        <v>22.467633373459655</v>
      </c>
      <c r="U340">
        <v>100.934</v>
      </c>
      <c r="V340">
        <v>-670.33698161431369</v>
      </c>
      <c r="W340">
        <v>69.219515999999999</v>
      </c>
      <c r="X340">
        <v>94.843829299999996</v>
      </c>
      <c r="Y340">
        <v>177.97</v>
      </c>
      <c r="Z340">
        <v>252.45786699999999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2.6935663113350419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8E2A-75E8-4931-BC1A-236BA3904502}">
  <dimension ref="A1:AN308"/>
  <sheetViews>
    <sheetView workbookViewId="0">
      <selection activeCell="O21" sqref="O21"/>
    </sheetView>
  </sheetViews>
  <sheetFormatPr defaultRowHeight="16.5" x14ac:dyDescent="0.3"/>
  <sheetData>
    <row r="1" spans="1:40" x14ac:dyDescent="0.3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155</v>
      </c>
      <c r="P1" t="s">
        <v>208</v>
      </c>
      <c r="Q1" t="s">
        <v>185</v>
      </c>
      <c r="R1" t="s">
        <v>186</v>
      </c>
      <c r="S1" t="s">
        <v>187</v>
      </c>
      <c r="T1" t="s">
        <v>188</v>
      </c>
      <c r="U1" t="s">
        <v>209</v>
      </c>
      <c r="V1" t="s">
        <v>210</v>
      </c>
      <c r="W1" t="s">
        <v>355</v>
      </c>
      <c r="X1" t="s">
        <v>356</v>
      </c>
      <c r="Y1" t="s">
        <v>357</v>
      </c>
      <c r="Z1" t="s">
        <v>358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359</v>
      </c>
      <c r="AK1" t="s">
        <v>360</v>
      </c>
      <c r="AL1" t="s">
        <v>361</v>
      </c>
      <c r="AM1" t="s">
        <v>362</v>
      </c>
      <c r="AN1" t="s">
        <v>389</v>
      </c>
    </row>
    <row r="2" spans="1:40" x14ac:dyDescent="0.3">
      <c r="A2">
        <v>30</v>
      </c>
      <c r="B2">
        <v>15</v>
      </c>
      <c r="C2">
        <v>3.6</v>
      </c>
      <c r="D2">
        <v>20</v>
      </c>
      <c r="E2">
        <v>10</v>
      </c>
      <c r="F2">
        <v>0.43</v>
      </c>
      <c r="G2">
        <v>20</v>
      </c>
      <c r="H2">
        <v>10</v>
      </c>
      <c r="I2">
        <v>0.72</v>
      </c>
      <c r="J2">
        <v>327193074.79891843</v>
      </c>
      <c r="K2">
        <v>165430000</v>
      </c>
      <c r="L2">
        <v>79925721.491231471</v>
      </c>
      <c r="M2">
        <v>77595700</v>
      </c>
      <c r="N2">
        <v>15759843.52</v>
      </c>
      <c r="O2">
        <v>230.15656999999999</v>
      </c>
      <c r="P2">
        <v>2.6497058593631913</v>
      </c>
      <c r="Q2">
        <v>43.94435</v>
      </c>
      <c r="R2">
        <v>801.48125900000002</v>
      </c>
      <c r="S2">
        <v>4.2540619600000001E-13</v>
      </c>
      <c r="T2">
        <v>21.871822717197833</v>
      </c>
      <c r="U2">
        <v>100.934</v>
      </c>
      <c r="V2">
        <v>-621.36517754628585</v>
      </c>
      <c r="W2">
        <v>69.225905100000006</v>
      </c>
      <c r="X2">
        <v>94.879776899999996</v>
      </c>
      <c r="Y2">
        <v>165.7</v>
      </c>
      <c r="Z2">
        <v>253.70994400000001</v>
      </c>
      <c r="AA2">
        <v>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101.64970585936319</v>
      </c>
    </row>
    <row r="3" spans="1:40" x14ac:dyDescent="0.3">
      <c r="A3">
        <v>30</v>
      </c>
      <c r="B3">
        <v>15</v>
      </c>
      <c r="C3">
        <v>2.95</v>
      </c>
      <c r="D3">
        <v>20</v>
      </c>
      <c r="E3">
        <v>12</v>
      </c>
      <c r="F3">
        <v>0.56747999999999998</v>
      </c>
      <c r="G3">
        <v>20</v>
      </c>
      <c r="H3">
        <v>12</v>
      </c>
      <c r="I3">
        <v>0.7</v>
      </c>
      <c r="J3">
        <v>327192489.70018196</v>
      </c>
      <c r="K3">
        <v>165430000</v>
      </c>
      <c r="L3">
        <v>79925720.962014496</v>
      </c>
      <c r="M3">
        <v>77595700</v>
      </c>
      <c r="N3">
        <v>15759714.640000001</v>
      </c>
      <c r="O3">
        <v>228.43843000000001</v>
      </c>
      <c r="P3">
        <v>2.6696331913271303</v>
      </c>
      <c r="Q3">
        <v>44.063535199999997</v>
      </c>
      <c r="R3">
        <v>803.38193799999999</v>
      </c>
      <c r="S3">
        <v>4.9130103199999997E-16</v>
      </c>
      <c r="T3">
        <v>22.166252121108002</v>
      </c>
      <c r="U3">
        <v>100.934</v>
      </c>
      <c r="V3">
        <v>-641.81685870625233</v>
      </c>
      <c r="W3">
        <v>69.231290000000001</v>
      </c>
      <c r="X3">
        <v>94.901946100000004</v>
      </c>
      <c r="Y3">
        <v>144.29</v>
      </c>
      <c r="Z3">
        <v>253.48248799999999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2.6696331913271303</v>
      </c>
    </row>
    <row r="4" spans="1:40" x14ac:dyDescent="0.3">
      <c r="A4">
        <v>31</v>
      </c>
      <c r="B4">
        <v>11</v>
      </c>
      <c r="C4">
        <v>12.76763915732213</v>
      </c>
      <c r="D4">
        <v>23</v>
      </c>
      <c r="E4">
        <v>8</v>
      </c>
      <c r="F4">
        <v>0.6882986138714744</v>
      </c>
      <c r="G4">
        <v>27</v>
      </c>
      <c r="H4">
        <v>13</v>
      </c>
      <c r="I4">
        <v>0.32396573216272745</v>
      </c>
      <c r="J4">
        <v>327203585.95059288</v>
      </c>
      <c r="K4">
        <v>165430000</v>
      </c>
      <c r="L4">
        <v>79925737.625980452</v>
      </c>
      <c r="M4">
        <v>77595700</v>
      </c>
      <c r="N4">
        <v>15763594.24</v>
      </c>
      <c r="O4">
        <v>228.22839400000001</v>
      </c>
      <c r="P4">
        <v>2.6721230297449474</v>
      </c>
      <c r="Q4">
        <v>44.114839699999997</v>
      </c>
      <c r="R4">
        <v>803.22166200000004</v>
      </c>
      <c r="S4">
        <v>2.4066800299999999E-12</v>
      </c>
      <c r="T4">
        <v>22.176525899341858</v>
      </c>
      <c r="U4">
        <v>100.934</v>
      </c>
      <c r="V4">
        <v>-643.75020439362459</v>
      </c>
      <c r="W4">
        <v>69.220449299999999</v>
      </c>
      <c r="X4">
        <v>94.851566500000004</v>
      </c>
      <c r="Y4">
        <v>177.97</v>
      </c>
      <c r="Z4">
        <v>252.23348899999999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2.6721230297449474</v>
      </c>
    </row>
    <row r="5" spans="1:40" x14ac:dyDescent="0.3">
      <c r="A5">
        <v>34</v>
      </c>
      <c r="B5">
        <v>19</v>
      </c>
      <c r="C5">
        <v>10.735736610671516</v>
      </c>
      <c r="D5">
        <v>27</v>
      </c>
      <c r="E5">
        <v>9</v>
      </c>
      <c r="F5">
        <v>0.89696805183297834</v>
      </c>
      <c r="G5">
        <v>27</v>
      </c>
      <c r="H5">
        <v>13</v>
      </c>
      <c r="I5">
        <v>1.2275238512674354</v>
      </c>
      <c r="J5">
        <v>327192311.70488316</v>
      </c>
      <c r="K5">
        <v>165430000</v>
      </c>
      <c r="L5">
        <v>79925720.139632687</v>
      </c>
      <c r="M5">
        <v>77595700</v>
      </c>
      <c r="N5">
        <v>15759531.68</v>
      </c>
      <c r="O5">
        <v>227.152716</v>
      </c>
      <c r="P5">
        <v>2.6847431314430721</v>
      </c>
      <c r="Q5">
        <v>44.206568500000003</v>
      </c>
      <c r="R5">
        <v>804.17273699999998</v>
      </c>
      <c r="S5">
        <v>4.20048622E-14</v>
      </c>
      <c r="T5">
        <v>22.308959849422251</v>
      </c>
      <c r="U5">
        <v>100.934</v>
      </c>
      <c r="V5">
        <v>-658.79098864796572</v>
      </c>
      <c r="W5">
        <v>69.218905599999999</v>
      </c>
      <c r="X5">
        <v>94.834601000000006</v>
      </c>
      <c r="Y5">
        <v>177.97</v>
      </c>
      <c r="Z5">
        <v>252.805801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2.6847431314430721</v>
      </c>
    </row>
    <row r="6" spans="1:40" x14ac:dyDescent="0.3">
      <c r="A6">
        <v>35</v>
      </c>
      <c r="B6">
        <v>13</v>
      </c>
      <c r="C6">
        <v>9.019093324682478</v>
      </c>
      <c r="D6">
        <v>20</v>
      </c>
      <c r="E6">
        <v>7</v>
      </c>
      <c r="F6">
        <v>0.99406420205817914</v>
      </c>
      <c r="G6">
        <v>17</v>
      </c>
      <c r="H6">
        <v>12</v>
      </c>
      <c r="I6">
        <v>0.5346911246886219</v>
      </c>
      <c r="J6">
        <v>327191744.32695293</v>
      </c>
      <c r="K6">
        <v>165430000</v>
      </c>
      <c r="L6">
        <v>79925724.802946374</v>
      </c>
      <c r="M6">
        <v>77595700</v>
      </c>
      <c r="N6">
        <v>15760528.16</v>
      </c>
      <c r="O6">
        <v>227.37984700000001</v>
      </c>
      <c r="P6">
        <v>2.6820596325857489</v>
      </c>
      <c r="Q6">
        <v>44.1843334</v>
      </c>
      <c r="R6">
        <v>803.93202500000007</v>
      </c>
      <c r="S6">
        <v>8.1434397199999999E-12</v>
      </c>
      <c r="T6">
        <v>22.269390099917977</v>
      </c>
      <c r="U6">
        <v>100.934</v>
      </c>
      <c r="V6">
        <v>-657.16483674066751</v>
      </c>
      <c r="W6">
        <v>69.219731199999998</v>
      </c>
      <c r="X6">
        <v>94.8458586</v>
      </c>
      <c r="Y6">
        <v>177.97</v>
      </c>
      <c r="Z6">
        <v>253.80945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2.6820596325857489</v>
      </c>
    </row>
    <row r="7" spans="1:40" x14ac:dyDescent="0.3">
      <c r="A7">
        <v>38</v>
      </c>
      <c r="B7">
        <v>14</v>
      </c>
      <c r="C7">
        <v>10.70885224644225</v>
      </c>
      <c r="D7">
        <v>27</v>
      </c>
      <c r="E7">
        <v>11</v>
      </c>
      <c r="F7">
        <v>0.44794873433028287</v>
      </c>
      <c r="G7">
        <v>15</v>
      </c>
      <c r="H7">
        <v>12</v>
      </c>
      <c r="I7">
        <v>0.88833219697802446</v>
      </c>
      <c r="J7">
        <v>327187426.04131299</v>
      </c>
      <c r="K7">
        <v>165430000</v>
      </c>
      <c r="L7">
        <v>79925722.289782077</v>
      </c>
      <c r="M7">
        <v>77595700</v>
      </c>
      <c r="N7">
        <v>15759889.440000001</v>
      </c>
      <c r="O7">
        <v>230.05232899999999</v>
      </c>
      <c r="P7">
        <v>2.6508898217322199</v>
      </c>
      <c r="Q7">
        <v>43.972099999999998</v>
      </c>
      <c r="R7">
        <v>801.45794799999999</v>
      </c>
      <c r="S7">
        <v>3.46406703E-14</v>
      </c>
      <c r="T7">
        <v>21.926732094721533</v>
      </c>
      <c r="U7">
        <v>100.934</v>
      </c>
      <c r="V7">
        <v>-620.24539417873905</v>
      </c>
      <c r="W7">
        <v>69.219070599999995</v>
      </c>
      <c r="X7">
        <v>94.8384602</v>
      </c>
      <c r="Y7">
        <v>177.97</v>
      </c>
      <c r="Z7">
        <v>256.01804700000002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2.6508898217322199</v>
      </c>
    </row>
    <row r="8" spans="1:40" x14ac:dyDescent="0.3">
      <c r="A8">
        <v>30</v>
      </c>
      <c r="B8">
        <v>16</v>
      </c>
      <c r="C8">
        <v>13.740454699186134</v>
      </c>
      <c r="D8">
        <v>17</v>
      </c>
      <c r="E8">
        <v>9</v>
      </c>
      <c r="F8">
        <v>1.1366644562516648</v>
      </c>
      <c r="G8">
        <v>25</v>
      </c>
      <c r="H8">
        <v>14</v>
      </c>
      <c r="I8">
        <v>0.83519441820416507</v>
      </c>
      <c r="J8">
        <v>327192367.54308033</v>
      </c>
      <c r="K8">
        <v>165430000</v>
      </c>
      <c r="L8">
        <v>79925720.249132931</v>
      </c>
      <c r="M8">
        <v>77595700</v>
      </c>
      <c r="N8">
        <v>15759557.92</v>
      </c>
      <c r="O8">
        <v>226.57462000000001</v>
      </c>
      <c r="P8">
        <v>2.6915933125064275</v>
      </c>
      <c r="Q8">
        <v>44.234482900000003</v>
      </c>
      <c r="R8">
        <v>804.87998299999992</v>
      </c>
      <c r="S8">
        <v>1.6450595199999999E-14</v>
      </c>
      <c r="T8">
        <v>22.456790910110136</v>
      </c>
      <c r="U8">
        <v>100.934</v>
      </c>
      <c r="V8">
        <v>-671.43151428713202</v>
      </c>
      <c r="W8">
        <v>69.219445399999998</v>
      </c>
      <c r="X8">
        <v>94.843804500000005</v>
      </c>
      <c r="Y8">
        <v>165.7</v>
      </c>
      <c r="Z8">
        <v>252.62198699999999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2.6915933125064275</v>
      </c>
    </row>
    <row r="9" spans="1:40" x14ac:dyDescent="0.3">
      <c r="A9">
        <v>36</v>
      </c>
      <c r="B9">
        <v>19</v>
      </c>
      <c r="C9">
        <v>1.247229570596663</v>
      </c>
      <c r="D9">
        <v>12</v>
      </c>
      <c r="E9">
        <v>5</v>
      </c>
      <c r="F9">
        <v>0.95390337496509159</v>
      </c>
      <c r="G9">
        <v>27</v>
      </c>
      <c r="H9">
        <v>9</v>
      </c>
      <c r="I9">
        <v>1.1398447246256478</v>
      </c>
      <c r="J9">
        <v>327192826.1575563</v>
      </c>
      <c r="K9">
        <v>165430000</v>
      </c>
      <c r="L9">
        <v>79925720.973313764</v>
      </c>
      <c r="M9">
        <v>77595700</v>
      </c>
      <c r="N9">
        <v>15759724.24</v>
      </c>
      <c r="O9">
        <v>226.82013599999999</v>
      </c>
      <c r="P9">
        <v>2.6886812346698878</v>
      </c>
      <c r="Q9">
        <v>44.029410200000001</v>
      </c>
      <c r="R9">
        <v>804.35026099999993</v>
      </c>
      <c r="S9">
        <v>2.6044979400000002E-9</v>
      </c>
      <c r="T9">
        <v>22.274984164819024</v>
      </c>
      <c r="U9">
        <v>91.850000000000009</v>
      </c>
      <c r="V9">
        <v>-568.51197933697551</v>
      </c>
      <c r="W9">
        <v>69.452051999999995</v>
      </c>
      <c r="X9">
        <v>96.069193400000003</v>
      </c>
      <c r="Y9">
        <v>144.29</v>
      </c>
      <c r="Z9">
        <v>253.17228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2.6886812346698878</v>
      </c>
    </row>
    <row r="10" spans="1:40" x14ac:dyDescent="0.3">
      <c r="A10">
        <v>29</v>
      </c>
      <c r="B10">
        <v>19</v>
      </c>
      <c r="C10">
        <v>13.297894276959699</v>
      </c>
      <c r="D10">
        <v>12</v>
      </c>
      <c r="E10">
        <v>5</v>
      </c>
      <c r="F10">
        <v>0.58990344322665755</v>
      </c>
      <c r="G10">
        <v>10</v>
      </c>
      <c r="H10">
        <v>7</v>
      </c>
      <c r="I10">
        <v>0.84675087911989455</v>
      </c>
      <c r="J10">
        <v>327191651.00763774</v>
      </c>
      <c r="K10">
        <v>165430000</v>
      </c>
      <c r="L10">
        <v>79925730.325826764</v>
      </c>
      <c r="M10">
        <v>77595700</v>
      </c>
      <c r="N10">
        <v>15761728.800000001</v>
      </c>
      <c r="O10">
        <v>229.71812800000001</v>
      </c>
      <c r="P10">
        <v>2.6547589032761425</v>
      </c>
      <c r="Q10">
        <v>43.974069900000003</v>
      </c>
      <c r="R10">
        <v>802.08194000000003</v>
      </c>
      <c r="S10">
        <v>8.9449186399999999E-9</v>
      </c>
      <c r="T10">
        <v>21.941106550090645</v>
      </c>
      <c r="U10">
        <v>100.934</v>
      </c>
      <c r="V10">
        <v>-632.35041119091477</v>
      </c>
      <c r="W10">
        <v>69.219841900000006</v>
      </c>
      <c r="X10">
        <v>94.846947900000004</v>
      </c>
      <c r="Y10">
        <v>144.29</v>
      </c>
      <c r="Z10">
        <v>255.93430900000001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2.6547589032761425</v>
      </c>
    </row>
    <row r="11" spans="1:40" x14ac:dyDescent="0.3">
      <c r="A11">
        <v>39</v>
      </c>
      <c r="B11">
        <v>10</v>
      </c>
      <c r="C11">
        <v>15</v>
      </c>
      <c r="D11">
        <v>29</v>
      </c>
      <c r="E11">
        <v>14</v>
      </c>
      <c r="F11">
        <v>0.3</v>
      </c>
      <c r="G11">
        <v>29</v>
      </c>
      <c r="H11">
        <v>7</v>
      </c>
      <c r="I11">
        <v>1.4</v>
      </c>
      <c r="J11">
        <v>327193288.58655262</v>
      </c>
      <c r="K11">
        <v>165430000</v>
      </c>
      <c r="L11">
        <v>79925721.704274163</v>
      </c>
      <c r="M11">
        <v>77595700</v>
      </c>
      <c r="N11">
        <v>15759892.560000001</v>
      </c>
      <c r="O11">
        <v>232.02810500000001</v>
      </c>
      <c r="P11">
        <v>2.6283339995849433</v>
      </c>
      <c r="Q11">
        <v>43.8095097</v>
      </c>
      <c r="R11">
        <v>799.96344699999997</v>
      </c>
      <c r="S11">
        <v>6.0077570300000004E-8</v>
      </c>
      <c r="T11">
        <v>21.744363878866835</v>
      </c>
      <c r="U11">
        <v>100.934</v>
      </c>
      <c r="V11">
        <v>-594.13048053862917</v>
      </c>
      <c r="W11">
        <v>69.220162599999995</v>
      </c>
      <c r="X11">
        <v>94.847148799999999</v>
      </c>
      <c r="Y11">
        <v>177.97</v>
      </c>
      <c r="Z11">
        <v>254.34269399999999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2.6283339995849433</v>
      </c>
    </row>
    <row r="12" spans="1:40" x14ac:dyDescent="0.3">
      <c r="A12">
        <v>27</v>
      </c>
      <c r="B12">
        <v>10</v>
      </c>
      <c r="C12">
        <v>1</v>
      </c>
      <c r="D12">
        <v>29</v>
      </c>
      <c r="E12">
        <v>14</v>
      </c>
      <c r="F12">
        <v>0.3</v>
      </c>
      <c r="G12">
        <v>10</v>
      </c>
      <c r="H12">
        <v>7</v>
      </c>
      <c r="I12">
        <v>0.3</v>
      </c>
      <c r="J12">
        <v>327198837.1758942</v>
      </c>
      <c r="K12">
        <v>165430000</v>
      </c>
      <c r="L12">
        <v>79925762.260249853</v>
      </c>
      <c r="M12">
        <v>77595700</v>
      </c>
      <c r="N12">
        <v>15768816.559999999</v>
      </c>
      <c r="O12">
        <v>229.297202</v>
      </c>
      <c r="P12">
        <v>2.65965357884772</v>
      </c>
      <c r="Q12">
        <v>43.759220399999997</v>
      </c>
      <c r="R12">
        <v>801.42148999999995</v>
      </c>
      <c r="S12">
        <v>3.62330377E-14</v>
      </c>
      <c r="T12">
        <v>21.478921916606904</v>
      </c>
      <c r="U12">
        <v>91.850000000000009</v>
      </c>
      <c r="V12">
        <v>-471.70286217276913</v>
      </c>
      <c r="W12">
        <v>69.595135200000001</v>
      </c>
      <c r="X12">
        <v>97.136021</v>
      </c>
      <c r="Y12">
        <v>170.55</v>
      </c>
      <c r="Z12">
        <v>261.58616799999999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2.65965357884772</v>
      </c>
    </row>
    <row r="13" spans="1:40" x14ac:dyDescent="0.3">
      <c r="A13">
        <v>39</v>
      </c>
      <c r="B13">
        <v>10</v>
      </c>
      <c r="C13">
        <v>15</v>
      </c>
      <c r="D13">
        <v>29</v>
      </c>
      <c r="E13">
        <v>5</v>
      </c>
      <c r="F13">
        <v>0.3</v>
      </c>
      <c r="G13">
        <v>10</v>
      </c>
      <c r="H13">
        <v>7</v>
      </c>
      <c r="I13">
        <v>0.3</v>
      </c>
      <c r="J13">
        <v>327198864.06360418</v>
      </c>
      <c r="K13">
        <v>165430000</v>
      </c>
      <c r="L13">
        <v>79925761.812593117</v>
      </c>
      <c r="M13">
        <v>77595700</v>
      </c>
      <c r="N13">
        <v>15768718.880000001</v>
      </c>
      <c r="O13">
        <v>232.02810500000001</v>
      </c>
      <c r="P13">
        <v>2.6283503120103844</v>
      </c>
      <c r="Q13">
        <v>43.8095097</v>
      </c>
      <c r="R13">
        <v>799.96344699999997</v>
      </c>
      <c r="S13">
        <v>6.0077570300000004E-8</v>
      </c>
      <c r="T13">
        <v>21.744363878866835</v>
      </c>
      <c r="U13">
        <v>100.934</v>
      </c>
      <c r="V13">
        <v>-594.13048053862917</v>
      </c>
      <c r="W13">
        <v>69.220162599999995</v>
      </c>
      <c r="X13">
        <v>94.847148799999999</v>
      </c>
      <c r="Y13">
        <v>177.97</v>
      </c>
      <c r="Z13">
        <v>261.66170599999998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2.6283503120103844</v>
      </c>
    </row>
    <row r="14" spans="1:40" x14ac:dyDescent="0.3">
      <c r="A14">
        <v>39</v>
      </c>
      <c r="B14">
        <v>10</v>
      </c>
      <c r="C14">
        <v>15</v>
      </c>
      <c r="D14">
        <v>29</v>
      </c>
      <c r="E14">
        <v>14</v>
      </c>
      <c r="F14">
        <v>0.3</v>
      </c>
      <c r="G14">
        <v>10</v>
      </c>
      <c r="H14">
        <v>7</v>
      </c>
      <c r="I14">
        <v>0.3</v>
      </c>
      <c r="J14">
        <v>327198812.85793561</v>
      </c>
      <c r="K14">
        <v>165430000</v>
      </c>
      <c r="L14">
        <v>79925762.161843449</v>
      </c>
      <c r="M14">
        <v>77595700</v>
      </c>
      <c r="N14">
        <v>15768794.48</v>
      </c>
      <c r="O14">
        <v>231.892517</v>
      </c>
      <c r="P14">
        <v>2.629886963582778</v>
      </c>
      <c r="Q14">
        <v>43.821377599999998</v>
      </c>
      <c r="R14">
        <v>799.76133500000003</v>
      </c>
      <c r="S14">
        <v>4.1193969199999996E-15</v>
      </c>
      <c r="T14">
        <v>21.62278783969435</v>
      </c>
      <c r="U14">
        <v>100.934</v>
      </c>
      <c r="V14">
        <v>-600.27699494628689</v>
      </c>
      <c r="W14">
        <v>69.220162599999995</v>
      </c>
      <c r="X14">
        <v>94.847148799999999</v>
      </c>
      <c r="Y14">
        <v>170.55</v>
      </c>
      <c r="Z14">
        <v>261.61849999999998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2.629886963582778</v>
      </c>
    </row>
    <row r="15" spans="1:40" x14ac:dyDescent="0.3">
      <c r="A15">
        <v>39</v>
      </c>
      <c r="B15">
        <v>10</v>
      </c>
      <c r="C15">
        <v>15</v>
      </c>
      <c r="D15">
        <v>10</v>
      </c>
      <c r="E15">
        <v>5</v>
      </c>
      <c r="F15">
        <v>0.3</v>
      </c>
      <c r="G15">
        <v>29</v>
      </c>
      <c r="H15">
        <v>7</v>
      </c>
      <c r="I15">
        <v>1.4</v>
      </c>
      <c r="J15">
        <v>327193275.20985746</v>
      </c>
      <c r="K15">
        <v>165430000</v>
      </c>
      <c r="L15">
        <v>79925721.683730036</v>
      </c>
      <c r="M15">
        <v>77595700</v>
      </c>
      <c r="N15">
        <v>15759887.76</v>
      </c>
      <c r="O15">
        <v>231.874314</v>
      </c>
      <c r="P15">
        <v>2.6300772070421181</v>
      </c>
      <c r="Q15">
        <v>43.7789316</v>
      </c>
      <c r="R15">
        <v>800.813852</v>
      </c>
      <c r="S15">
        <v>6.4477579100000007E-8</v>
      </c>
      <c r="T15">
        <v>21.630064753049634</v>
      </c>
      <c r="U15">
        <v>100.934</v>
      </c>
      <c r="V15">
        <v>-610.17864455468793</v>
      </c>
      <c r="W15">
        <v>69.220162599999995</v>
      </c>
      <c r="X15">
        <v>94.847148799999999</v>
      </c>
      <c r="Y15">
        <v>144.29</v>
      </c>
      <c r="Z15">
        <v>254.28618299999999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2.6300772070421181</v>
      </c>
    </row>
    <row r="16" spans="1:40" x14ac:dyDescent="0.3">
      <c r="A16">
        <v>39</v>
      </c>
      <c r="B16">
        <v>10</v>
      </c>
      <c r="C16">
        <v>1</v>
      </c>
      <c r="D16">
        <v>29</v>
      </c>
      <c r="E16">
        <v>5</v>
      </c>
      <c r="F16">
        <v>0.3</v>
      </c>
      <c r="G16">
        <v>29</v>
      </c>
      <c r="H16">
        <v>14</v>
      </c>
      <c r="I16">
        <v>1.4</v>
      </c>
      <c r="J16">
        <v>327192219.51983106</v>
      </c>
      <c r="K16">
        <v>165430000</v>
      </c>
      <c r="L16">
        <v>79925720.030132428</v>
      </c>
      <c r="M16">
        <v>77595700</v>
      </c>
      <c r="N16">
        <v>15759504.880000001</v>
      </c>
      <c r="O16">
        <v>229.50906800000001</v>
      </c>
      <c r="P16">
        <v>2.6571788069364812</v>
      </c>
      <c r="Q16">
        <v>43.746419400000001</v>
      </c>
      <c r="R16">
        <v>801.57467900000006</v>
      </c>
      <c r="S16">
        <v>5.2133700500000001E-8</v>
      </c>
      <c r="T16">
        <v>21.604772542190808</v>
      </c>
      <c r="U16">
        <v>100.934</v>
      </c>
      <c r="V16">
        <v>-465.13317324011012</v>
      </c>
      <c r="W16">
        <v>69.580995900000005</v>
      </c>
      <c r="X16">
        <v>96.873567499999993</v>
      </c>
      <c r="Y16">
        <v>177.97</v>
      </c>
      <c r="Z16">
        <v>254.411203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2.6571788069364812</v>
      </c>
    </row>
    <row r="17" spans="1:40" x14ac:dyDescent="0.3">
      <c r="A17">
        <v>39</v>
      </c>
      <c r="B17">
        <v>19</v>
      </c>
      <c r="C17">
        <v>1</v>
      </c>
      <c r="D17">
        <v>10</v>
      </c>
      <c r="E17">
        <v>5</v>
      </c>
      <c r="F17">
        <v>0.3</v>
      </c>
      <c r="G17">
        <v>10</v>
      </c>
      <c r="H17">
        <v>7</v>
      </c>
      <c r="I17">
        <v>1.4</v>
      </c>
      <c r="J17">
        <v>327192406.675188</v>
      </c>
      <c r="K17">
        <v>165430000</v>
      </c>
      <c r="L17">
        <v>79925726.206316382</v>
      </c>
      <c r="M17">
        <v>77595700</v>
      </c>
      <c r="N17">
        <v>15760851.52</v>
      </c>
      <c r="O17">
        <v>229.32384999999999</v>
      </c>
      <c r="P17">
        <v>2.6593254846398087</v>
      </c>
      <c r="Q17">
        <v>43.699978299999998</v>
      </c>
      <c r="R17">
        <v>802.76826599999993</v>
      </c>
      <c r="S17">
        <v>5.6733091800000002E-8</v>
      </c>
      <c r="T17">
        <v>21.81736770201309</v>
      </c>
      <c r="U17">
        <v>91.850000000000009</v>
      </c>
      <c r="V17">
        <v>-486.30778255549581</v>
      </c>
      <c r="W17">
        <v>69.590642799999998</v>
      </c>
      <c r="X17">
        <v>96.618687899999998</v>
      </c>
      <c r="Y17">
        <v>144.29</v>
      </c>
      <c r="Z17">
        <v>255.450456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2.6593254846398087</v>
      </c>
    </row>
    <row r="18" spans="1:40" x14ac:dyDescent="0.3">
      <c r="A18">
        <v>27</v>
      </c>
      <c r="B18">
        <v>10</v>
      </c>
      <c r="C18">
        <v>15</v>
      </c>
      <c r="D18">
        <v>29</v>
      </c>
      <c r="E18">
        <v>5</v>
      </c>
      <c r="F18">
        <v>0.3</v>
      </c>
      <c r="G18">
        <v>10</v>
      </c>
      <c r="H18">
        <v>7</v>
      </c>
      <c r="I18">
        <v>1.4</v>
      </c>
      <c r="J18">
        <v>327192389.01661241</v>
      </c>
      <c r="K18">
        <v>165430000</v>
      </c>
      <c r="L18">
        <v>79925726.206316382</v>
      </c>
      <c r="M18">
        <v>77595700</v>
      </c>
      <c r="N18">
        <v>15760851.52</v>
      </c>
      <c r="O18">
        <v>232.01577599999999</v>
      </c>
      <c r="P18">
        <v>2.6284710335951567</v>
      </c>
      <c r="Q18">
        <v>43.808899500000003</v>
      </c>
      <c r="R18">
        <v>799.97119199999997</v>
      </c>
      <c r="S18">
        <v>6.0032978000000005E-8</v>
      </c>
      <c r="T18">
        <v>21.745513784577899</v>
      </c>
      <c r="U18">
        <v>100.934</v>
      </c>
      <c r="V18">
        <v>-593.50203779913784</v>
      </c>
      <c r="W18">
        <v>69.222164800000002</v>
      </c>
      <c r="X18">
        <v>94.861836199999999</v>
      </c>
      <c r="Y18">
        <v>177.97</v>
      </c>
      <c r="Z18">
        <v>255.54487499999999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2.6284710335951567</v>
      </c>
    </row>
    <row r="19" spans="1:40" x14ac:dyDescent="0.3">
      <c r="A19">
        <v>35</v>
      </c>
      <c r="B19">
        <v>10</v>
      </c>
      <c r="C19">
        <v>1.9342755135257428</v>
      </c>
      <c r="D19">
        <v>17</v>
      </c>
      <c r="E19">
        <v>13</v>
      </c>
      <c r="F19">
        <v>0.43711746102677818</v>
      </c>
      <c r="G19">
        <v>28</v>
      </c>
      <c r="H19">
        <v>7</v>
      </c>
      <c r="I19">
        <v>1.2111145871961584</v>
      </c>
      <c r="J19">
        <v>327193490.2975508</v>
      </c>
      <c r="K19">
        <v>165430000</v>
      </c>
      <c r="L19">
        <v>79925721.993535623</v>
      </c>
      <c r="M19">
        <v>77595700</v>
      </c>
      <c r="N19">
        <v>15759960.4</v>
      </c>
      <c r="O19">
        <v>229.70253299999999</v>
      </c>
      <c r="P19">
        <v>2.6549445763548025</v>
      </c>
      <c r="Q19">
        <v>43.8873222</v>
      </c>
      <c r="R19">
        <v>802.45874500000002</v>
      </c>
      <c r="S19">
        <v>9.9570410700000008E-16</v>
      </c>
      <c r="T19">
        <v>21.801015878825584</v>
      </c>
      <c r="U19">
        <v>100.934</v>
      </c>
      <c r="V19">
        <v>-602.42504787884775</v>
      </c>
      <c r="W19">
        <v>69.303180400000002</v>
      </c>
      <c r="X19">
        <v>95.150629300000006</v>
      </c>
      <c r="Y19">
        <v>121.52199999999999</v>
      </c>
      <c r="Z19">
        <v>253.68977000000001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2.6549445763548025</v>
      </c>
    </row>
    <row r="20" spans="1:40" x14ac:dyDescent="0.3">
      <c r="A20">
        <v>27</v>
      </c>
      <c r="B20">
        <v>10</v>
      </c>
      <c r="C20">
        <v>3.6934499038042126</v>
      </c>
      <c r="D20">
        <v>11</v>
      </c>
      <c r="E20">
        <v>5</v>
      </c>
      <c r="F20">
        <v>0.30283629525666872</v>
      </c>
      <c r="G20">
        <v>17</v>
      </c>
      <c r="H20">
        <v>7</v>
      </c>
      <c r="I20">
        <v>0.70781495281334394</v>
      </c>
      <c r="J20">
        <v>327194767.46668476</v>
      </c>
      <c r="K20">
        <v>165430000</v>
      </c>
      <c r="L20">
        <v>79925724.098487914</v>
      </c>
      <c r="M20">
        <v>77595700</v>
      </c>
      <c r="N20">
        <v>15760448</v>
      </c>
      <c r="O20">
        <v>231.68279699999999</v>
      </c>
      <c r="P20">
        <v>2.6322556921484344</v>
      </c>
      <c r="Q20">
        <v>43.784678200000002</v>
      </c>
      <c r="R20">
        <v>800.7399630000001</v>
      </c>
      <c r="S20">
        <v>6.0736919600000004E-8</v>
      </c>
      <c r="T20">
        <v>21.672290301757997</v>
      </c>
      <c r="U20">
        <v>100.934</v>
      </c>
      <c r="V20">
        <v>-601.11291653226283</v>
      </c>
      <c r="W20">
        <v>69.242210099999994</v>
      </c>
      <c r="X20">
        <v>94.939925599999995</v>
      </c>
      <c r="Y20">
        <v>144.29</v>
      </c>
      <c r="Z20">
        <v>254.17216500000001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2.6322556921484344</v>
      </c>
    </row>
    <row r="21" spans="1:40" x14ac:dyDescent="0.3">
      <c r="A21">
        <v>27</v>
      </c>
      <c r="B21">
        <v>10</v>
      </c>
      <c r="C21">
        <v>15</v>
      </c>
      <c r="D21">
        <v>10</v>
      </c>
      <c r="E21">
        <v>5</v>
      </c>
      <c r="F21">
        <v>0.3</v>
      </c>
      <c r="G21">
        <v>29</v>
      </c>
      <c r="H21">
        <v>7</v>
      </c>
      <c r="I21">
        <v>1.4</v>
      </c>
      <c r="J21">
        <v>327193275.22082895</v>
      </c>
      <c r="K21">
        <v>165430000</v>
      </c>
      <c r="L21">
        <v>79925721.683730036</v>
      </c>
      <c r="M21">
        <v>77595700</v>
      </c>
      <c r="N21">
        <v>15759887.76</v>
      </c>
      <c r="O21">
        <v>231.861986</v>
      </c>
      <c r="P21">
        <v>2.6302170471246424</v>
      </c>
      <c r="Q21">
        <v>43.778307699999999</v>
      </c>
      <c r="R21">
        <v>800.82167900000002</v>
      </c>
      <c r="S21">
        <v>6.4431306399999995E-8</v>
      </c>
      <c r="T21">
        <v>21.631190380562721</v>
      </c>
      <c r="U21">
        <v>100.934</v>
      </c>
      <c r="V21">
        <v>-609.55546420956773</v>
      </c>
      <c r="W21">
        <v>69.222164800000002</v>
      </c>
      <c r="X21">
        <v>94.861836199999999</v>
      </c>
      <c r="Y21">
        <v>144.29</v>
      </c>
      <c r="Z21">
        <v>254.28606099999999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2.6302170471246424</v>
      </c>
    </row>
    <row r="22" spans="1:40" x14ac:dyDescent="0.3">
      <c r="A22">
        <v>39</v>
      </c>
      <c r="B22">
        <v>19</v>
      </c>
      <c r="C22">
        <v>15</v>
      </c>
      <c r="D22">
        <v>29</v>
      </c>
      <c r="E22">
        <v>14</v>
      </c>
      <c r="F22">
        <v>0.3</v>
      </c>
      <c r="G22">
        <v>10</v>
      </c>
      <c r="H22">
        <v>7</v>
      </c>
      <c r="I22">
        <v>1.4</v>
      </c>
      <c r="J22">
        <v>327192393.3036356</v>
      </c>
      <c r="K22">
        <v>165430000</v>
      </c>
      <c r="L22">
        <v>79925726.23281832</v>
      </c>
      <c r="M22">
        <v>77595700</v>
      </c>
      <c r="N22">
        <v>15760856.959999999</v>
      </c>
      <c r="O22">
        <v>232.039435</v>
      </c>
      <c r="P22">
        <v>2.6282030442944748</v>
      </c>
      <c r="Q22">
        <v>43.809836599999997</v>
      </c>
      <c r="R22">
        <v>799.95648600000004</v>
      </c>
      <c r="S22">
        <v>6.01140586E-8</v>
      </c>
      <c r="T22">
        <v>21.743505759029535</v>
      </c>
      <c r="U22">
        <v>100.934</v>
      </c>
      <c r="V22">
        <v>-594.71726061107506</v>
      </c>
      <c r="W22">
        <v>69.218572699999996</v>
      </c>
      <c r="X22">
        <v>94.8255549</v>
      </c>
      <c r="Y22">
        <v>177.97</v>
      </c>
      <c r="Z22">
        <v>255.545096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2.6282030442944748</v>
      </c>
    </row>
    <row r="23" spans="1:40" x14ac:dyDescent="0.3">
      <c r="A23">
        <v>38</v>
      </c>
      <c r="B23">
        <v>15</v>
      </c>
      <c r="C23">
        <v>14.87110090720093</v>
      </c>
      <c r="D23">
        <v>14</v>
      </c>
      <c r="E23">
        <v>12</v>
      </c>
      <c r="F23">
        <v>0.4598590993873905</v>
      </c>
      <c r="G23">
        <v>23</v>
      </c>
      <c r="H23">
        <v>7</v>
      </c>
      <c r="I23">
        <v>1.3401916036752708</v>
      </c>
      <c r="J23">
        <v>327193314.03390551</v>
      </c>
      <c r="K23">
        <v>165430000</v>
      </c>
      <c r="L23">
        <v>79925721.726461843</v>
      </c>
      <c r="M23">
        <v>77595700</v>
      </c>
      <c r="N23">
        <v>15759898.4</v>
      </c>
      <c r="O23">
        <v>230.88563099999999</v>
      </c>
      <c r="P23">
        <v>2.641339661825171</v>
      </c>
      <c r="Q23">
        <v>43.830113500000003</v>
      </c>
      <c r="R23">
        <v>802.67819199999997</v>
      </c>
      <c r="S23">
        <v>1.4894812000000002E-14</v>
      </c>
      <c r="T23">
        <v>21.520514139268254</v>
      </c>
      <c r="U23">
        <v>100.934</v>
      </c>
      <c r="V23">
        <v>-632.75511883804506</v>
      </c>
      <c r="W23">
        <v>69.218746699999997</v>
      </c>
      <c r="X23">
        <v>94.832715500000006</v>
      </c>
      <c r="Y23">
        <v>121.52199999999999</v>
      </c>
      <c r="Z23">
        <v>253.91479000000001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2.641339661825171</v>
      </c>
    </row>
    <row r="24" spans="1:40" x14ac:dyDescent="0.3">
      <c r="A24">
        <v>29</v>
      </c>
      <c r="B24">
        <v>10</v>
      </c>
      <c r="C24">
        <v>10.308116100321861</v>
      </c>
      <c r="D24">
        <v>16</v>
      </c>
      <c r="E24">
        <v>14</v>
      </c>
      <c r="F24">
        <v>0.33930951701575002</v>
      </c>
      <c r="G24">
        <v>20</v>
      </c>
      <c r="H24">
        <v>7</v>
      </c>
      <c r="I24">
        <v>1.3512537568243395</v>
      </c>
      <c r="J24">
        <v>327193300.46220124</v>
      </c>
      <c r="K24">
        <v>165430000</v>
      </c>
      <c r="L24">
        <v>79925721.726461843</v>
      </c>
      <c r="M24">
        <v>77595700</v>
      </c>
      <c r="N24">
        <v>15759898.4</v>
      </c>
      <c r="O24">
        <v>232.06747100000001</v>
      </c>
      <c r="P24">
        <v>2.6278881855553555</v>
      </c>
      <c r="Q24">
        <v>43.734170599999999</v>
      </c>
      <c r="R24">
        <v>801.77773000000002</v>
      </c>
      <c r="S24">
        <v>4.0708937500000003E-15</v>
      </c>
      <c r="T24">
        <v>21.274923335710248</v>
      </c>
      <c r="U24">
        <v>100.934</v>
      </c>
      <c r="V24">
        <v>-619.38104070614565</v>
      </c>
      <c r="W24">
        <v>69.222587599999997</v>
      </c>
      <c r="X24">
        <v>94.864141700000005</v>
      </c>
      <c r="Y24">
        <v>121.52199999999999</v>
      </c>
      <c r="Z24">
        <v>254.27033399999999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2.6278881855553555</v>
      </c>
    </row>
    <row r="25" spans="1:40" x14ac:dyDescent="0.3">
      <c r="A25">
        <v>28</v>
      </c>
      <c r="B25">
        <v>10</v>
      </c>
      <c r="C25">
        <v>11.728728375685165</v>
      </c>
      <c r="D25">
        <v>21</v>
      </c>
      <c r="E25">
        <v>11</v>
      </c>
      <c r="F25">
        <v>0.32665683230228926</v>
      </c>
      <c r="G25">
        <v>19</v>
      </c>
      <c r="H25">
        <v>7</v>
      </c>
      <c r="I25">
        <v>1.2963421147083725</v>
      </c>
      <c r="J25">
        <v>327193439.38516814</v>
      </c>
      <c r="K25">
        <v>165430000</v>
      </c>
      <c r="L25">
        <v>79925721.923685551</v>
      </c>
      <c r="M25">
        <v>77595700</v>
      </c>
      <c r="N25">
        <v>15759944.640000001</v>
      </c>
      <c r="O25">
        <v>231.47181499999999</v>
      </c>
      <c r="P25">
        <v>2.6346510463970656</v>
      </c>
      <c r="Q25">
        <v>43.843259500000002</v>
      </c>
      <c r="R25">
        <v>800.24433900000008</v>
      </c>
      <c r="S25">
        <v>4.8987820200000004E-13</v>
      </c>
      <c r="T25">
        <v>21.65663783074184</v>
      </c>
      <c r="U25">
        <v>100.934</v>
      </c>
      <c r="V25">
        <v>-607.79568074241706</v>
      </c>
      <c r="W25">
        <v>69.222447700000004</v>
      </c>
      <c r="X25">
        <v>94.863920699999994</v>
      </c>
      <c r="Y25">
        <v>165.7</v>
      </c>
      <c r="Z25">
        <v>254.060046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2.6346510463970656</v>
      </c>
    </row>
    <row r="26" spans="1:40" x14ac:dyDescent="0.3">
      <c r="A26">
        <v>28</v>
      </c>
      <c r="B26">
        <v>10</v>
      </c>
      <c r="C26">
        <v>12.520331300165207</v>
      </c>
      <c r="D26">
        <v>10</v>
      </c>
      <c r="E26">
        <v>8</v>
      </c>
      <c r="F26">
        <v>0.55448993296484161</v>
      </c>
      <c r="G26">
        <v>14</v>
      </c>
      <c r="H26">
        <v>12</v>
      </c>
      <c r="I26">
        <v>1.016302740463259</v>
      </c>
      <c r="J26">
        <v>327183399.55698395</v>
      </c>
      <c r="K26">
        <v>165430000</v>
      </c>
      <c r="L26">
        <v>79925723.926122606</v>
      </c>
      <c r="M26">
        <v>77595700</v>
      </c>
      <c r="N26">
        <v>15760170.560000001</v>
      </c>
      <c r="O26">
        <v>230.195076</v>
      </c>
      <c r="P26">
        <v>2.6492340957474481</v>
      </c>
      <c r="Q26">
        <v>43.880015899999997</v>
      </c>
      <c r="R26">
        <v>803.29627400000004</v>
      </c>
      <c r="S26">
        <v>2.0980426499999999E-11</v>
      </c>
      <c r="T26">
        <v>21.688892745589211</v>
      </c>
      <c r="U26">
        <v>100.934</v>
      </c>
      <c r="V26">
        <v>-638.25027638789754</v>
      </c>
      <c r="W26">
        <v>69.222183200000003</v>
      </c>
      <c r="X26">
        <v>94.861615700000002</v>
      </c>
      <c r="Y26">
        <v>121.52199999999999</v>
      </c>
      <c r="Z26">
        <v>258.29315600000001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2.6492340957474481</v>
      </c>
    </row>
    <row r="27" spans="1:40" x14ac:dyDescent="0.3">
      <c r="A27">
        <v>29</v>
      </c>
      <c r="B27">
        <v>10</v>
      </c>
      <c r="C27">
        <v>14.577176836332091</v>
      </c>
      <c r="D27">
        <v>16</v>
      </c>
      <c r="E27">
        <v>12</v>
      </c>
      <c r="F27">
        <v>0.46673225585447897</v>
      </c>
      <c r="G27">
        <v>13</v>
      </c>
      <c r="H27">
        <v>7</v>
      </c>
      <c r="I27">
        <v>0.98684327560623308</v>
      </c>
      <c r="J27">
        <v>327193913.37191194</v>
      </c>
      <c r="K27">
        <v>165430000</v>
      </c>
      <c r="L27">
        <v>79925723.809637338</v>
      </c>
      <c r="M27">
        <v>77595700</v>
      </c>
      <c r="N27">
        <v>15760364.4</v>
      </c>
      <c r="O27">
        <v>229.89110299999999</v>
      </c>
      <c r="P27">
        <v>2.6527680863295853</v>
      </c>
      <c r="Q27">
        <v>43.961427399999998</v>
      </c>
      <c r="R27">
        <v>801.85885700000006</v>
      </c>
      <c r="S27">
        <v>2.02145058E-11</v>
      </c>
      <c r="T27">
        <v>21.909732364760441</v>
      </c>
      <c r="U27">
        <v>100.934</v>
      </c>
      <c r="V27">
        <v>-628.59745244438625</v>
      </c>
      <c r="W27">
        <v>69.221269100000001</v>
      </c>
      <c r="X27">
        <v>94.856721300000004</v>
      </c>
      <c r="Y27">
        <v>144.29</v>
      </c>
      <c r="Z27">
        <v>253.879503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2.6527680863295853</v>
      </c>
    </row>
    <row r="28" spans="1:40" x14ac:dyDescent="0.3">
      <c r="A28">
        <v>27</v>
      </c>
      <c r="B28">
        <v>10</v>
      </c>
      <c r="C28">
        <v>8.2801430301907857</v>
      </c>
      <c r="D28">
        <v>29</v>
      </c>
      <c r="E28">
        <v>5</v>
      </c>
      <c r="F28">
        <v>0.3</v>
      </c>
      <c r="G28">
        <v>23</v>
      </c>
      <c r="H28">
        <v>7</v>
      </c>
      <c r="I28">
        <v>1.4</v>
      </c>
      <c r="J28">
        <v>327193305.17960793</v>
      </c>
      <c r="K28">
        <v>165430000</v>
      </c>
      <c r="L28">
        <v>79925721.716600657</v>
      </c>
      <c r="M28">
        <v>77595700</v>
      </c>
      <c r="N28">
        <v>15759895.92</v>
      </c>
      <c r="O28">
        <v>231.994011</v>
      </c>
      <c r="P28">
        <v>2.6287203099180259</v>
      </c>
      <c r="Q28">
        <v>43.8081928</v>
      </c>
      <c r="R28">
        <v>799.98528999999996</v>
      </c>
      <c r="S28">
        <v>5.9955667999999998E-8</v>
      </c>
      <c r="T28">
        <v>21.747243711498541</v>
      </c>
      <c r="U28">
        <v>100.934</v>
      </c>
      <c r="V28">
        <v>-592.39786032330028</v>
      </c>
      <c r="W28">
        <v>69.225333500000005</v>
      </c>
      <c r="X28">
        <v>94.875442399999997</v>
      </c>
      <c r="Y28">
        <v>177.97</v>
      </c>
      <c r="Z28">
        <v>254.340091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2.6287203099180259</v>
      </c>
    </row>
    <row r="29" spans="1:40" x14ac:dyDescent="0.3">
      <c r="A29">
        <v>39</v>
      </c>
      <c r="B29">
        <v>10</v>
      </c>
      <c r="C29">
        <v>15</v>
      </c>
      <c r="D29">
        <v>29</v>
      </c>
      <c r="E29">
        <v>14</v>
      </c>
      <c r="F29">
        <v>0.3</v>
      </c>
      <c r="G29">
        <v>16</v>
      </c>
      <c r="H29">
        <v>14</v>
      </c>
      <c r="I29">
        <v>1.4</v>
      </c>
      <c r="J29">
        <v>327184852.33292425</v>
      </c>
      <c r="K29">
        <v>165430000</v>
      </c>
      <c r="L29">
        <v>79925720.964068905</v>
      </c>
      <c r="M29">
        <v>77595700</v>
      </c>
      <c r="N29">
        <v>15759553.279999999</v>
      </c>
      <c r="O29">
        <v>231.892517</v>
      </c>
      <c r="P29">
        <v>2.6298460947610729</v>
      </c>
      <c r="Q29">
        <v>43.821377599999998</v>
      </c>
      <c r="R29">
        <v>799.76133500000003</v>
      </c>
      <c r="S29">
        <v>4.1193969199999996E-15</v>
      </c>
      <c r="T29">
        <v>21.62278783969435</v>
      </c>
      <c r="U29">
        <v>100.934</v>
      </c>
      <c r="V29">
        <v>-600.27699494628689</v>
      </c>
      <c r="W29">
        <v>69.220162599999995</v>
      </c>
      <c r="X29">
        <v>94.847148799999999</v>
      </c>
      <c r="Y29">
        <v>170.55</v>
      </c>
      <c r="Z29">
        <v>257.54976299999998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2.6298460947610729</v>
      </c>
    </row>
    <row r="30" spans="1:40" x14ac:dyDescent="0.3">
      <c r="A30">
        <v>27</v>
      </c>
      <c r="B30">
        <v>10</v>
      </c>
      <c r="C30">
        <v>2.9470606700343382</v>
      </c>
      <c r="D30">
        <v>11</v>
      </c>
      <c r="E30">
        <v>9</v>
      </c>
      <c r="F30">
        <v>0.3</v>
      </c>
      <c r="G30">
        <v>23</v>
      </c>
      <c r="H30">
        <v>14</v>
      </c>
      <c r="I30">
        <v>1.4</v>
      </c>
      <c r="J30">
        <v>327192203.5900448</v>
      </c>
      <c r="K30">
        <v>165430000</v>
      </c>
      <c r="L30">
        <v>79925720.038966417</v>
      </c>
      <c r="M30">
        <v>77595700</v>
      </c>
      <c r="N30">
        <v>15759507.279999999</v>
      </c>
      <c r="O30">
        <v>232.16728599999999</v>
      </c>
      <c r="P30">
        <v>2.6267551780543568</v>
      </c>
      <c r="Q30">
        <v>43.693156700000003</v>
      </c>
      <c r="R30">
        <v>802.00241900000003</v>
      </c>
      <c r="S30">
        <v>7.7507769899999995E-11</v>
      </c>
      <c r="T30">
        <v>21.26631063103919</v>
      </c>
      <c r="U30">
        <v>100.934</v>
      </c>
      <c r="V30">
        <v>-604.2930000533056</v>
      </c>
      <c r="W30">
        <v>69.255787299999994</v>
      </c>
      <c r="X30">
        <v>94.984992000000005</v>
      </c>
      <c r="Y30">
        <v>121.52199999999999</v>
      </c>
      <c r="Z30">
        <v>254.55993599999999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2.6267551780543568</v>
      </c>
    </row>
    <row r="31" spans="1:40" x14ac:dyDescent="0.3">
      <c r="A31">
        <v>28</v>
      </c>
      <c r="B31">
        <v>19</v>
      </c>
      <c r="C31">
        <v>8.5734042191336322</v>
      </c>
      <c r="D31">
        <v>28</v>
      </c>
      <c r="E31">
        <v>12</v>
      </c>
      <c r="F31">
        <v>0.3</v>
      </c>
      <c r="G31">
        <v>23</v>
      </c>
      <c r="H31">
        <v>7</v>
      </c>
      <c r="I31">
        <v>0.67865490118215654</v>
      </c>
      <c r="J31">
        <v>327194974.69850671</v>
      </c>
      <c r="K31">
        <v>165430000</v>
      </c>
      <c r="L31">
        <v>79925724.195867121</v>
      </c>
      <c r="M31">
        <v>77595700</v>
      </c>
      <c r="N31">
        <v>15760474.48</v>
      </c>
      <c r="O31">
        <v>231.89292699999999</v>
      </c>
      <c r="P31">
        <v>2.6298710777690268</v>
      </c>
      <c r="Q31">
        <v>43.821353899999998</v>
      </c>
      <c r="R31">
        <v>799.776208</v>
      </c>
      <c r="S31">
        <v>1.2165227900000001E-12</v>
      </c>
      <c r="T31">
        <v>21.631459980065689</v>
      </c>
      <c r="U31">
        <v>100.934</v>
      </c>
      <c r="V31">
        <v>-599.68117408059459</v>
      </c>
      <c r="W31">
        <v>69.221374499999996</v>
      </c>
      <c r="X31">
        <v>94.857481100000001</v>
      </c>
      <c r="Y31">
        <v>170.55</v>
      </c>
      <c r="Z31">
        <v>254.03334899999999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2.6298710777690268</v>
      </c>
    </row>
    <row r="32" spans="1:40" x14ac:dyDescent="0.3">
      <c r="A32">
        <v>27</v>
      </c>
      <c r="B32">
        <v>19</v>
      </c>
      <c r="C32">
        <v>15</v>
      </c>
      <c r="D32">
        <v>29</v>
      </c>
      <c r="E32">
        <v>5</v>
      </c>
      <c r="F32">
        <v>0.3</v>
      </c>
      <c r="G32">
        <v>15</v>
      </c>
      <c r="H32">
        <v>7</v>
      </c>
      <c r="I32">
        <v>1.4</v>
      </c>
      <c r="J32">
        <v>327193474.77346039</v>
      </c>
      <c r="K32">
        <v>165430000</v>
      </c>
      <c r="L32">
        <v>79925722.135084718</v>
      </c>
      <c r="M32">
        <v>77595700</v>
      </c>
      <c r="N32">
        <v>15759991.760000002</v>
      </c>
      <c r="O32">
        <v>232.02761799999999</v>
      </c>
      <c r="P32">
        <v>2.6283400609004288</v>
      </c>
      <c r="Q32">
        <v>43.809244100000001</v>
      </c>
      <c r="R32">
        <v>799.96134299999994</v>
      </c>
      <c r="S32">
        <v>6.00695235E-8</v>
      </c>
      <c r="T32">
        <v>21.744687611869093</v>
      </c>
      <c r="U32">
        <v>100.934</v>
      </c>
      <c r="V32">
        <v>-594.20777391369688</v>
      </c>
      <c r="W32">
        <v>69.221072300000003</v>
      </c>
      <c r="X32">
        <v>94.855332599999997</v>
      </c>
      <c r="Y32">
        <v>177.97</v>
      </c>
      <c r="Z32">
        <v>254.35496000000001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2.6283400609004288</v>
      </c>
    </row>
    <row r="33" spans="1:40" x14ac:dyDescent="0.3">
      <c r="A33">
        <v>27</v>
      </c>
      <c r="B33">
        <v>10</v>
      </c>
      <c r="C33">
        <v>13.553415813406433</v>
      </c>
      <c r="D33">
        <v>29</v>
      </c>
      <c r="E33">
        <v>14</v>
      </c>
      <c r="F33">
        <v>0.3</v>
      </c>
      <c r="G33">
        <v>22</v>
      </c>
      <c r="H33">
        <v>7</v>
      </c>
      <c r="I33">
        <v>1.4</v>
      </c>
      <c r="J33">
        <v>327193313.50449634</v>
      </c>
      <c r="K33">
        <v>165430000</v>
      </c>
      <c r="L33">
        <v>79925721.72358565</v>
      </c>
      <c r="M33">
        <v>77595700</v>
      </c>
      <c r="N33">
        <v>15759897.68</v>
      </c>
      <c r="O33">
        <v>231.877565</v>
      </c>
      <c r="P33">
        <v>2.6300404446046302</v>
      </c>
      <c r="Q33">
        <v>43.820694199999998</v>
      </c>
      <c r="R33">
        <v>799.770939</v>
      </c>
      <c r="S33">
        <v>4.1080969800000004E-15</v>
      </c>
      <c r="T33">
        <v>21.624173384864346</v>
      </c>
      <c r="U33">
        <v>100.934</v>
      </c>
      <c r="V33">
        <v>-599.53213259317943</v>
      </c>
      <c r="W33">
        <v>69.222518199999996</v>
      </c>
      <c r="X33">
        <v>94.864512399999995</v>
      </c>
      <c r="Y33">
        <v>170.55</v>
      </c>
      <c r="Z33">
        <v>254.19528199999999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2.6300404446046302</v>
      </c>
    </row>
    <row r="34" spans="1:40" x14ac:dyDescent="0.3">
      <c r="A34">
        <v>27</v>
      </c>
      <c r="B34">
        <v>19</v>
      </c>
      <c r="C34">
        <v>8.566021913829033</v>
      </c>
      <c r="D34">
        <v>16</v>
      </c>
      <c r="E34">
        <v>14</v>
      </c>
      <c r="F34">
        <v>0.3</v>
      </c>
      <c r="G34">
        <v>22</v>
      </c>
      <c r="H34">
        <v>7</v>
      </c>
      <c r="I34">
        <v>1.4</v>
      </c>
      <c r="J34">
        <v>327193233.70678908</v>
      </c>
      <c r="K34">
        <v>165430000</v>
      </c>
      <c r="L34">
        <v>79925721.605045989</v>
      </c>
      <c r="M34">
        <v>77595700</v>
      </c>
      <c r="N34">
        <v>15759869.92</v>
      </c>
      <c r="O34">
        <v>232.42470700000001</v>
      </c>
      <c r="P34">
        <v>2.6238489351967069</v>
      </c>
      <c r="Q34">
        <v>43.701900100000003</v>
      </c>
      <c r="R34">
        <v>801.70905699999992</v>
      </c>
      <c r="S34">
        <v>4.9167862300000002E-12</v>
      </c>
      <c r="T34">
        <v>21.223671679696622</v>
      </c>
      <c r="U34">
        <v>100.934</v>
      </c>
      <c r="V34">
        <v>-616.20901323719272</v>
      </c>
      <c r="W34">
        <v>69.222825799999995</v>
      </c>
      <c r="X34">
        <v>94.864339200000003</v>
      </c>
      <c r="Y34">
        <v>121.52199999999999</v>
      </c>
      <c r="Z34">
        <v>254.32796500000001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2.6238489351967069</v>
      </c>
    </row>
    <row r="35" spans="1:40" x14ac:dyDescent="0.3">
      <c r="A35">
        <v>27</v>
      </c>
      <c r="B35">
        <v>19</v>
      </c>
      <c r="C35">
        <v>3.2214692474905622</v>
      </c>
      <c r="D35">
        <v>29</v>
      </c>
      <c r="E35">
        <v>5</v>
      </c>
      <c r="F35">
        <v>0.3</v>
      </c>
      <c r="G35">
        <v>10</v>
      </c>
      <c r="H35">
        <v>7</v>
      </c>
      <c r="I35">
        <v>1.4</v>
      </c>
      <c r="J35">
        <v>327192393.16283578</v>
      </c>
      <c r="K35">
        <v>165430000</v>
      </c>
      <c r="L35">
        <v>79925726.23364009</v>
      </c>
      <c r="M35">
        <v>77595700</v>
      </c>
      <c r="N35">
        <v>15760857.120000001</v>
      </c>
      <c r="O35">
        <v>231.85837699999999</v>
      </c>
      <c r="P35">
        <v>2.6302554052976368</v>
      </c>
      <c r="Q35">
        <v>43.802918599999998</v>
      </c>
      <c r="R35">
        <v>800.02892199999997</v>
      </c>
      <c r="S35">
        <v>5.9482334899999999E-8</v>
      </c>
      <c r="T35">
        <v>21.760849844188698</v>
      </c>
      <c r="U35">
        <v>91.850000000000009</v>
      </c>
      <c r="V35">
        <v>-585.67768789927129</v>
      </c>
      <c r="W35">
        <v>69.250183300000003</v>
      </c>
      <c r="X35">
        <v>94.9686564</v>
      </c>
      <c r="Y35">
        <v>177.97</v>
      </c>
      <c r="Z35">
        <v>255.54302300000001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2.6302554052976368</v>
      </c>
    </row>
    <row r="36" spans="1:40" x14ac:dyDescent="0.3">
      <c r="A36">
        <v>39</v>
      </c>
      <c r="B36">
        <v>11</v>
      </c>
      <c r="C36">
        <v>7.7860495319848733</v>
      </c>
      <c r="D36">
        <v>28</v>
      </c>
      <c r="E36">
        <v>5</v>
      </c>
      <c r="F36">
        <v>0.3</v>
      </c>
      <c r="G36">
        <v>10</v>
      </c>
      <c r="H36">
        <v>8</v>
      </c>
      <c r="I36">
        <v>1.4</v>
      </c>
      <c r="J36">
        <v>327188552.98497081</v>
      </c>
      <c r="K36">
        <v>165430000</v>
      </c>
      <c r="L36">
        <v>79925727.435472101</v>
      </c>
      <c r="M36">
        <v>77595700</v>
      </c>
      <c r="N36">
        <v>15761042.16</v>
      </c>
      <c r="O36">
        <v>232.015567</v>
      </c>
      <c r="P36">
        <v>2.6284621774683257</v>
      </c>
      <c r="Q36">
        <v>43.808956899999998</v>
      </c>
      <c r="R36">
        <v>799.97966499999995</v>
      </c>
      <c r="S36">
        <v>6.0066733500000004E-8</v>
      </c>
      <c r="T36">
        <v>21.743005558036472</v>
      </c>
      <c r="U36">
        <v>100.934</v>
      </c>
      <c r="V36">
        <v>-594.05127343054119</v>
      </c>
      <c r="W36">
        <v>69.221336199999996</v>
      </c>
      <c r="X36">
        <v>94.854407199999997</v>
      </c>
      <c r="Y36">
        <v>177.97</v>
      </c>
      <c r="Z36">
        <v>257.45056099999999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2.6284621774683257</v>
      </c>
    </row>
    <row r="37" spans="1:40" x14ac:dyDescent="0.3">
      <c r="A37">
        <v>39</v>
      </c>
      <c r="B37">
        <v>10</v>
      </c>
      <c r="C37">
        <v>10.793026672377909</v>
      </c>
      <c r="D37">
        <v>10</v>
      </c>
      <c r="E37">
        <v>8</v>
      </c>
      <c r="F37">
        <v>0.3</v>
      </c>
      <c r="G37">
        <v>26</v>
      </c>
      <c r="H37">
        <v>14</v>
      </c>
      <c r="I37">
        <v>1.4</v>
      </c>
      <c r="J37">
        <v>327192837.5192799</v>
      </c>
      <c r="K37">
        <v>165430000</v>
      </c>
      <c r="L37">
        <v>79925721.020154402</v>
      </c>
      <c r="M37">
        <v>77595700</v>
      </c>
      <c r="N37">
        <v>15759733.6</v>
      </c>
      <c r="O37">
        <v>232.398256</v>
      </c>
      <c r="P37">
        <v>2.6241464179552021</v>
      </c>
      <c r="Q37">
        <v>43.700492199999999</v>
      </c>
      <c r="R37">
        <v>801.90078200000005</v>
      </c>
      <c r="S37">
        <v>4.47636314E-10</v>
      </c>
      <c r="T37">
        <v>21.263923940331981</v>
      </c>
      <c r="U37">
        <v>100.934</v>
      </c>
      <c r="V37">
        <v>-616.09230185522176</v>
      </c>
      <c r="W37">
        <v>69.221107200000006</v>
      </c>
      <c r="X37">
        <v>94.852649200000002</v>
      </c>
      <c r="Y37">
        <v>121.52199999999999</v>
      </c>
      <c r="Z37">
        <v>254.493031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2.6241464179552021</v>
      </c>
    </row>
    <row r="38" spans="1:40" x14ac:dyDescent="0.3">
      <c r="A38">
        <v>39</v>
      </c>
      <c r="B38">
        <v>15</v>
      </c>
      <c r="C38">
        <v>4.3821585182746077</v>
      </c>
      <c r="D38">
        <v>28</v>
      </c>
      <c r="E38">
        <v>14</v>
      </c>
      <c r="F38">
        <v>0.43744492916055611</v>
      </c>
      <c r="G38">
        <v>18</v>
      </c>
      <c r="H38">
        <v>7</v>
      </c>
      <c r="I38">
        <v>1.1948479106482413</v>
      </c>
      <c r="J38">
        <v>327193601.63868803</v>
      </c>
      <c r="K38">
        <v>165430000</v>
      </c>
      <c r="L38">
        <v>79925722.180281833</v>
      </c>
      <c r="M38">
        <v>77595700</v>
      </c>
      <c r="N38">
        <v>15760004.32</v>
      </c>
      <c r="O38">
        <v>230.36753899999999</v>
      </c>
      <c r="P38">
        <v>2.6472808295608492</v>
      </c>
      <c r="Q38">
        <v>43.952582300000003</v>
      </c>
      <c r="R38">
        <v>801.09723399999996</v>
      </c>
      <c r="S38">
        <v>2.6876315900000001E-11</v>
      </c>
      <c r="T38">
        <v>21.895311766442656</v>
      </c>
      <c r="U38">
        <v>100.934</v>
      </c>
      <c r="V38">
        <v>-613.62311271718181</v>
      </c>
      <c r="W38">
        <v>69.2205558</v>
      </c>
      <c r="X38">
        <v>94.852323100000007</v>
      </c>
      <c r="Y38">
        <v>177.97</v>
      </c>
      <c r="Z38">
        <v>253.869696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2.6472808295608492</v>
      </c>
    </row>
    <row r="39" spans="1:40" x14ac:dyDescent="0.3">
      <c r="A39">
        <v>28</v>
      </c>
      <c r="B39">
        <v>18</v>
      </c>
      <c r="C39">
        <v>6.1566793299160496</v>
      </c>
      <c r="D39">
        <v>10</v>
      </c>
      <c r="E39">
        <v>5</v>
      </c>
      <c r="F39">
        <v>0.35502509672024057</v>
      </c>
      <c r="G39">
        <v>17</v>
      </c>
      <c r="H39">
        <v>8</v>
      </c>
      <c r="I39">
        <v>1.3959681797512169</v>
      </c>
      <c r="J39">
        <v>327192987.27339137</v>
      </c>
      <c r="K39">
        <v>165430000</v>
      </c>
      <c r="L39">
        <v>79925721.28887172</v>
      </c>
      <c r="M39">
        <v>77595700</v>
      </c>
      <c r="N39">
        <v>15759796.800000001</v>
      </c>
      <c r="O39">
        <v>231.39274399999999</v>
      </c>
      <c r="P39">
        <v>2.6355500269394008</v>
      </c>
      <c r="Q39">
        <v>43.819642399999999</v>
      </c>
      <c r="R39">
        <v>801.07011699999998</v>
      </c>
      <c r="S39">
        <v>3.8741825099999999E-8</v>
      </c>
      <c r="T39">
        <v>21.68171412809486</v>
      </c>
      <c r="U39">
        <v>100.934</v>
      </c>
      <c r="V39">
        <v>-615.13929631547137</v>
      </c>
      <c r="W39">
        <v>69.2225088</v>
      </c>
      <c r="X39">
        <v>94.864410399999997</v>
      </c>
      <c r="Y39">
        <v>144.29</v>
      </c>
      <c r="Z39">
        <v>254.19680500000001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2.6355500269394008</v>
      </c>
    </row>
    <row r="40" spans="1:40" x14ac:dyDescent="0.3">
      <c r="A40">
        <v>39</v>
      </c>
      <c r="B40">
        <v>10</v>
      </c>
      <c r="C40">
        <v>14.549840882136339</v>
      </c>
      <c r="D40">
        <v>18</v>
      </c>
      <c r="E40">
        <v>8</v>
      </c>
      <c r="F40">
        <v>0.38738972468413835</v>
      </c>
      <c r="G40">
        <v>15</v>
      </c>
      <c r="H40">
        <v>7</v>
      </c>
      <c r="I40">
        <v>1.3840763533053542</v>
      </c>
      <c r="J40">
        <v>327193506.78828943</v>
      </c>
      <c r="K40">
        <v>165430000</v>
      </c>
      <c r="L40">
        <v>79925722.18623963</v>
      </c>
      <c r="M40">
        <v>77595700</v>
      </c>
      <c r="N40">
        <v>15760003.68</v>
      </c>
      <c r="O40">
        <v>230.78096199999999</v>
      </c>
      <c r="P40">
        <v>2.6425381889088939</v>
      </c>
      <c r="Q40">
        <v>43.899069699999998</v>
      </c>
      <c r="R40">
        <v>800.92783199999997</v>
      </c>
      <c r="S40">
        <v>5.54558888E-11</v>
      </c>
      <c r="T40">
        <v>21.780406060184198</v>
      </c>
      <c r="U40">
        <v>100.934</v>
      </c>
      <c r="V40">
        <v>-616.24655887824576</v>
      </c>
      <c r="W40">
        <v>69.220234099999999</v>
      </c>
      <c r="X40">
        <v>94.847606299999995</v>
      </c>
      <c r="Y40">
        <v>165.7</v>
      </c>
      <c r="Z40">
        <v>253.84736899999999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2.6425381889088939</v>
      </c>
    </row>
    <row r="41" spans="1:40" x14ac:dyDescent="0.3">
      <c r="A41">
        <v>27</v>
      </c>
      <c r="B41">
        <v>18</v>
      </c>
      <c r="C41">
        <v>8.9501735615893345</v>
      </c>
      <c r="D41">
        <v>12</v>
      </c>
      <c r="E41">
        <v>8</v>
      </c>
      <c r="F41">
        <v>0.35340104181644222</v>
      </c>
      <c r="G41">
        <v>26</v>
      </c>
      <c r="H41">
        <v>7</v>
      </c>
      <c r="I41">
        <v>0.93110269276975788</v>
      </c>
      <c r="J41">
        <v>327193921.20894873</v>
      </c>
      <c r="K41">
        <v>165430000</v>
      </c>
      <c r="L41">
        <v>79925722.63512902</v>
      </c>
      <c r="M41">
        <v>77595700</v>
      </c>
      <c r="N41">
        <v>15760110.24</v>
      </c>
      <c r="O41">
        <v>231.29719900000001</v>
      </c>
      <c r="P41">
        <v>2.6366414696172784</v>
      </c>
      <c r="Q41">
        <v>43.823069400000001</v>
      </c>
      <c r="R41">
        <v>801.22398999999996</v>
      </c>
      <c r="S41">
        <v>1.1729688199999999E-10</v>
      </c>
      <c r="T41">
        <v>21.594309388203101</v>
      </c>
      <c r="U41">
        <v>100.934</v>
      </c>
      <c r="V41">
        <v>-619.49816177889602</v>
      </c>
      <c r="W41">
        <v>69.222113300000004</v>
      </c>
      <c r="X41">
        <v>94.861872099999999</v>
      </c>
      <c r="Y41">
        <v>121.52199999999999</v>
      </c>
      <c r="Z41">
        <v>253.93197799999999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2.6366414696172784</v>
      </c>
    </row>
    <row r="42" spans="1:40" x14ac:dyDescent="0.3">
      <c r="A42">
        <v>38</v>
      </c>
      <c r="B42">
        <v>12</v>
      </c>
      <c r="C42">
        <v>2.5327130266127531</v>
      </c>
      <c r="D42">
        <v>16</v>
      </c>
      <c r="E42">
        <v>14</v>
      </c>
      <c r="F42">
        <v>0.3152139793472995</v>
      </c>
      <c r="G42">
        <v>28</v>
      </c>
      <c r="H42">
        <v>14</v>
      </c>
      <c r="I42">
        <v>0.40949777400535609</v>
      </c>
      <c r="J42">
        <v>327195523.03476763</v>
      </c>
      <c r="K42">
        <v>165430000</v>
      </c>
      <c r="L42">
        <v>79925725.123229474</v>
      </c>
      <c r="M42">
        <v>77595700</v>
      </c>
      <c r="N42">
        <v>15760693.520000001</v>
      </c>
      <c r="O42">
        <v>231.455883</v>
      </c>
      <c r="P42">
        <v>2.6348385108767549</v>
      </c>
      <c r="Q42">
        <v>43.819783299999997</v>
      </c>
      <c r="R42">
        <v>800.45126499999992</v>
      </c>
      <c r="S42">
        <v>1.83805165E-10</v>
      </c>
      <c r="T42">
        <v>21.655181801271947</v>
      </c>
      <c r="U42">
        <v>100.934</v>
      </c>
      <c r="V42">
        <v>-601.77922837927758</v>
      </c>
      <c r="W42">
        <v>69.241317100000003</v>
      </c>
      <c r="X42">
        <v>94.934477099999995</v>
      </c>
      <c r="Y42">
        <v>144.29</v>
      </c>
      <c r="Z42">
        <v>254.03683799999999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2.6348385108767549</v>
      </c>
    </row>
    <row r="43" spans="1:40" x14ac:dyDescent="0.3">
      <c r="A43">
        <v>30</v>
      </c>
      <c r="B43">
        <v>13</v>
      </c>
      <c r="C43">
        <v>10.962814986195699</v>
      </c>
      <c r="D43">
        <v>16</v>
      </c>
      <c r="E43">
        <v>14</v>
      </c>
      <c r="F43">
        <v>0.36570556291288625</v>
      </c>
      <c r="G43">
        <v>29</v>
      </c>
      <c r="H43">
        <v>8</v>
      </c>
      <c r="I43">
        <v>1.2558541549597697</v>
      </c>
      <c r="J43">
        <v>327192928.43597376</v>
      </c>
      <c r="K43">
        <v>165430000</v>
      </c>
      <c r="L43">
        <v>79925721.158211008</v>
      </c>
      <c r="M43">
        <v>77595700</v>
      </c>
      <c r="N43">
        <v>15759765.76</v>
      </c>
      <c r="O43">
        <v>231.83927700000001</v>
      </c>
      <c r="P43">
        <v>2.6304736653431657</v>
      </c>
      <c r="Q43">
        <v>43.755803999999998</v>
      </c>
      <c r="R43">
        <v>801.87468899999999</v>
      </c>
      <c r="S43">
        <v>1.99502354E-15</v>
      </c>
      <c r="T43">
        <v>21.314147600106345</v>
      </c>
      <c r="U43">
        <v>100.934</v>
      </c>
      <c r="V43">
        <v>-622.76571544939827</v>
      </c>
      <c r="W43">
        <v>69.220133000000004</v>
      </c>
      <c r="X43">
        <v>94.850031900000005</v>
      </c>
      <c r="Y43">
        <v>121.52199999999999</v>
      </c>
      <c r="Z43">
        <v>254.25243900000001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2.6304736653431657</v>
      </c>
    </row>
    <row r="44" spans="1:40" x14ac:dyDescent="0.3">
      <c r="A44">
        <v>32</v>
      </c>
      <c r="B44">
        <v>10</v>
      </c>
      <c r="C44">
        <v>10.753204179213459</v>
      </c>
      <c r="D44">
        <v>16</v>
      </c>
      <c r="E44">
        <v>14</v>
      </c>
      <c r="F44">
        <v>0.30736212500712179</v>
      </c>
      <c r="G44">
        <v>23</v>
      </c>
      <c r="H44">
        <v>11</v>
      </c>
      <c r="I44">
        <v>1.1067270956999367</v>
      </c>
      <c r="J44">
        <v>327192439.83129025</v>
      </c>
      <c r="K44">
        <v>165430000</v>
      </c>
      <c r="L44">
        <v>79925720.377533793</v>
      </c>
      <c r="M44">
        <v>77595700</v>
      </c>
      <c r="N44">
        <v>15759585.6</v>
      </c>
      <c r="O44">
        <v>232.35984099999999</v>
      </c>
      <c r="P44">
        <v>2.6245790943233898</v>
      </c>
      <c r="Q44">
        <v>43.7082263</v>
      </c>
      <c r="R44">
        <v>801.71790600000008</v>
      </c>
      <c r="S44">
        <v>1.08372716E-14</v>
      </c>
      <c r="T44">
        <v>21.232346061126371</v>
      </c>
      <c r="U44">
        <v>100.934</v>
      </c>
      <c r="V44">
        <v>-616.70188692524414</v>
      </c>
      <c r="W44">
        <v>69.221588800000006</v>
      </c>
      <c r="X44">
        <v>94.8574445</v>
      </c>
      <c r="Y44">
        <v>121.52199999999999</v>
      </c>
      <c r="Z44">
        <v>254.39228499999999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2.6245790943233898</v>
      </c>
    </row>
    <row r="45" spans="1:40" x14ac:dyDescent="0.3">
      <c r="A45">
        <v>27</v>
      </c>
      <c r="B45">
        <v>12</v>
      </c>
      <c r="C45">
        <v>7.8004113051437685</v>
      </c>
      <c r="D45">
        <v>25</v>
      </c>
      <c r="E45">
        <v>14</v>
      </c>
      <c r="F45">
        <v>0.31860318055907044</v>
      </c>
      <c r="G45">
        <v>18</v>
      </c>
      <c r="H45">
        <v>13</v>
      </c>
      <c r="I45">
        <v>1.1983342591529278</v>
      </c>
      <c r="J45">
        <v>327191538.475932</v>
      </c>
      <c r="K45">
        <v>165430000</v>
      </c>
      <c r="L45">
        <v>79925720.377533793</v>
      </c>
      <c r="M45">
        <v>77595700</v>
      </c>
      <c r="N45">
        <v>15759557.92</v>
      </c>
      <c r="O45">
        <v>231.58640500000001</v>
      </c>
      <c r="P45">
        <v>2.6333418369666544</v>
      </c>
      <c r="Q45">
        <v>43.836924199999999</v>
      </c>
      <c r="R45">
        <v>800.06067800000005</v>
      </c>
      <c r="S45">
        <v>2.1567418200000001E-15</v>
      </c>
      <c r="T45">
        <v>21.637280400745698</v>
      </c>
      <c r="U45">
        <v>100.934</v>
      </c>
      <c r="V45">
        <v>-605.29821690201175</v>
      </c>
      <c r="W45">
        <v>69.223605699999993</v>
      </c>
      <c r="X45">
        <v>94.869419600000001</v>
      </c>
      <c r="Y45">
        <v>165.7</v>
      </c>
      <c r="Z45">
        <v>254.53451000000001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2.6333418369666544</v>
      </c>
    </row>
    <row r="46" spans="1:40" x14ac:dyDescent="0.3">
      <c r="A46">
        <v>28</v>
      </c>
      <c r="B46">
        <v>17</v>
      </c>
      <c r="C46">
        <v>1.1694752285077208</v>
      </c>
      <c r="D46">
        <v>18</v>
      </c>
      <c r="E46">
        <v>5</v>
      </c>
      <c r="F46">
        <v>0.30430274495073018</v>
      </c>
      <c r="G46">
        <v>26</v>
      </c>
      <c r="H46">
        <v>13</v>
      </c>
      <c r="I46">
        <v>0.9065415808695243</v>
      </c>
      <c r="J46">
        <v>327192365.17090046</v>
      </c>
      <c r="K46">
        <v>165430000</v>
      </c>
      <c r="L46">
        <v>79925720.244818673</v>
      </c>
      <c r="M46">
        <v>77595700</v>
      </c>
      <c r="N46">
        <v>15759557.92</v>
      </c>
      <c r="O46">
        <v>229.81550899999999</v>
      </c>
      <c r="P46">
        <v>2.6536360971413755</v>
      </c>
      <c r="Q46">
        <v>43.743783700000002</v>
      </c>
      <c r="R46">
        <v>801.6684120000001</v>
      </c>
      <c r="S46">
        <v>5.1937036700000001E-8</v>
      </c>
      <c r="T46">
        <v>21.889766054938608</v>
      </c>
      <c r="U46">
        <v>80.72</v>
      </c>
      <c r="V46">
        <v>-501.73373025916561</v>
      </c>
      <c r="W46">
        <v>69.542643900000002</v>
      </c>
      <c r="X46">
        <v>96.402971399999998</v>
      </c>
      <c r="Y46">
        <v>170.55</v>
      </c>
      <c r="Z46">
        <v>254.36157499999999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2.6536360971413755</v>
      </c>
    </row>
    <row r="47" spans="1:40" x14ac:dyDescent="0.3">
      <c r="A47">
        <v>39</v>
      </c>
      <c r="B47">
        <v>19</v>
      </c>
      <c r="C47">
        <v>9.4044569305009524</v>
      </c>
      <c r="D47">
        <v>23</v>
      </c>
      <c r="E47">
        <v>14</v>
      </c>
      <c r="F47">
        <v>0.31558339910003458</v>
      </c>
      <c r="G47">
        <v>22</v>
      </c>
      <c r="H47">
        <v>14</v>
      </c>
      <c r="I47">
        <v>0.41706909940031722</v>
      </c>
      <c r="J47">
        <v>327194968.83719856</v>
      </c>
      <c r="K47">
        <v>165430000</v>
      </c>
      <c r="L47">
        <v>79925725.839398086</v>
      </c>
      <c r="M47">
        <v>77595700</v>
      </c>
      <c r="N47">
        <v>15760831.439999999</v>
      </c>
      <c r="O47">
        <v>231.634658</v>
      </c>
      <c r="P47">
        <v>2.632803325474399</v>
      </c>
      <c r="Q47">
        <v>43.8312557</v>
      </c>
      <c r="R47">
        <v>800.104286</v>
      </c>
      <c r="S47">
        <v>2.4889712900000001E-15</v>
      </c>
      <c r="T47">
        <v>21.618095984973852</v>
      </c>
      <c r="U47">
        <v>100.934</v>
      </c>
      <c r="V47">
        <v>-608.69434354634996</v>
      </c>
      <c r="W47">
        <v>69.218684999999994</v>
      </c>
      <c r="X47">
        <v>94.829506699999996</v>
      </c>
      <c r="Y47">
        <v>144.29</v>
      </c>
      <c r="Z47">
        <v>254.213773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2.632803325474399</v>
      </c>
    </row>
    <row r="48" spans="1:40" x14ac:dyDescent="0.3">
      <c r="A48">
        <v>34</v>
      </c>
      <c r="B48">
        <v>19</v>
      </c>
      <c r="C48">
        <v>8.9551900476051944</v>
      </c>
      <c r="D48">
        <v>13</v>
      </c>
      <c r="E48">
        <v>11</v>
      </c>
      <c r="F48">
        <v>0.37524273138280312</v>
      </c>
      <c r="G48">
        <v>22</v>
      </c>
      <c r="H48">
        <v>14</v>
      </c>
      <c r="I48">
        <v>0.92067158653033543</v>
      </c>
      <c r="J48">
        <v>327192133.46475017</v>
      </c>
      <c r="K48">
        <v>165430000</v>
      </c>
      <c r="L48">
        <v>79925720.161409467</v>
      </c>
      <c r="M48">
        <v>77595700</v>
      </c>
      <c r="N48">
        <v>15759532.16</v>
      </c>
      <c r="O48">
        <v>231.73832200000001</v>
      </c>
      <c r="P48">
        <v>2.6316172819720829</v>
      </c>
      <c r="Q48">
        <v>43.762899500000003</v>
      </c>
      <c r="R48">
        <v>802.02028199999995</v>
      </c>
      <c r="S48">
        <v>4.632574E-13</v>
      </c>
      <c r="T48">
        <v>21.345711265262221</v>
      </c>
      <c r="U48">
        <v>100.934</v>
      </c>
      <c r="V48">
        <v>-624.1483567267004</v>
      </c>
      <c r="W48">
        <v>69.218992299999996</v>
      </c>
      <c r="X48">
        <v>94.836422499999998</v>
      </c>
      <c r="Y48">
        <v>121.52199999999999</v>
      </c>
      <c r="Z48">
        <v>254.31556699999999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2.6316172819720829</v>
      </c>
    </row>
    <row r="49" spans="1:40" x14ac:dyDescent="0.3">
      <c r="A49">
        <v>39</v>
      </c>
      <c r="B49">
        <v>10</v>
      </c>
      <c r="C49">
        <v>12.21826743303566</v>
      </c>
      <c r="D49">
        <v>16</v>
      </c>
      <c r="E49">
        <v>14</v>
      </c>
      <c r="F49">
        <v>0.30022259528518397</v>
      </c>
      <c r="G49">
        <v>25</v>
      </c>
      <c r="H49">
        <v>11</v>
      </c>
      <c r="I49">
        <v>0.523798849209686</v>
      </c>
      <c r="J49">
        <v>327193453.73747176</v>
      </c>
      <c r="K49">
        <v>165430000</v>
      </c>
      <c r="L49">
        <v>79925721.901703328</v>
      </c>
      <c r="M49">
        <v>77595700</v>
      </c>
      <c r="N49">
        <v>15759942.559999999</v>
      </c>
      <c r="O49">
        <v>232.427255</v>
      </c>
      <c r="P49">
        <v>2.6238208137178791</v>
      </c>
      <c r="Q49">
        <v>43.702581299999999</v>
      </c>
      <c r="R49">
        <v>801.71148199999993</v>
      </c>
      <c r="S49">
        <v>1.37251548E-14</v>
      </c>
      <c r="T49">
        <v>21.223290044646614</v>
      </c>
      <c r="U49">
        <v>100.934</v>
      </c>
      <c r="V49">
        <v>-616.29318820255548</v>
      </c>
      <c r="W49">
        <v>69.220694899999998</v>
      </c>
      <c r="X49">
        <v>94.850393600000004</v>
      </c>
      <c r="Y49">
        <v>121.52199999999999</v>
      </c>
      <c r="Z49">
        <v>254.30328900000001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2.6238208137178791</v>
      </c>
    </row>
    <row r="50" spans="1:40" x14ac:dyDescent="0.3">
      <c r="A50">
        <v>35</v>
      </c>
      <c r="B50">
        <v>10</v>
      </c>
      <c r="C50">
        <v>10.338215205459264</v>
      </c>
      <c r="D50">
        <v>11</v>
      </c>
      <c r="E50">
        <v>9</v>
      </c>
      <c r="F50">
        <v>0.37381007082881113</v>
      </c>
      <c r="G50">
        <v>24</v>
      </c>
      <c r="H50">
        <v>7</v>
      </c>
      <c r="I50">
        <v>0.32270902608739238</v>
      </c>
      <c r="J50">
        <v>327202982.26180643</v>
      </c>
      <c r="K50">
        <v>165430000</v>
      </c>
      <c r="L50">
        <v>79925735.991694346</v>
      </c>
      <c r="M50">
        <v>77595700</v>
      </c>
      <c r="N50">
        <v>15763221.600000001</v>
      </c>
      <c r="O50">
        <v>231.73102600000001</v>
      </c>
      <c r="P50">
        <v>2.6317319193670587</v>
      </c>
      <c r="Q50">
        <v>43.759485499999997</v>
      </c>
      <c r="R50">
        <v>802.10437100000001</v>
      </c>
      <c r="S50">
        <v>2.1057239399999999E-11</v>
      </c>
      <c r="T50">
        <v>21.358815121861554</v>
      </c>
      <c r="U50">
        <v>100.934</v>
      </c>
      <c r="V50">
        <v>-622.95566873048563</v>
      </c>
      <c r="W50">
        <v>69.221461500000004</v>
      </c>
      <c r="X50">
        <v>94.855810199999993</v>
      </c>
      <c r="Y50">
        <v>121.52199999999999</v>
      </c>
      <c r="Z50">
        <v>253.28951900000001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2.6317319193670587</v>
      </c>
    </row>
    <row r="51" spans="1:40" x14ac:dyDescent="0.3">
      <c r="A51">
        <v>29</v>
      </c>
      <c r="B51">
        <v>10</v>
      </c>
      <c r="C51">
        <v>9.4397400793498569</v>
      </c>
      <c r="D51">
        <v>10</v>
      </c>
      <c r="E51">
        <v>5</v>
      </c>
      <c r="F51">
        <v>0.37271831530358468</v>
      </c>
      <c r="G51">
        <v>24</v>
      </c>
      <c r="H51">
        <v>13</v>
      </c>
      <c r="I51">
        <v>1.2923136784376263</v>
      </c>
      <c r="J51">
        <v>327192273.95493895</v>
      </c>
      <c r="K51">
        <v>165430000</v>
      </c>
      <c r="L51">
        <v>79925720.115185156</v>
      </c>
      <c r="M51">
        <v>77595700</v>
      </c>
      <c r="N51">
        <v>15759525.279999999</v>
      </c>
      <c r="O51">
        <v>231.238437</v>
      </c>
      <c r="P51">
        <v>2.6373066534907248</v>
      </c>
      <c r="Q51">
        <v>43.831909799999998</v>
      </c>
      <c r="R51">
        <v>801.171379</v>
      </c>
      <c r="S51">
        <v>3.3573615900000002E-8</v>
      </c>
      <c r="T51">
        <v>21.700280227601681</v>
      </c>
      <c r="U51">
        <v>100.934</v>
      </c>
      <c r="V51">
        <v>-616.26412068963668</v>
      </c>
      <c r="W51">
        <v>69.223055200000005</v>
      </c>
      <c r="X51">
        <v>94.865941300000003</v>
      </c>
      <c r="Y51">
        <v>144.29</v>
      </c>
      <c r="Z51">
        <v>254.20853500000001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2.6373066534907248</v>
      </c>
    </row>
    <row r="52" spans="1:40" x14ac:dyDescent="0.3">
      <c r="A52">
        <v>28</v>
      </c>
      <c r="B52">
        <v>19</v>
      </c>
      <c r="C52">
        <v>1.4268714161519562</v>
      </c>
      <c r="D52">
        <v>29</v>
      </c>
      <c r="E52">
        <v>14</v>
      </c>
      <c r="F52">
        <v>0.34489398664827459</v>
      </c>
      <c r="G52">
        <v>27</v>
      </c>
      <c r="H52">
        <v>10</v>
      </c>
      <c r="I52">
        <v>0.50431526550406791</v>
      </c>
      <c r="J52">
        <v>327194491.94515157</v>
      </c>
      <c r="K52">
        <v>165430000</v>
      </c>
      <c r="L52">
        <v>79925723.446417004</v>
      </c>
      <c r="M52">
        <v>77595700</v>
      </c>
      <c r="N52">
        <v>15760303.040000001</v>
      </c>
      <c r="O52">
        <v>230.14774700000001</v>
      </c>
      <c r="P52">
        <v>2.649811619215702</v>
      </c>
      <c r="Q52">
        <v>43.798031600000002</v>
      </c>
      <c r="R52">
        <v>801.08976700000005</v>
      </c>
      <c r="S52">
        <v>3.6071367400000001E-8</v>
      </c>
      <c r="T52">
        <v>21.923702562572036</v>
      </c>
      <c r="U52">
        <v>80.72</v>
      </c>
      <c r="V52">
        <v>-525.48104199850331</v>
      </c>
      <c r="W52">
        <v>69.460899699999999</v>
      </c>
      <c r="X52">
        <v>96.060831699999994</v>
      </c>
      <c r="Y52">
        <v>177.97</v>
      </c>
      <c r="Z52">
        <v>254.10644500000001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2.649811619215702</v>
      </c>
    </row>
    <row r="53" spans="1:40" x14ac:dyDescent="0.3">
      <c r="A53">
        <v>29</v>
      </c>
      <c r="B53">
        <v>16</v>
      </c>
      <c r="C53">
        <v>8.3562861464324367</v>
      </c>
      <c r="D53">
        <v>17</v>
      </c>
      <c r="E53">
        <v>14</v>
      </c>
      <c r="F53">
        <v>0.30003194445368997</v>
      </c>
      <c r="G53">
        <v>23</v>
      </c>
      <c r="H53">
        <v>13</v>
      </c>
      <c r="I53">
        <v>0.9856726875942794</v>
      </c>
      <c r="J53">
        <v>327192289.72162211</v>
      </c>
      <c r="K53">
        <v>165430000</v>
      </c>
      <c r="L53">
        <v>79925720.198799804</v>
      </c>
      <c r="M53">
        <v>77595700</v>
      </c>
      <c r="N53">
        <v>15759543.84</v>
      </c>
      <c r="O53">
        <v>232.05649700000001</v>
      </c>
      <c r="P53">
        <v>2.6280095021264991</v>
      </c>
      <c r="Q53">
        <v>43.751645799999999</v>
      </c>
      <c r="R53">
        <v>801.08566000000008</v>
      </c>
      <c r="S53">
        <v>7.9953057700000001E-15</v>
      </c>
      <c r="T53">
        <v>21.380304510875412</v>
      </c>
      <c r="U53">
        <v>100.934</v>
      </c>
      <c r="V53">
        <v>-615.3590973967041</v>
      </c>
      <c r="W53">
        <v>69.220478799999995</v>
      </c>
      <c r="X53">
        <v>94.853069599999998</v>
      </c>
      <c r="Y53">
        <v>121.52199999999999</v>
      </c>
      <c r="Z53">
        <v>254.32605699999999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2.6280095021264991</v>
      </c>
    </row>
    <row r="54" spans="1:40" x14ac:dyDescent="0.3">
      <c r="A54">
        <v>27</v>
      </c>
      <c r="B54">
        <v>19</v>
      </c>
      <c r="C54">
        <v>6.4795012191527519</v>
      </c>
      <c r="D54">
        <v>27</v>
      </c>
      <c r="E54">
        <v>5</v>
      </c>
      <c r="F54">
        <v>0.31226645169763478</v>
      </c>
      <c r="G54">
        <v>17</v>
      </c>
      <c r="H54">
        <v>14</v>
      </c>
      <c r="I54">
        <v>1.3893141400399811</v>
      </c>
      <c r="J54">
        <v>327189154.10653603</v>
      </c>
      <c r="K54">
        <v>165430000</v>
      </c>
      <c r="L54">
        <v>79925720.444713116</v>
      </c>
      <c r="M54">
        <v>77595700</v>
      </c>
      <c r="N54">
        <v>15759527.200000001</v>
      </c>
      <c r="O54">
        <v>231.89014</v>
      </c>
      <c r="P54">
        <v>2.6298856454949857</v>
      </c>
      <c r="Q54">
        <v>43.818610499999998</v>
      </c>
      <c r="R54">
        <v>800.04433100000006</v>
      </c>
      <c r="S54">
        <v>5.29923676E-8</v>
      </c>
      <c r="T54">
        <v>21.752637954259598</v>
      </c>
      <c r="U54">
        <v>100.934</v>
      </c>
      <c r="V54">
        <v>-595.02783689424098</v>
      </c>
      <c r="W54">
        <v>69.224821800000001</v>
      </c>
      <c r="X54">
        <v>94.873694999999998</v>
      </c>
      <c r="Y54">
        <v>177.97</v>
      </c>
      <c r="Z54">
        <v>255.67936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2.6298856454949857</v>
      </c>
    </row>
    <row r="55" spans="1:40" x14ac:dyDescent="0.3">
      <c r="A55">
        <v>39</v>
      </c>
      <c r="B55">
        <v>15</v>
      </c>
      <c r="C55">
        <v>1.3301317148102143</v>
      </c>
      <c r="D55">
        <v>19</v>
      </c>
      <c r="E55">
        <v>14</v>
      </c>
      <c r="F55">
        <v>0.42273936567258286</v>
      </c>
      <c r="G55">
        <v>17</v>
      </c>
      <c r="H55">
        <v>14</v>
      </c>
      <c r="I55">
        <v>0.42590077405970117</v>
      </c>
      <c r="J55">
        <v>327192497.20126188</v>
      </c>
      <c r="K55">
        <v>165430000</v>
      </c>
      <c r="L55">
        <v>79925745.041386753</v>
      </c>
      <c r="M55">
        <v>77595700</v>
      </c>
      <c r="N55">
        <v>15764948.640000001</v>
      </c>
      <c r="O55">
        <v>228.97150400000001</v>
      </c>
      <c r="P55">
        <v>2.6634179770894364</v>
      </c>
      <c r="Q55">
        <v>43.869701999999997</v>
      </c>
      <c r="R55">
        <v>802.71334100000001</v>
      </c>
      <c r="S55">
        <v>1.2370837499999999E-16</v>
      </c>
      <c r="T55">
        <v>21.901786133174767</v>
      </c>
      <c r="U55">
        <v>100.934</v>
      </c>
      <c r="V55">
        <v>-562.34825643851343</v>
      </c>
      <c r="W55">
        <v>69.411458699999997</v>
      </c>
      <c r="X55">
        <v>95.889764400000004</v>
      </c>
      <c r="Y55">
        <v>144.29</v>
      </c>
      <c r="Z55">
        <v>258.97139099999998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2.6634179770894364</v>
      </c>
    </row>
    <row r="56" spans="1:40" x14ac:dyDescent="0.3">
      <c r="A56">
        <v>39</v>
      </c>
      <c r="B56">
        <v>19</v>
      </c>
      <c r="C56">
        <v>13.468585656172426</v>
      </c>
      <c r="D56">
        <v>12</v>
      </c>
      <c r="E56">
        <v>5</v>
      </c>
      <c r="F56">
        <v>0.34632765547067385</v>
      </c>
      <c r="G56">
        <v>23</v>
      </c>
      <c r="H56">
        <v>9</v>
      </c>
      <c r="I56">
        <v>1.3145395867244694</v>
      </c>
      <c r="J56">
        <v>327192695.68458641</v>
      </c>
      <c r="K56">
        <v>165430000</v>
      </c>
      <c r="L56">
        <v>79925720.778966233</v>
      </c>
      <c r="M56">
        <v>77595700</v>
      </c>
      <c r="N56">
        <v>15759678.640000001</v>
      </c>
      <c r="O56">
        <v>231.44905600000001</v>
      </c>
      <c r="P56">
        <v>2.6349079373053375</v>
      </c>
      <c r="Q56">
        <v>43.8302628</v>
      </c>
      <c r="R56">
        <v>800.74830100000008</v>
      </c>
      <c r="S56">
        <v>4.0118955100000001E-8</v>
      </c>
      <c r="T56">
        <v>21.716832704222639</v>
      </c>
      <c r="U56">
        <v>100.934</v>
      </c>
      <c r="V56">
        <v>-612.20272239095482</v>
      </c>
      <c r="W56">
        <v>69.218592700000002</v>
      </c>
      <c r="X56">
        <v>94.826333700000006</v>
      </c>
      <c r="Y56">
        <v>144.29</v>
      </c>
      <c r="Z56">
        <v>254.221857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2.6349079373053375</v>
      </c>
    </row>
    <row r="57" spans="1:40" x14ac:dyDescent="0.3">
      <c r="A57">
        <v>39</v>
      </c>
      <c r="B57">
        <v>18</v>
      </c>
      <c r="C57">
        <v>13.71106002752987</v>
      </c>
      <c r="D57">
        <v>16</v>
      </c>
      <c r="E57">
        <v>14</v>
      </c>
      <c r="F57">
        <v>0.30683016865384455</v>
      </c>
      <c r="G57">
        <v>27</v>
      </c>
      <c r="H57">
        <v>13</v>
      </c>
      <c r="I57">
        <v>1.0731821467715841</v>
      </c>
      <c r="J57">
        <v>327192314.16714299</v>
      </c>
      <c r="K57">
        <v>165430000</v>
      </c>
      <c r="L57">
        <v>79925720.16161491</v>
      </c>
      <c r="M57">
        <v>77595700</v>
      </c>
      <c r="N57">
        <v>15759535.92</v>
      </c>
      <c r="O57">
        <v>231.86023</v>
      </c>
      <c r="P57">
        <v>2.6302341533136424</v>
      </c>
      <c r="Q57">
        <v>43.808354899999998</v>
      </c>
      <c r="R57">
        <v>800.27226299999995</v>
      </c>
      <c r="S57">
        <v>5.6672793700000003E-8</v>
      </c>
      <c r="T57">
        <v>21.709994457907658</v>
      </c>
      <c r="U57">
        <v>100.934</v>
      </c>
      <c r="V57">
        <v>-603.12289226258963</v>
      </c>
      <c r="W57">
        <v>69.218592700000002</v>
      </c>
      <c r="X57">
        <v>94.827539299999998</v>
      </c>
      <c r="Y57">
        <v>165.7</v>
      </c>
      <c r="Z57">
        <v>254.37135799999999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2.6302341533136424</v>
      </c>
    </row>
    <row r="58" spans="1:40" x14ac:dyDescent="0.3">
      <c r="A58">
        <v>28</v>
      </c>
      <c r="B58">
        <v>10</v>
      </c>
      <c r="C58">
        <v>5.690887493880795</v>
      </c>
      <c r="D58">
        <v>29</v>
      </c>
      <c r="E58">
        <v>13</v>
      </c>
      <c r="F58">
        <v>0.35370788924148788</v>
      </c>
      <c r="G58">
        <v>23</v>
      </c>
      <c r="H58">
        <v>13</v>
      </c>
      <c r="I58">
        <v>0.36094597863817152</v>
      </c>
      <c r="J58">
        <v>327199137.66072261</v>
      </c>
      <c r="K58">
        <v>165430000</v>
      </c>
      <c r="L58">
        <v>79925731.626065195</v>
      </c>
      <c r="M58">
        <v>77595700</v>
      </c>
      <c r="N58">
        <v>15762186.4</v>
      </c>
      <c r="O58">
        <v>231.182974</v>
      </c>
      <c r="P58">
        <v>2.6379595233718809</v>
      </c>
      <c r="Q58">
        <v>43.876382300000003</v>
      </c>
      <c r="R58">
        <v>800.28676799999994</v>
      </c>
      <c r="S58">
        <v>4.68166686E-15</v>
      </c>
      <c r="T58">
        <v>21.727514886774514</v>
      </c>
      <c r="U58">
        <v>100.934</v>
      </c>
      <c r="V58">
        <v>-603.67006525613567</v>
      </c>
      <c r="W58">
        <v>69.228653199999997</v>
      </c>
      <c r="X58">
        <v>94.888203399999995</v>
      </c>
      <c r="Y58">
        <v>177.97</v>
      </c>
      <c r="Z58">
        <v>253.62329700000001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2.6379595233718809</v>
      </c>
    </row>
    <row r="59" spans="1:40" x14ac:dyDescent="0.3">
      <c r="A59">
        <v>27</v>
      </c>
      <c r="B59">
        <v>10</v>
      </c>
      <c r="C59">
        <v>6.1782065918428568</v>
      </c>
      <c r="D59">
        <v>25</v>
      </c>
      <c r="E59">
        <v>5</v>
      </c>
      <c r="F59">
        <v>0.43550133835968607</v>
      </c>
      <c r="G59">
        <v>12</v>
      </c>
      <c r="H59">
        <v>8</v>
      </c>
      <c r="I59">
        <v>0.33909684946447943</v>
      </c>
      <c r="J59">
        <v>327198840.49928266</v>
      </c>
      <c r="K59">
        <v>165430000</v>
      </c>
      <c r="L59">
        <v>79925747.810120121</v>
      </c>
      <c r="M59">
        <v>77595700</v>
      </c>
      <c r="N59">
        <v>15765672.640000001</v>
      </c>
      <c r="O59">
        <v>230.821214</v>
      </c>
      <c r="P59">
        <v>2.6420930537830367</v>
      </c>
      <c r="Q59">
        <v>43.909493599999998</v>
      </c>
      <c r="R59">
        <v>800.76806199999999</v>
      </c>
      <c r="S59">
        <v>1.9527424E-8</v>
      </c>
      <c r="T59">
        <v>21.860667578695882</v>
      </c>
      <c r="U59">
        <v>100.934</v>
      </c>
      <c r="V59">
        <v>-603.97469666838595</v>
      </c>
      <c r="W59">
        <v>69.228653199999997</v>
      </c>
      <c r="X59">
        <v>94.888337899999996</v>
      </c>
      <c r="Y59">
        <v>177.97</v>
      </c>
      <c r="Z59">
        <v>257.16864900000002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2.6420930537830367</v>
      </c>
    </row>
    <row r="60" spans="1:40" x14ac:dyDescent="0.3">
      <c r="A60">
        <v>39</v>
      </c>
      <c r="B60">
        <v>17</v>
      </c>
      <c r="C60">
        <v>14.906879745990423</v>
      </c>
      <c r="D60">
        <v>10</v>
      </c>
      <c r="E60">
        <v>8</v>
      </c>
      <c r="F60">
        <v>0.38204016439301719</v>
      </c>
      <c r="G60">
        <v>27</v>
      </c>
      <c r="H60">
        <v>13</v>
      </c>
      <c r="I60">
        <v>0.30827808492804337</v>
      </c>
      <c r="J60">
        <v>327201925.79426277</v>
      </c>
      <c r="K60">
        <v>165430000</v>
      </c>
      <c r="L60">
        <v>79925735.109529093</v>
      </c>
      <c r="M60">
        <v>77595700</v>
      </c>
      <c r="N60">
        <v>15763009.439999999</v>
      </c>
      <c r="O60">
        <v>231.682615</v>
      </c>
      <c r="P60">
        <v>2.6322787346105914</v>
      </c>
      <c r="Q60">
        <v>43.764527200000003</v>
      </c>
      <c r="R60">
        <v>802.17992000000004</v>
      </c>
      <c r="S60">
        <v>1.2742863100000001E-10</v>
      </c>
      <c r="T60">
        <v>21.380646529222936</v>
      </c>
      <c r="U60">
        <v>100.934</v>
      </c>
      <c r="V60">
        <v>-624.50846712232601</v>
      </c>
      <c r="W60">
        <v>69.218610699999999</v>
      </c>
      <c r="X60">
        <v>94.8284254</v>
      </c>
      <c r="Y60">
        <v>121.52199999999999</v>
      </c>
      <c r="Z60">
        <v>253.36712900000001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2.6322787346105914</v>
      </c>
    </row>
    <row r="61" spans="1:40" x14ac:dyDescent="0.3">
      <c r="A61">
        <v>37</v>
      </c>
      <c r="B61">
        <v>19</v>
      </c>
      <c r="C61">
        <v>10.405951829149693</v>
      </c>
      <c r="D61">
        <v>17</v>
      </c>
      <c r="E61">
        <v>14</v>
      </c>
      <c r="F61">
        <v>0.3087801333837788</v>
      </c>
      <c r="G61">
        <v>16</v>
      </c>
      <c r="H61">
        <v>7</v>
      </c>
      <c r="I61">
        <v>1.0914334580855678</v>
      </c>
      <c r="J61">
        <v>327193732.06140286</v>
      </c>
      <c r="K61">
        <v>165430000</v>
      </c>
      <c r="L61">
        <v>79925722.505700961</v>
      </c>
      <c r="M61">
        <v>77595700</v>
      </c>
      <c r="N61">
        <v>15760077.92</v>
      </c>
      <c r="O61">
        <v>231.69889000000001</v>
      </c>
      <c r="P61">
        <v>2.6320698311758832</v>
      </c>
      <c r="Q61">
        <v>43.821305299999999</v>
      </c>
      <c r="R61">
        <v>800.23235299999999</v>
      </c>
      <c r="S61">
        <v>2.0751552200000001E-10</v>
      </c>
      <c r="T61">
        <v>21.640259131370463</v>
      </c>
      <c r="U61">
        <v>100.934</v>
      </c>
      <c r="V61">
        <v>-607.61212571603187</v>
      </c>
      <c r="W61">
        <v>69.218730300000004</v>
      </c>
      <c r="X61">
        <v>94.830408500000004</v>
      </c>
      <c r="Y61">
        <v>144.29</v>
      </c>
      <c r="Z61">
        <v>254.249663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2.6320698311758832</v>
      </c>
    </row>
    <row r="62" spans="1:40" x14ac:dyDescent="0.3">
      <c r="A62">
        <v>38</v>
      </c>
      <c r="B62">
        <v>19</v>
      </c>
      <c r="C62">
        <v>6.7575808308679255</v>
      </c>
      <c r="D62">
        <v>29</v>
      </c>
      <c r="E62">
        <v>6</v>
      </c>
      <c r="F62">
        <v>0.38333861900699806</v>
      </c>
      <c r="G62">
        <v>13</v>
      </c>
      <c r="H62">
        <v>9</v>
      </c>
      <c r="I62">
        <v>1.1305720661811058</v>
      </c>
      <c r="J62">
        <v>327191629.71444595</v>
      </c>
      <c r="K62">
        <v>165430000</v>
      </c>
      <c r="L62">
        <v>79925722.505700961</v>
      </c>
      <c r="M62">
        <v>77595700</v>
      </c>
      <c r="N62">
        <v>15760027.92</v>
      </c>
      <c r="O62">
        <v>231.15843599999999</v>
      </c>
      <c r="P62">
        <v>2.6382174998663523</v>
      </c>
      <c r="Q62">
        <v>43.891456300000002</v>
      </c>
      <c r="R62">
        <v>800.436869</v>
      </c>
      <c r="S62">
        <v>3.5334849400000002E-9</v>
      </c>
      <c r="T62">
        <v>21.812572835375608</v>
      </c>
      <c r="U62">
        <v>100.934</v>
      </c>
      <c r="V62">
        <v>-603.75777104209953</v>
      </c>
      <c r="W62">
        <v>69.218870699999997</v>
      </c>
      <c r="X62">
        <v>94.834341800000004</v>
      </c>
      <c r="Y62">
        <v>177.97</v>
      </c>
      <c r="Z62">
        <v>254.86651000000001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2.6382174998663523</v>
      </c>
    </row>
    <row r="63" spans="1:40" x14ac:dyDescent="0.3">
      <c r="A63">
        <v>28</v>
      </c>
      <c r="B63">
        <v>19</v>
      </c>
      <c r="C63">
        <v>6.90147678059631</v>
      </c>
      <c r="D63">
        <v>29</v>
      </c>
      <c r="E63">
        <v>14</v>
      </c>
      <c r="F63">
        <v>0.3189785993839504</v>
      </c>
      <c r="G63">
        <v>14</v>
      </c>
      <c r="H63">
        <v>10</v>
      </c>
      <c r="I63">
        <v>0.63969573227397047</v>
      </c>
      <c r="J63">
        <v>327190471.48763591</v>
      </c>
      <c r="K63">
        <v>165430000</v>
      </c>
      <c r="L63">
        <v>79925724.934428856</v>
      </c>
      <c r="M63">
        <v>77595700</v>
      </c>
      <c r="N63">
        <v>15760527.52</v>
      </c>
      <c r="O63">
        <v>231.65825100000001</v>
      </c>
      <c r="P63">
        <v>2.63252201117901</v>
      </c>
      <c r="Q63">
        <v>43.8411185</v>
      </c>
      <c r="R63">
        <v>799.905484</v>
      </c>
      <c r="S63">
        <v>1.55472436E-12</v>
      </c>
      <c r="T63">
        <v>21.653011478134633</v>
      </c>
      <c r="U63">
        <v>100.934</v>
      </c>
      <c r="V63">
        <v>-602.51436169131944</v>
      </c>
      <c r="W63">
        <v>69.222276399999998</v>
      </c>
      <c r="X63">
        <v>94.862442400000006</v>
      </c>
      <c r="Y63">
        <v>170.55</v>
      </c>
      <c r="Z63">
        <v>255.85113000000001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2.63252201117901</v>
      </c>
    </row>
    <row r="64" spans="1:40" x14ac:dyDescent="0.3">
      <c r="A64">
        <v>39</v>
      </c>
      <c r="B64">
        <v>12</v>
      </c>
      <c r="C64">
        <v>6.3807772960184872</v>
      </c>
      <c r="D64">
        <v>10</v>
      </c>
      <c r="E64">
        <v>5</v>
      </c>
      <c r="F64">
        <v>0.37103309086682917</v>
      </c>
      <c r="G64">
        <v>19</v>
      </c>
      <c r="H64">
        <v>14</v>
      </c>
      <c r="I64">
        <v>1.2377750818347082</v>
      </c>
      <c r="J64">
        <v>327191502.03893429</v>
      </c>
      <c r="K64">
        <v>165430000</v>
      </c>
      <c r="L64">
        <v>79925720.202086866</v>
      </c>
      <c r="M64">
        <v>77595700</v>
      </c>
      <c r="N64">
        <v>15759526.560000001</v>
      </c>
      <c r="O64">
        <v>231.26372699999999</v>
      </c>
      <c r="P64">
        <v>2.6370159831583142</v>
      </c>
      <c r="Q64">
        <v>43.8312715</v>
      </c>
      <c r="R64">
        <v>801.1548469999999</v>
      </c>
      <c r="S64">
        <v>3.4040216800000002E-8</v>
      </c>
      <c r="T64">
        <v>21.697796299067697</v>
      </c>
      <c r="U64">
        <v>100.934</v>
      </c>
      <c r="V64">
        <v>-616.7066910953198</v>
      </c>
      <c r="W64">
        <v>69.221199600000006</v>
      </c>
      <c r="X64">
        <v>94.854310499999997</v>
      </c>
      <c r="Y64">
        <v>144.29</v>
      </c>
      <c r="Z64">
        <v>254.509422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2.6370159831583142</v>
      </c>
    </row>
    <row r="65" spans="1:40" x14ac:dyDescent="0.3">
      <c r="A65">
        <v>27</v>
      </c>
      <c r="B65">
        <v>18</v>
      </c>
      <c r="C65">
        <v>12.429126247814779</v>
      </c>
      <c r="D65">
        <v>16</v>
      </c>
      <c r="E65">
        <v>14</v>
      </c>
      <c r="F65">
        <v>0.38789158477799895</v>
      </c>
      <c r="G65">
        <v>29</v>
      </c>
      <c r="H65">
        <v>12</v>
      </c>
      <c r="I65">
        <v>0.60712044293903134</v>
      </c>
      <c r="J65">
        <v>327192958.17870295</v>
      </c>
      <c r="K65">
        <v>165430000</v>
      </c>
      <c r="L65">
        <v>79925721.091237113</v>
      </c>
      <c r="M65">
        <v>77595700</v>
      </c>
      <c r="N65">
        <v>15759754.960000001</v>
      </c>
      <c r="O65">
        <v>231.12102999999999</v>
      </c>
      <c r="P65">
        <v>2.6386483866556998</v>
      </c>
      <c r="Q65">
        <v>43.871291999999997</v>
      </c>
      <c r="R65">
        <v>800.75576899999999</v>
      </c>
      <c r="S65">
        <v>2.78523889E-8</v>
      </c>
      <c r="T65">
        <v>21.787723417040507</v>
      </c>
      <c r="U65">
        <v>100.934</v>
      </c>
      <c r="V65">
        <v>-610.51904592943197</v>
      </c>
      <c r="W65">
        <v>69.221199600000006</v>
      </c>
      <c r="X65">
        <v>94.856706799999998</v>
      </c>
      <c r="Y65">
        <v>165.7</v>
      </c>
      <c r="Z65">
        <v>254.10677699999999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2.6386483866556998</v>
      </c>
    </row>
    <row r="66" spans="1:40" x14ac:dyDescent="0.3">
      <c r="A66">
        <v>27</v>
      </c>
      <c r="B66">
        <v>12</v>
      </c>
      <c r="C66">
        <v>8.6111254115257267</v>
      </c>
      <c r="D66">
        <v>17</v>
      </c>
      <c r="E66">
        <v>14</v>
      </c>
      <c r="F66">
        <v>0.41030850860619295</v>
      </c>
      <c r="G66">
        <v>28</v>
      </c>
      <c r="H66">
        <v>13</v>
      </c>
      <c r="I66">
        <v>1.3695777920082646</v>
      </c>
      <c r="J66">
        <v>327192255.39373899</v>
      </c>
      <c r="K66">
        <v>165430000</v>
      </c>
      <c r="L66">
        <v>79925720.086012483</v>
      </c>
      <c r="M66">
        <v>77595700</v>
      </c>
      <c r="N66">
        <v>15759517.92</v>
      </c>
      <c r="O66">
        <v>230.853342</v>
      </c>
      <c r="P66">
        <v>2.6417059877024869</v>
      </c>
      <c r="Q66">
        <v>43.847880400000001</v>
      </c>
      <c r="R66">
        <v>801.91072299999996</v>
      </c>
      <c r="S66">
        <v>3.5661167199999998E-16</v>
      </c>
      <c r="T66">
        <v>21.591094145895763</v>
      </c>
      <c r="U66">
        <v>100.934</v>
      </c>
      <c r="V66">
        <v>-627.10512713228161</v>
      </c>
      <c r="W66">
        <v>69.223042800000002</v>
      </c>
      <c r="X66">
        <v>94.867174000000006</v>
      </c>
      <c r="Y66">
        <v>121.52199999999999</v>
      </c>
      <c r="Z66">
        <v>254.00841700000001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2.6417059877024869</v>
      </c>
    </row>
    <row r="67" spans="1:40" x14ac:dyDescent="0.3">
      <c r="A67">
        <v>35</v>
      </c>
      <c r="B67">
        <v>19</v>
      </c>
      <c r="C67">
        <v>10.262024069314272</v>
      </c>
      <c r="D67">
        <v>18</v>
      </c>
      <c r="E67">
        <v>5</v>
      </c>
      <c r="F67">
        <v>0.30801134014240356</v>
      </c>
      <c r="G67">
        <v>23</v>
      </c>
      <c r="H67">
        <v>7</v>
      </c>
      <c r="I67">
        <v>0.72549700262062822</v>
      </c>
      <c r="J67">
        <v>327194688.41393661</v>
      </c>
      <c r="K67">
        <v>165430000</v>
      </c>
      <c r="L67">
        <v>79925723.76854907</v>
      </c>
      <c r="M67">
        <v>77595700</v>
      </c>
      <c r="N67">
        <v>15760374.879999999</v>
      </c>
      <c r="O67">
        <v>231.87627000000001</v>
      </c>
      <c r="P67">
        <v>2.6300591583207584</v>
      </c>
      <c r="Q67">
        <v>43.811398500000003</v>
      </c>
      <c r="R67">
        <v>800.20528400000001</v>
      </c>
      <c r="S67">
        <v>5.5856919200000003E-8</v>
      </c>
      <c r="T67">
        <v>21.719881118216737</v>
      </c>
      <c r="U67">
        <v>100.934</v>
      </c>
      <c r="V67">
        <v>-601.27731942221089</v>
      </c>
      <c r="W67">
        <v>69.218846499999998</v>
      </c>
      <c r="X67">
        <v>94.833289899999997</v>
      </c>
      <c r="Y67">
        <v>170.55</v>
      </c>
      <c r="Z67">
        <v>254.165764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2.6300591583207584</v>
      </c>
    </row>
    <row r="68" spans="1:40" x14ac:dyDescent="0.3">
      <c r="A68">
        <v>29</v>
      </c>
      <c r="B68">
        <v>10</v>
      </c>
      <c r="C68">
        <v>3.9788649779295877</v>
      </c>
      <c r="D68">
        <v>28</v>
      </c>
      <c r="E68">
        <v>5</v>
      </c>
      <c r="F68">
        <v>0.31630159486520398</v>
      </c>
      <c r="G68">
        <v>20</v>
      </c>
      <c r="H68">
        <v>11</v>
      </c>
      <c r="I68">
        <v>0.87861419501421678</v>
      </c>
      <c r="J68">
        <v>327192535.15445828</v>
      </c>
      <c r="K68">
        <v>165430000</v>
      </c>
      <c r="L68">
        <v>79925720.696173355</v>
      </c>
      <c r="M68">
        <v>77595700</v>
      </c>
      <c r="N68">
        <v>15759657.76</v>
      </c>
      <c r="O68">
        <v>231.77106499999999</v>
      </c>
      <c r="P68">
        <v>2.6312466819770091</v>
      </c>
      <c r="Q68">
        <v>43.819668200000002</v>
      </c>
      <c r="R68">
        <v>800.11660299999994</v>
      </c>
      <c r="S68">
        <v>5.0628615000000003E-8</v>
      </c>
      <c r="T68">
        <v>21.764687847031905</v>
      </c>
      <c r="U68">
        <v>100.934</v>
      </c>
      <c r="V68">
        <v>-590.18685947380663</v>
      </c>
      <c r="W68">
        <v>69.236036900000002</v>
      </c>
      <c r="X68">
        <v>94.916723000000005</v>
      </c>
      <c r="Y68">
        <v>177.97</v>
      </c>
      <c r="Z68">
        <v>254.39812000000001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2.6312466819770091</v>
      </c>
    </row>
    <row r="69" spans="1:40" x14ac:dyDescent="0.3">
      <c r="A69">
        <v>33</v>
      </c>
      <c r="B69">
        <v>19</v>
      </c>
      <c r="C69">
        <v>10.019610252235282</v>
      </c>
      <c r="D69">
        <v>18</v>
      </c>
      <c r="E69">
        <v>14</v>
      </c>
      <c r="F69">
        <v>0.34485172731425517</v>
      </c>
      <c r="G69">
        <v>26</v>
      </c>
      <c r="H69">
        <v>9</v>
      </c>
      <c r="I69">
        <v>1.386459299533336</v>
      </c>
      <c r="J69">
        <v>327192639.91002202</v>
      </c>
      <c r="K69">
        <v>165430000</v>
      </c>
      <c r="L69">
        <v>79925720.696173355</v>
      </c>
      <c r="M69">
        <v>77595700</v>
      </c>
      <c r="N69">
        <v>15759657.76</v>
      </c>
      <c r="O69">
        <v>231.40353899999999</v>
      </c>
      <c r="P69">
        <v>2.6354260592072403</v>
      </c>
      <c r="Q69">
        <v>43.820794200000002</v>
      </c>
      <c r="R69">
        <v>800.97716300000002</v>
      </c>
      <c r="S69">
        <v>1.3890435499999999E-15</v>
      </c>
      <c r="T69">
        <v>21.545415066396323</v>
      </c>
      <c r="U69">
        <v>100.934</v>
      </c>
      <c r="V69">
        <v>-619.6675432872471</v>
      </c>
      <c r="W69">
        <v>69.219048200000003</v>
      </c>
      <c r="X69">
        <v>94.837404800000002</v>
      </c>
      <c r="Y69">
        <v>121.52199999999999</v>
      </c>
      <c r="Z69">
        <v>254.128173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2.6354260592072403</v>
      </c>
    </row>
    <row r="70" spans="1:40" x14ac:dyDescent="0.3">
      <c r="A70">
        <v>35</v>
      </c>
      <c r="B70">
        <v>14</v>
      </c>
      <c r="C70">
        <v>12.750545475662458</v>
      </c>
      <c r="D70">
        <v>29</v>
      </c>
      <c r="E70">
        <v>9</v>
      </c>
      <c r="F70">
        <v>0.30443025839837501</v>
      </c>
      <c r="G70">
        <v>20</v>
      </c>
      <c r="H70">
        <v>7</v>
      </c>
      <c r="I70">
        <v>1.1098275284458965</v>
      </c>
      <c r="J70">
        <v>327193641.88907903</v>
      </c>
      <c r="K70">
        <v>165430000</v>
      </c>
      <c r="L70">
        <v>79925722.225068048</v>
      </c>
      <c r="M70">
        <v>77595700</v>
      </c>
      <c r="N70">
        <v>15760014.639999999</v>
      </c>
      <c r="O70">
        <v>231.87362400000001</v>
      </c>
      <c r="P70">
        <v>2.6300861070424961</v>
      </c>
      <c r="Q70">
        <v>43.8271412</v>
      </c>
      <c r="R70">
        <v>799.82125500000006</v>
      </c>
      <c r="S70">
        <v>3.4162753400000001E-11</v>
      </c>
      <c r="T70">
        <v>21.665531728933807</v>
      </c>
      <c r="U70">
        <v>100.934</v>
      </c>
      <c r="V70">
        <v>-598.37228592086308</v>
      </c>
      <c r="W70">
        <v>69.219048200000003</v>
      </c>
      <c r="X70">
        <v>94.838612100000006</v>
      </c>
      <c r="Y70">
        <v>177.97</v>
      </c>
      <c r="Z70">
        <v>254.13081199999999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2.6300861070424961</v>
      </c>
    </row>
    <row r="71" spans="1:40" x14ac:dyDescent="0.3">
      <c r="A71">
        <v>30</v>
      </c>
      <c r="B71">
        <v>19</v>
      </c>
      <c r="C71">
        <v>2.4600246615859276</v>
      </c>
      <c r="D71">
        <v>28</v>
      </c>
      <c r="E71">
        <v>5</v>
      </c>
      <c r="F71">
        <v>0.32212325250588553</v>
      </c>
      <c r="G71">
        <v>21</v>
      </c>
      <c r="H71">
        <v>7</v>
      </c>
      <c r="I71">
        <v>0.47611453980392038</v>
      </c>
      <c r="J71">
        <v>327197555.01497352</v>
      </c>
      <c r="K71">
        <v>165430000</v>
      </c>
      <c r="L71">
        <v>79925728.08220154</v>
      </c>
      <c r="M71">
        <v>77595700</v>
      </c>
      <c r="N71">
        <v>15761379.119999999</v>
      </c>
      <c r="O71">
        <v>231.663532</v>
      </c>
      <c r="P71">
        <v>2.6324827574396052</v>
      </c>
      <c r="Q71">
        <v>43.821798299999998</v>
      </c>
      <c r="R71">
        <v>800.14789399999995</v>
      </c>
      <c r="S71">
        <v>4.7683621199999997E-8</v>
      </c>
      <c r="T71">
        <v>21.777438654547577</v>
      </c>
      <c r="U71">
        <v>100.934</v>
      </c>
      <c r="V71">
        <v>-587.52795034069652</v>
      </c>
      <c r="W71">
        <v>69.246232399999997</v>
      </c>
      <c r="X71">
        <v>94.960312000000002</v>
      </c>
      <c r="Y71">
        <v>177.97</v>
      </c>
      <c r="Z71">
        <v>253.913793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2.6324827574396052</v>
      </c>
    </row>
    <row r="72" spans="1:40" x14ac:dyDescent="0.3">
      <c r="A72">
        <v>38</v>
      </c>
      <c r="B72">
        <v>10</v>
      </c>
      <c r="C72">
        <v>14.082433127447068</v>
      </c>
      <c r="D72">
        <v>10</v>
      </c>
      <c r="E72">
        <v>7</v>
      </c>
      <c r="F72">
        <v>0.31182269335164542</v>
      </c>
      <c r="G72">
        <v>16</v>
      </c>
      <c r="H72">
        <v>14</v>
      </c>
      <c r="I72">
        <v>0.77855767427146927</v>
      </c>
      <c r="J72">
        <v>327182451.6172114</v>
      </c>
      <c r="K72">
        <v>165430000</v>
      </c>
      <c r="L72">
        <v>79925728.239569634</v>
      </c>
      <c r="M72">
        <v>77595700</v>
      </c>
      <c r="N72">
        <v>15761094.4</v>
      </c>
      <c r="O72">
        <v>231.91671600000001</v>
      </c>
      <c r="P72">
        <v>2.6295646601800091</v>
      </c>
      <c r="Q72">
        <v>43.7581408</v>
      </c>
      <c r="R72">
        <v>801.38192399999991</v>
      </c>
      <c r="S72">
        <v>1.66816446E-9</v>
      </c>
      <c r="T72">
        <v>21.449848303583828</v>
      </c>
      <c r="U72">
        <v>100.934</v>
      </c>
      <c r="V72">
        <v>-616.27322295664328</v>
      </c>
      <c r="W72">
        <v>69.220335899999995</v>
      </c>
      <c r="X72">
        <v>94.848541999999995</v>
      </c>
      <c r="Y72">
        <v>121.52199999999999</v>
      </c>
      <c r="Z72">
        <v>260.58578699999998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2.6295646601800091</v>
      </c>
    </row>
    <row r="73" spans="1:40" x14ac:dyDescent="0.3">
      <c r="A73">
        <v>27</v>
      </c>
      <c r="B73">
        <v>18</v>
      </c>
      <c r="C73">
        <v>13.913322198875271</v>
      </c>
      <c r="D73">
        <v>29</v>
      </c>
      <c r="E73">
        <v>14</v>
      </c>
      <c r="F73">
        <v>0.31904259239675947</v>
      </c>
      <c r="G73">
        <v>21</v>
      </c>
      <c r="H73">
        <v>7</v>
      </c>
      <c r="I73">
        <v>1.2571954244162793</v>
      </c>
      <c r="J73">
        <v>327193454.14833504</v>
      </c>
      <c r="K73">
        <v>165430000</v>
      </c>
      <c r="L73">
        <v>79925721.938066453</v>
      </c>
      <c r="M73">
        <v>77595700</v>
      </c>
      <c r="N73">
        <v>15759947.76</v>
      </c>
      <c r="O73">
        <v>231.727799</v>
      </c>
      <c r="P73">
        <v>2.6317406554369831</v>
      </c>
      <c r="Q73">
        <v>43.838747300000001</v>
      </c>
      <c r="R73">
        <v>799.98760500000003</v>
      </c>
      <c r="S73">
        <v>1.09214968E-9</v>
      </c>
      <c r="T73">
        <v>21.716560436736877</v>
      </c>
      <c r="U73">
        <v>100.934</v>
      </c>
      <c r="V73">
        <v>-598.23650278132902</v>
      </c>
      <c r="W73">
        <v>69.220955000000004</v>
      </c>
      <c r="X73">
        <v>94.855415500000007</v>
      </c>
      <c r="Y73">
        <v>177.97</v>
      </c>
      <c r="Z73">
        <v>254.264723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2.6317406554369831</v>
      </c>
    </row>
    <row r="74" spans="1:40" x14ac:dyDescent="0.3">
      <c r="A74">
        <v>28</v>
      </c>
      <c r="B74">
        <v>19</v>
      </c>
      <c r="C74">
        <v>12.58295089362546</v>
      </c>
      <c r="D74">
        <v>11</v>
      </c>
      <c r="E74">
        <v>8</v>
      </c>
      <c r="F74">
        <v>0.34031394351175842</v>
      </c>
      <c r="G74">
        <v>16</v>
      </c>
      <c r="H74">
        <v>12</v>
      </c>
      <c r="I74">
        <v>0.96125364400045399</v>
      </c>
      <c r="J74">
        <v>327190295.62804824</v>
      </c>
      <c r="K74">
        <v>165430000</v>
      </c>
      <c r="L74">
        <v>79925721.006800711</v>
      </c>
      <c r="M74">
        <v>77595700</v>
      </c>
      <c r="N74">
        <v>15759672.560000001</v>
      </c>
      <c r="O74">
        <v>231.634906</v>
      </c>
      <c r="P74">
        <v>2.6327868108338981</v>
      </c>
      <c r="Q74">
        <v>43.783880000000003</v>
      </c>
      <c r="R74">
        <v>801.46434899999997</v>
      </c>
      <c r="S74">
        <v>1.6848106399999999E-10</v>
      </c>
      <c r="T74">
        <v>21.477540848418482</v>
      </c>
      <c r="U74">
        <v>100.934</v>
      </c>
      <c r="V74">
        <v>-619.76070285543631</v>
      </c>
      <c r="W74">
        <v>69.220491199999998</v>
      </c>
      <c r="X74">
        <v>94.8518799</v>
      </c>
      <c r="Y74">
        <v>121.52199999999999</v>
      </c>
      <c r="Z74">
        <v>255.09652700000001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2.6327868108338981</v>
      </c>
    </row>
    <row r="75" spans="1:40" x14ac:dyDescent="0.3">
      <c r="A75">
        <v>36</v>
      </c>
      <c r="B75">
        <v>10</v>
      </c>
      <c r="C75">
        <v>5.6594024336075526</v>
      </c>
      <c r="D75">
        <v>28</v>
      </c>
      <c r="E75">
        <v>5</v>
      </c>
      <c r="F75">
        <v>0.34001450325463839</v>
      </c>
      <c r="G75">
        <v>15</v>
      </c>
      <c r="H75">
        <v>7</v>
      </c>
      <c r="I75">
        <v>1.0064415617463554</v>
      </c>
      <c r="J75">
        <v>327193895.77796143</v>
      </c>
      <c r="K75">
        <v>165430000</v>
      </c>
      <c r="L75">
        <v>79925722.925212234</v>
      </c>
      <c r="M75">
        <v>77595700</v>
      </c>
      <c r="N75">
        <v>15760172.720000001</v>
      </c>
      <c r="O75">
        <v>231.634906</v>
      </c>
      <c r="P75">
        <v>2.6327973618352845</v>
      </c>
      <c r="Q75">
        <v>43.841707599999999</v>
      </c>
      <c r="R75">
        <v>800.18364099999997</v>
      </c>
      <c r="S75">
        <v>4.0694846799999999E-8</v>
      </c>
      <c r="T75">
        <v>21.780629638545811</v>
      </c>
      <c r="U75">
        <v>100.934</v>
      </c>
      <c r="V75">
        <v>-595.56300425063603</v>
      </c>
      <c r="W75">
        <v>69.225767200000007</v>
      </c>
      <c r="X75">
        <v>94.873818799999995</v>
      </c>
      <c r="Y75">
        <v>177.97</v>
      </c>
      <c r="Z75">
        <v>254.24511899999999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2.6327973618352845</v>
      </c>
    </row>
    <row r="76" spans="1:40" x14ac:dyDescent="0.3">
      <c r="A76">
        <v>39</v>
      </c>
      <c r="B76">
        <v>13</v>
      </c>
      <c r="C76">
        <v>8.5612440277751425</v>
      </c>
      <c r="D76">
        <v>29</v>
      </c>
      <c r="E76">
        <v>5</v>
      </c>
      <c r="F76">
        <v>0.34266415514009285</v>
      </c>
      <c r="G76">
        <v>25</v>
      </c>
      <c r="H76">
        <v>9</v>
      </c>
      <c r="I76">
        <v>0.57462736957860949</v>
      </c>
      <c r="J76">
        <v>327194232.11714393</v>
      </c>
      <c r="K76">
        <v>165430000</v>
      </c>
      <c r="L76">
        <v>79925723.07436268</v>
      </c>
      <c r="M76">
        <v>77595700</v>
      </c>
      <c r="N76">
        <v>15760215.120000001</v>
      </c>
      <c r="O76">
        <v>231.66141099999999</v>
      </c>
      <c r="P76">
        <v>2.6324971220664</v>
      </c>
      <c r="Q76">
        <v>43.845516000000003</v>
      </c>
      <c r="R76">
        <v>800.15402700000004</v>
      </c>
      <c r="S76">
        <v>3.9777622699999998E-8</v>
      </c>
      <c r="T76">
        <v>21.78195245372526</v>
      </c>
      <c r="U76">
        <v>100.934</v>
      </c>
      <c r="V76">
        <v>-597.51237203684389</v>
      </c>
      <c r="W76">
        <v>69.219627099999997</v>
      </c>
      <c r="X76">
        <v>94.844186899999997</v>
      </c>
      <c r="Y76">
        <v>177.97</v>
      </c>
      <c r="Z76">
        <v>254.152368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2.6324971220664</v>
      </c>
    </row>
    <row r="77" spans="1:40" x14ac:dyDescent="0.3">
      <c r="A77">
        <v>30</v>
      </c>
      <c r="B77">
        <v>19</v>
      </c>
      <c r="C77">
        <v>11.346086301050955</v>
      </c>
      <c r="D77">
        <v>15</v>
      </c>
      <c r="E77">
        <v>13</v>
      </c>
      <c r="F77">
        <v>0.30018604816664307</v>
      </c>
      <c r="G77">
        <v>23</v>
      </c>
      <c r="H77">
        <v>8</v>
      </c>
      <c r="I77">
        <v>0.66146159357191903</v>
      </c>
      <c r="J77">
        <v>327193984.24853712</v>
      </c>
      <c r="K77">
        <v>165430000</v>
      </c>
      <c r="L77">
        <v>79925722.723879695</v>
      </c>
      <c r="M77">
        <v>77595700</v>
      </c>
      <c r="N77">
        <v>15760131.84</v>
      </c>
      <c r="O77">
        <v>232.43554499999999</v>
      </c>
      <c r="P77">
        <v>2.6237287824651245</v>
      </c>
      <c r="Q77">
        <v>43.7025583</v>
      </c>
      <c r="R77">
        <v>801.71962600000006</v>
      </c>
      <c r="S77">
        <v>1.1109203E-13</v>
      </c>
      <c r="T77">
        <v>21.224551760446943</v>
      </c>
      <c r="U77">
        <v>100.934</v>
      </c>
      <c r="V77">
        <v>-616.87043160331825</v>
      </c>
      <c r="W77">
        <v>69.219627099999997</v>
      </c>
      <c r="X77">
        <v>94.844660500000003</v>
      </c>
      <c r="Y77">
        <v>121.52199999999999</v>
      </c>
      <c r="Z77">
        <v>254.25302400000001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2.6237287824651245</v>
      </c>
    </row>
    <row r="78" spans="1:40" x14ac:dyDescent="0.3">
      <c r="A78">
        <v>38</v>
      </c>
      <c r="B78">
        <v>18</v>
      </c>
      <c r="C78">
        <v>11.163639192261289</v>
      </c>
      <c r="D78">
        <v>29</v>
      </c>
      <c r="E78">
        <v>14</v>
      </c>
      <c r="F78">
        <v>0.32593063603202455</v>
      </c>
      <c r="G78">
        <v>22</v>
      </c>
      <c r="H78">
        <v>7</v>
      </c>
      <c r="I78">
        <v>0.71640114913220088</v>
      </c>
      <c r="J78">
        <v>327194769.36506778</v>
      </c>
      <c r="K78">
        <v>165430000</v>
      </c>
      <c r="L78">
        <v>79925723.896128163</v>
      </c>
      <c r="M78">
        <v>77595700</v>
      </c>
      <c r="N78">
        <v>15760404.479999999</v>
      </c>
      <c r="O78">
        <v>231.59320399999999</v>
      </c>
      <c r="P78">
        <v>2.6332739991146168</v>
      </c>
      <c r="Q78">
        <v>43.849068099999997</v>
      </c>
      <c r="R78">
        <v>799.95658300000002</v>
      </c>
      <c r="S78">
        <v>1.6194269499999999E-15</v>
      </c>
      <c r="T78">
        <v>21.663147949125378</v>
      </c>
      <c r="U78">
        <v>100.934</v>
      </c>
      <c r="V78">
        <v>-604.11114440273195</v>
      </c>
      <c r="W78">
        <v>69.218688999999998</v>
      </c>
      <c r="X78">
        <v>94.830011999999996</v>
      </c>
      <c r="Y78">
        <v>170.55</v>
      </c>
      <c r="Z78">
        <v>253.99375900000001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2.6332739991146168</v>
      </c>
    </row>
    <row r="79" spans="1:40" x14ac:dyDescent="0.3">
      <c r="A79">
        <v>29</v>
      </c>
      <c r="B79">
        <v>19</v>
      </c>
      <c r="C79">
        <v>4.7216799324451557</v>
      </c>
      <c r="D79">
        <v>17</v>
      </c>
      <c r="E79">
        <v>14</v>
      </c>
      <c r="F79">
        <v>0.30758067707138576</v>
      </c>
      <c r="G79">
        <v>17</v>
      </c>
      <c r="H79">
        <v>14</v>
      </c>
      <c r="I79">
        <v>1.2905758517254353</v>
      </c>
      <c r="J79">
        <v>327188887.14587164</v>
      </c>
      <c r="K79">
        <v>165430000</v>
      </c>
      <c r="L79">
        <v>79925720.474707559</v>
      </c>
      <c r="M79">
        <v>77595700</v>
      </c>
      <c r="N79">
        <v>15759527.52</v>
      </c>
      <c r="O79">
        <v>231.96593300000001</v>
      </c>
      <c r="P79">
        <v>2.6290255702771996</v>
      </c>
      <c r="Q79">
        <v>43.757862000000003</v>
      </c>
      <c r="R79">
        <v>801.11431400000004</v>
      </c>
      <c r="S79">
        <v>7.6373760700000004E-13</v>
      </c>
      <c r="T79">
        <v>21.392447087605145</v>
      </c>
      <c r="U79">
        <v>100.934</v>
      </c>
      <c r="V79">
        <v>-615.5557062751493</v>
      </c>
      <c r="W79">
        <v>69.223515399999997</v>
      </c>
      <c r="X79">
        <v>94.870255299999997</v>
      </c>
      <c r="Y79">
        <v>121.52199999999999</v>
      </c>
      <c r="Z79">
        <v>255.70289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2.6290255702771996</v>
      </c>
    </row>
    <row r="80" spans="1:40" x14ac:dyDescent="0.3">
      <c r="A80">
        <v>38</v>
      </c>
      <c r="B80">
        <v>18</v>
      </c>
      <c r="C80">
        <v>4.483399035760641</v>
      </c>
      <c r="D80">
        <v>14</v>
      </c>
      <c r="E80">
        <v>12</v>
      </c>
      <c r="F80">
        <v>0.30317104523435584</v>
      </c>
      <c r="G80">
        <v>27</v>
      </c>
      <c r="H80">
        <v>7</v>
      </c>
      <c r="I80">
        <v>0.77739490398963818</v>
      </c>
      <c r="J80">
        <v>327194215.12927842</v>
      </c>
      <c r="K80">
        <v>165430000</v>
      </c>
      <c r="L80">
        <v>79925723.068404868</v>
      </c>
      <c r="M80">
        <v>77595700</v>
      </c>
      <c r="N80">
        <v>15760211.279999999</v>
      </c>
      <c r="O80">
        <v>232.405227</v>
      </c>
      <c r="P80">
        <v>2.6240717306200776</v>
      </c>
      <c r="Q80">
        <v>43.704921300000002</v>
      </c>
      <c r="R80">
        <v>801.74230999999997</v>
      </c>
      <c r="S80">
        <v>4.01101008E-13</v>
      </c>
      <c r="T80">
        <v>21.231339520560226</v>
      </c>
      <c r="U80">
        <v>100.934</v>
      </c>
      <c r="V80">
        <v>-617.11069181031769</v>
      </c>
      <c r="W80">
        <v>69.219436999999999</v>
      </c>
      <c r="X80">
        <v>94.843875499999996</v>
      </c>
      <c r="Y80">
        <v>121.52199999999999</v>
      </c>
      <c r="Z80">
        <v>254.22318000000001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2.6240717306200776</v>
      </c>
    </row>
    <row r="81" spans="1:40" x14ac:dyDescent="0.3">
      <c r="A81">
        <v>28</v>
      </c>
      <c r="B81">
        <v>18</v>
      </c>
      <c r="C81">
        <v>3.8690939532051973</v>
      </c>
      <c r="D81">
        <v>23</v>
      </c>
      <c r="E81">
        <v>9</v>
      </c>
      <c r="F81">
        <v>0.31081379109176516</v>
      </c>
      <c r="G81">
        <v>17</v>
      </c>
      <c r="H81">
        <v>8</v>
      </c>
      <c r="I81">
        <v>1.0650011922143461</v>
      </c>
      <c r="J81">
        <v>327193213.91276479</v>
      </c>
      <c r="K81">
        <v>165430000</v>
      </c>
      <c r="L81">
        <v>79925721.712080941</v>
      </c>
      <c r="M81">
        <v>77595700</v>
      </c>
      <c r="N81">
        <v>15759893.760000002</v>
      </c>
      <c r="O81">
        <v>231.687792</v>
      </c>
      <c r="P81">
        <v>2.6321943908813368</v>
      </c>
      <c r="Q81">
        <v>43.8283074</v>
      </c>
      <c r="R81">
        <v>800.02526699999999</v>
      </c>
      <c r="S81">
        <v>3.1068996399999998E-11</v>
      </c>
      <c r="T81">
        <v>21.663235547427679</v>
      </c>
      <c r="U81">
        <v>100.934</v>
      </c>
      <c r="V81">
        <v>-600.06749671240539</v>
      </c>
      <c r="W81">
        <v>69.228582099999997</v>
      </c>
      <c r="X81">
        <v>94.890778100000006</v>
      </c>
      <c r="Y81">
        <v>170.55</v>
      </c>
      <c r="Z81">
        <v>254.15206499999999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2.6321943908813368</v>
      </c>
    </row>
    <row r="82" spans="1:40" x14ac:dyDescent="0.3">
      <c r="A82">
        <v>37</v>
      </c>
      <c r="B82">
        <v>10</v>
      </c>
      <c r="C82">
        <v>14.08809456942244</v>
      </c>
      <c r="D82">
        <v>28</v>
      </c>
      <c r="E82">
        <v>5</v>
      </c>
      <c r="F82">
        <v>0.30259209094475531</v>
      </c>
      <c r="G82">
        <v>18</v>
      </c>
      <c r="H82">
        <v>10</v>
      </c>
      <c r="I82">
        <v>1.3307853888681251</v>
      </c>
      <c r="J82">
        <v>327192510.50828409</v>
      </c>
      <c r="K82">
        <v>165430000</v>
      </c>
      <c r="L82">
        <v>79925720.627555937</v>
      </c>
      <c r="M82">
        <v>77595700</v>
      </c>
      <c r="N82">
        <v>15759642.239999998</v>
      </c>
      <c r="O82">
        <v>231.99899600000001</v>
      </c>
      <c r="P82">
        <v>2.6286615008814351</v>
      </c>
      <c r="Q82">
        <v>43.8114493</v>
      </c>
      <c r="R82">
        <v>799.98641899999996</v>
      </c>
      <c r="S82">
        <v>5.8485233800000002E-8</v>
      </c>
      <c r="T82">
        <v>21.744519825079696</v>
      </c>
      <c r="U82">
        <v>100.934</v>
      </c>
      <c r="V82">
        <v>-594.58563757359002</v>
      </c>
      <c r="W82">
        <v>69.220378600000004</v>
      </c>
      <c r="X82">
        <v>94.849111899999997</v>
      </c>
      <c r="Y82">
        <v>177.97</v>
      </c>
      <c r="Z82">
        <v>254.42900599999999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2.6286615008814351</v>
      </c>
    </row>
    <row r="83" spans="1:40" x14ac:dyDescent="0.3">
      <c r="A83">
        <v>39</v>
      </c>
      <c r="B83">
        <v>19</v>
      </c>
      <c r="C83">
        <v>7.8619089782132514</v>
      </c>
      <c r="D83">
        <v>23</v>
      </c>
      <c r="E83">
        <v>6</v>
      </c>
      <c r="F83">
        <v>0.3023779400811244</v>
      </c>
      <c r="G83">
        <v>18</v>
      </c>
      <c r="H83">
        <v>7</v>
      </c>
      <c r="I83">
        <v>1.1629367689177486</v>
      </c>
      <c r="J83">
        <v>327193597.79536706</v>
      </c>
      <c r="K83">
        <v>165430000</v>
      </c>
      <c r="L83">
        <v>79925722.183363453</v>
      </c>
      <c r="M83">
        <v>77595700</v>
      </c>
      <c r="N83">
        <v>15760004.800000001</v>
      </c>
      <c r="O83">
        <v>231.906757</v>
      </c>
      <c r="P83">
        <v>2.6297102121037086</v>
      </c>
      <c r="Q83">
        <v>43.817071599999998</v>
      </c>
      <c r="R83">
        <v>800.013509</v>
      </c>
      <c r="S83">
        <v>9.1639225900000005E-9</v>
      </c>
      <c r="T83">
        <v>21.699444264680348</v>
      </c>
      <c r="U83">
        <v>100.934</v>
      </c>
      <c r="V83">
        <v>-598.98898489001158</v>
      </c>
      <c r="W83">
        <v>69.218752899999998</v>
      </c>
      <c r="X83">
        <v>94.831518399999993</v>
      </c>
      <c r="Y83">
        <v>170.55</v>
      </c>
      <c r="Z83">
        <v>254.29642200000001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2.6297102121037086</v>
      </c>
    </row>
    <row r="84" spans="1:40" x14ac:dyDescent="0.3">
      <c r="A84">
        <v>28</v>
      </c>
      <c r="B84">
        <v>12</v>
      </c>
      <c r="C84">
        <v>9.2806134562915599</v>
      </c>
      <c r="D84">
        <v>12</v>
      </c>
      <c r="E84">
        <v>10</v>
      </c>
      <c r="F84">
        <v>0.32652415798533513</v>
      </c>
      <c r="G84">
        <v>17</v>
      </c>
      <c r="H84">
        <v>13</v>
      </c>
      <c r="I84">
        <v>0.39747655555069406</v>
      </c>
      <c r="J84">
        <v>327193638.195283</v>
      </c>
      <c r="K84">
        <v>165430000</v>
      </c>
      <c r="L84">
        <v>79925735.848501712</v>
      </c>
      <c r="M84">
        <v>77595700</v>
      </c>
      <c r="N84">
        <v>15762967.52</v>
      </c>
      <c r="O84">
        <v>232.16866300000001</v>
      </c>
      <c r="P84">
        <v>2.6267437934310847</v>
      </c>
      <c r="Q84">
        <v>43.722826699999999</v>
      </c>
      <c r="R84">
        <v>801.85979199999997</v>
      </c>
      <c r="S84">
        <v>7.7707668100000007E-12</v>
      </c>
      <c r="T84">
        <v>21.275307091670559</v>
      </c>
      <c r="U84">
        <v>100.934</v>
      </c>
      <c r="V84">
        <v>-618.44964251132217</v>
      </c>
      <c r="W84">
        <v>69.221886699999999</v>
      </c>
      <c r="X84">
        <v>94.860790100000003</v>
      </c>
      <c r="Y84">
        <v>121.52199999999999</v>
      </c>
      <c r="Z84">
        <v>256.91935799999999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2.6267437934310847</v>
      </c>
    </row>
    <row r="85" spans="1:40" x14ac:dyDescent="0.3">
      <c r="A85">
        <v>39</v>
      </c>
      <c r="B85">
        <v>18</v>
      </c>
      <c r="C85">
        <v>13.405880048563342</v>
      </c>
      <c r="D85">
        <v>18</v>
      </c>
      <c r="E85">
        <v>13</v>
      </c>
      <c r="F85">
        <v>0.33818968304534397</v>
      </c>
      <c r="G85">
        <v>29</v>
      </c>
      <c r="H85">
        <v>7</v>
      </c>
      <c r="I85">
        <v>0.96729871078523955</v>
      </c>
      <c r="J85">
        <v>327193857.07607949</v>
      </c>
      <c r="K85">
        <v>165430000</v>
      </c>
      <c r="L85">
        <v>79925722.537955254</v>
      </c>
      <c r="M85">
        <v>77595700</v>
      </c>
      <c r="N85">
        <v>15760087.439999999</v>
      </c>
      <c r="O85">
        <v>231.38727499999999</v>
      </c>
      <c r="P85">
        <v>2.635614871875704</v>
      </c>
      <c r="Q85">
        <v>43.831048099999997</v>
      </c>
      <c r="R85">
        <v>800.72720800000002</v>
      </c>
      <c r="S85">
        <v>9.6333038700000006E-15</v>
      </c>
      <c r="T85">
        <v>21.590397587266384</v>
      </c>
      <c r="U85">
        <v>100.934</v>
      </c>
      <c r="V85">
        <v>-617.43039162022183</v>
      </c>
      <c r="W85">
        <v>69.218609200000003</v>
      </c>
      <c r="X85">
        <v>94.827718099999998</v>
      </c>
      <c r="Y85">
        <v>144.29</v>
      </c>
      <c r="Z85">
        <v>254.00288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2.635614871875704</v>
      </c>
    </row>
    <row r="86" spans="1:40" x14ac:dyDescent="0.3">
      <c r="A86">
        <v>27</v>
      </c>
      <c r="B86">
        <v>17</v>
      </c>
      <c r="C86">
        <v>3.3799081806427544</v>
      </c>
      <c r="D86">
        <v>15</v>
      </c>
      <c r="E86">
        <v>13</v>
      </c>
      <c r="F86">
        <v>0.36296054386278032</v>
      </c>
      <c r="G86">
        <v>20</v>
      </c>
      <c r="H86">
        <v>14</v>
      </c>
      <c r="I86">
        <v>0.48761217507118315</v>
      </c>
      <c r="J86">
        <v>327191799.99771947</v>
      </c>
      <c r="K86">
        <v>165430000</v>
      </c>
      <c r="L86">
        <v>79925722.350592718</v>
      </c>
      <c r="M86">
        <v>77595700</v>
      </c>
      <c r="N86">
        <v>15759997.68</v>
      </c>
      <c r="O86">
        <v>231.75846799999999</v>
      </c>
      <c r="P86">
        <v>2.6313875473780266</v>
      </c>
      <c r="Q86">
        <v>43.749559300000001</v>
      </c>
      <c r="R86">
        <v>801.93773899999997</v>
      </c>
      <c r="S86">
        <v>1.7649001400000001E-12</v>
      </c>
      <c r="T86">
        <v>21.323387542800511</v>
      </c>
      <c r="U86">
        <v>100.934</v>
      </c>
      <c r="V86">
        <v>-617.47626743235799</v>
      </c>
      <c r="W86">
        <v>69.236582499999997</v>
      </c>
      <c r="X86">
        <v>94.922871299999997</v>
      </c>
      <c r="Y86">
        <v>121.52199999999999</v>
      </c>
      <c r="Z86">
        <v>254.8852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2.6313875473780266</v>
      </c>
    </row>
    <row r="87" spans="1:40" x14ac:dyDescent="0.3">
      <c r="A87">
        <v>34</v>
      </c>
      <c r="B87">
        <v>14</v>
      </c>
      <c r="C87">
        <v>14.118082210095423</v>
      </c>
      <c r="D87">
        <v>11</v>
      </c>
      <c r="E87">
        <v>9</v>
      </c>
      <c r="F87">
        <v>0.31507163581659509</v>
      </c>
      <c r="G87">
        <v>24</v>
      </c>
      <c r="H87">
        <v>14</v>
      </c>
      <c r="I87">
        <v>0.3342874621134973</v>
      </c>
      <c r="J87">
        <v>327199005.3511216</v>
      </c>
      <c r="K87">
        <v>165430000</v>
      </c>
      <c r="L87">
        <v>79925731.412611619</v>
      </c>
      <c r="M87">
        <v>77595700</v>
      </c>
      <c r="N87">
        <v>15762137.039999999</v>
      </c>
      <c r="O87">
        <v>232.283354</v>
      </c>
      <c r="P87">
        <v>2.6254625119873345</v>
      </c>
      <c r="Q87">
        <v>43.713872100000003</v>
      </c>
      <c r="R87">
        <v>801.86692500000004</v>
      </c>
      <c r="S87">
        <v>5.8547831000000002E-11</v>
      </c>
      <c r="T87">
        <v>21.267675623715949</v>
      </c>
      <c r="U87">
        <v>100.934</v>
      </c>
      <c r="V87">
        <v>-618.31331513441444</v>
      </c>
      <c r="W87">
        <v>69.219062199999996</v>
      </c>
      <c r="X87">
        <v>94.838509500000001</v>
      </c>
      <c r="Y87">
        <v>121.52199999999999</v>
      </c>
      <c r="Z87">
        <v>254.030542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2.6254625119873345</v>
      </c>
    </row>
    <row r="88" spans="1:40" x14ac:dyDescent="0.3">
      <c r="A88">
        <v>39</v>
      </c>
      <c r="B88">
        <v>10</v>
      </c>
      <c r="C88">
        <v>8.8872544935360587</v>
      </c>
      <c r="D88">
        <v>15</v>
      </c>
      <c r="E88">
        <v>13</v>
      </c>
      <c r="F88">
        <v>0.30571103490450763</v>
      </c>
      <c r="G88">
        <v>25</v>
      </c>
      <c r="H88">
        <v>7</v>
      </c>
      <c r="I88">
        <v>1.2101614783450731</v>
      </c>
      <c r="J88">
        <v>327193473.09116846</v>
      </c>
      <c r="K88">
        <v>165430000</v>
      </c>
      <c r="L88">
        <v>79925721.970526189</v>
      </c>
      <c r="M88">
        <v>77595700</v>
      </c>
      <c r="N88">
        <v>15759955.040000001</v>
      </c>
      <c r="O88">
        <v>231.70086699999999</v>
      </c>
      <c r="P88">
        <v>2.6320466141487038</v>
      </c>
      <c r="Q88">
        <v>43.806184199999997</v>
      </c>
      <c r="R88">
        <v>800.44093800000007</v>
      </c>
      <c r="S88">
        <v>3.6853043700000003E-11</v>
      </c>
      <c r="T88">
        <v>21.588896502073997</v>
      </c>
      <c r="U88">
        <v>100.934</v>
      </c>
      <c r="V88">
        <v>-610.22990422118482</v>
      </c>
      <c r="W88">
        <v>69.221950199999995</v>
      </c>
      <c r="X88">
        <v>94.856788499999993</v>
      </c>
      <c r="Y88">
        <v>144.29</v>
      </c>
      <c r="Z88">
        <v>254.253953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2.6320466141487038</v>
      </c>
    </row>
    <row r="89" spans="1:40" x14ac:dyDescent="0.3">
      <c r="A89">
        <v>39</v>
      </c>
      <c r="B89">
        <v>18</v>
      </c>
      <c r="C89">
        <v>4.3520372867406518</v>
      </c>
      <c r="D89">
        <v>29</v>
      </c>
      <c r="E89">
        <v>11</v>
      </c>
      <c r="F89">
        <v>0.31425641837093155</v>
      </c>
      <c r="G89">
        <v>29</v>
      </c>
      <c r="H89">
        <v>10</v>
      </c>
      <c r="I89">
        <v>0.34561469085894014</v>
      </c>
      <c r="J89">
        <v>327201036.59758186</v>
      </c>
      <c r="K89">
        <v>165430000</v>
      </c>
      <c r="L89">
        <v>79925733.401284099</v>
      </c>
      <c r="M89">
        <v>77595700</v>
      </c>
      <c r="N89">
        <v>15762618.08</v>
      </c>
      <c r="O89">
        <v>231.747084</v>
      </c>
      <c r="P89">
        <v>2.6315438644645477</v>
      </c>
      <c r="Q89">
        <v>43.837613300000001</v>
      </c>
      <c r="R89">
        <v>799.86489699999993</v>
      </c>
      <c r="S89">
        <v>6.54399345E-13</v>
      </c>
      <c r="T89">
        <v>21.663695590534953</v>
      </c>
      <c r="U89">
        <v>100.934</v>
      </c>
      <c r="V89">
        <v>-600.50225000874116</v>
      </c>
      <c r="W89">
        <v>69.219437299999996</v>
      </c>
      <c r="X89">
        <v>94.843849199999994</v>
      </c>
      <c r="Y89">
        <v>177.97</v>
      </c>
      <c r="Z89">
        <v>253.45583999999999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2.6315438644645477</v>
      </c>
    </row>
    <row r="90" spans="1:40" x14ac:dyDescent="0.3">
      <c r="A90">
        <v>31</v>
      </c>
      <c r="B90">
        <v>16</v>
      </c>
      <c r="C90">
        <v>12.568075198828643</v>
      </c>
      <c r="D90">
        <v>27</v>
      </c>
      <c r="E90">
        <v>10</v>
      </c>
      <c r="F90">
        <v>0.31566545653544686</v>
      </c>
      <c r="G90">
        <v>12</v>
      </c>
      <c r="H90">
        <v>7</v>
      </c>
      <c r="I90">
        <v>1.3510109900855314</v>
      </c>
      <c r="J90">
        <v>327193511.18937922</v>
      </c>
      <c r="K90">
        <v>165430000</v>
      </c>
      <c r="L90">
        <v>79925723.448060527</v>
      </c>
      <c r="M90">
        <v>77595700</v>
      </c>
      <c r="N90">
        <v>15760277.040000001</v>
      </c>
      <c r="O90">
        <v>231.71906300000001</v>
      </c>
      <c r="P90">
        <v>2.6318400413427985</v>
      </c>
      <c r="Q90">
        <v>43.838156099999999</v>
      </c>
      <c r="R90">
        <v>799.92765799999995</v>
      </c>
      <c r="S90">
        <v>4.1116068199999996E-12</v>
      </c>
      <c r="T90">
        <v>21.668454056595575</v>
      </c>
      <c r="U90">
        <v>100.934</v>
      </c>
      <c r="V90">
        <v>-601.29496699523008</v>
      </c>
      <c r="W90">
        <v>69.219296799999995</v>
      </c>
      <c r="X90">
        <v>94.841948500000001</v>
      </c>
      <c r="Y90">
        <v>177.97</v>
      </c>
      <c r="Z90">
        <v>254.35786400000001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2.6318400413427985</v>
      </c>
    </row>
    <row r="91" spans="1:40" x14ac:dyDescent="0.3">
      <c r="A91">
        <v>27</v>
      </c>
      <c r="B91">
        <v>18</v>
      </c>
      <c r="C91">
        <v>11.950071200571333</v>
      </c>
      <c r="D91">
        <v>16</v>
      </c>
      <c r="E91">
        <v>13</v>
      </c>
      <c r="F91">
        <v>0.30570021980759171</v>
      </c>
      <c r="G91">
        <v>16</v>
      </c>
      <c r="H91">
        <v>14</v>
      </c>
      <c r="I91">
        <v>0.38051761478361845</v>
      </c>
      <c r="J91">
        <v>327199913.52964151</v>
      </c>
      <c r="K91">
        <v>165430000</v>
      </c>
      <c r="L91">
        <v>79925732.682033852</v>
      </c>
      <c r="M91">
        <v>77595700</v>
      </c>
      <c r="N91">
        <v>15762428</v>
      </c>
      <c r="O91">
        <v>231.99400600000001</v>
      </c>
      <c r="P91">
        <v>2.6287397037634008</v>
      </c>
      <c r="Q91">
        <v>43.756518100000001</v>
      </c>
      <c r="R91">
        <v>801.11958699999991</v>
      </c>
      <c r="S91">
        <v>6.7048377399999998E-13</v>
      </c>
      <c r="T91">
        <v>21.390688161045365</v>
      </c>
      <c r="U91">
        <v>100.934</v>
      </c>
      <c r="V91">
        <v>-615.88847674008537</v>
      </c>
      <c r="W91">
        <v>69.221260700000002</v>
      </c>
      <c r="X91">
        <v>94.857230000000001</v>
      </c>
      <c r="Y91">
        <v>121.52199999999999</v>
      </c>
      <c r="Z91">
        <v>253.78679600000001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2.6287397037634008</v>
      </c>
    </row>
    <row r="92" spans="1:40" x14ac:dyDescent="0.3">
      <c r="A92">
        <v>27</v>
      </c>
      <c r="B92">
        <v>11</v>
      </c>
      <c r="C92">
        <v>4.1104460651910504</v>
      </c>
      <c r="D92">
        <v>13</v>
      </c>
      <c r="E92">
        <v>11</v>
      </c>
      <c r="F92">
        <v>0.32291480007230283</v>
      </c>
      <c r="G92">
        <v>14</v>
      </c>
      <c r="H92">
        <v>8</v>
      </c>
      <c r="I92">
        <v>0.51425766229055925</v>
      </c>
      <c r="J92">
        <v>327194520.82915825</v>
      </c>
      <c r="K92">
        <v>165430000</v>
      </c>
      <c r="L92">
        <v>79925726.49187988</v>
      </c>
      <c r="M92">
        <v>77595700</v>
      </c>
      <c r="N92">
        <v>15760957.92</v>
      </c>
      <c r="O92">
        <v>232.122691</v>
      </c>
      <c r="P92">
        <v>2.627266602492436</v>
      </c>
      <c r="Q92">
        <v>43.717293400000003</v>
      </c>
      <c r="R92">
        <v>801.86522000000002</v>
      </c>
      <c r="S92">
        <v>1.3849238499999999E-12</v>
      </c>
      <c r="T92">
        <v>21.270032445891069</v>
      </c>
      <c r="U92">
        <v>100.934</v>
      </c>
      <c r="V92">
        <v>-613.78339604368341</v>
      </c>
      <c r="W92">
        <v>69.234432699999999</v>
      </c>
      <c r="X92">
        <v>94.912070700000001</v>
      </c>
      <c r="Y92">
        <v>121.52199999999999</v>
      </c>
      <c r="Z92">
        <v>254.67598599999999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2.627266602492436</v>
      </c>
    </row>
    <row r="93" spans="1:40" x14ac:dyDescent="0.3">
      <c r="A93">
        <v>37</v>
      </c>
      <c r="B93">
        <v>19</v>
      </c>
      <c r="C93">
        <v>12.0297893843463</v>
      </c>
      <c r="D93">
        <v>10</v>
      </c>
      <c r="E93">
        <v>5</v>
      </c>
      <c r="F93">
        <v>0.37380781565772214</v>
      </c>
      <c r="G93">
        <v>10</v>
      </c>
      <c r="H93">
        <v>8</v>
      </c>
      <c r="I93">
        <v>1.0306663096674256</v>
      </c>
      <c r="J93">
        <v>327187281.66574281</v>
      </c>
      <c r="K93">
        <v>165430000</v>
      </c>
      <c r="L93">
        <v>79925730.825871065</v>
      </c>
      <c r="M93">
        <v>77595700</v>
      </c>
      <c r="N93">
        <v>15761754.960000001</v>
      </c>
      <c r="O93">
        <v>231.259366</v>
      </c>
      <c r="P93">
        <v>2.6370533222070516</v>
      </c>
      <c r="Q93">
        <v>43.833721699999998</v>
      </c>
      <c r="R93">
        <v>801.15743900000007</v>
      </c>
      <c r="S93">
        <v>3.3340242600000001E-8</v>
      </c>
      <c r="T93">
        <v>21.69902666786335</v>
      </c>
      <c r="U93">
        <v>100.934</v>
      </c>
      <c r="V93">
        <v>-617.86808718867758</v>
      </c>
      <c r="W93">
        <v>69.218689299999994</v>
      </c>
      <c r="X93">
        <v>94.829137500000002</v>
      </c>
      <c r="Y93">
        <v>144.29</v>
      </c>
      <c r="Z93">
        <v>258.57319999999999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2.6370533222070516</v>
      </c>
    </row>
    <row r="94" spans="1:40" x14ac:dyDescent="0.3">
      <c r="A94">
        <v>27</v>
      </c>
      <c r="B94">
        <v>11</v>
      </c>
      <c r="C94">
        <v>7.9384539553771836</v>
      </c>
      <c r="D94">
        <v>20</v>
      </c>
      <c r="E94">
        <v>14</v>
      </c>
      <c r="F94">
        <v>0.30768954710865698</v>
      </c>
      <c r="G94">
        <v>28</v>
      </c>
      <c r="H94">
        <v>8</v>
      </c>
      <c r="I94">
        <v>0.3841500495769391</v>
      </c>
      <c r="J94">
        <v>327199604.02349597</v>
      </c>
      <c r="K94">
        <v>165430000</v>
      </c>
      <c r="L94">
        <v>79925731.105271325</v>
      </c>
      <c r="M94">
        <v>77595700</v>
      </c>
      <c r="N94">
        <v>15762084.800000001</v>
      </c>
      <c r="O94">
        <v>231.86464100000001</v>
      </c>
      <c r="P94">
        <v>2.630205458957807</v>
      </c>
      <c r="Q94">
        <v>43.811343999999998</v>
      </c>
      <c r="R94">
        <v>800.16974100000004</v>
      </c>
      <c r="S94">
        <v>5.5793066799999997E-8</v>
      </c>
      <c r="T94">
        <v>21.73004332499476</v>
      </c>
      <c r="U94">
        <v>100.934</v>
      </c>
      <c r="V94">
        <v>-597.74115785624224</v>
      </c>
      <c r="W94">
        <v>69.224378900000005</v>
      </c>
      <c r="X94">
        <v>94.872104500000006</v>
      </c>
      <c r="Y94">
        <v>170.55</v>
      </c>
      <c r="Z94">
        <v>253.737145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2.630205458957807</v>
      </c>
    </row>
    <row r="95" spans="1:40" x14ac:dyDescent="0.3">
      <c r="A95">
        <v>28</v>
      </c>
      <c r="B95">
        <v>19</v>
      </c>
      <c r="C95">
        <v>6.9518575201267003</v>
      </c>
      <c r="D95">
        <v>17</v>
      </c>
      <c r="E95">
        <v>9</v>
      </c>
      <c r="F95">
        <v>0.3208854429887768</v>
      </c>
      <c r="G95">
        <v>11</v>
      </c>
      <c r="H95">
        <v>9</v>
      </c>
      <c r="I95">
        <v>1.3987214945531279</v>
      </c>
      <c r="J95">
        <v>327187361.15544856</v>
      </c>
      <c r="K95">
        <v>165430000</v>
      </c>
      <c r="L95">
        <v>79925725.409614742</v>
      </c>
      <c r="M95">
        <v>77595700</v>
      </c>
      <c r="N95">
        <v>15760575.92</v>
      </c>
      <c r="O95">
        <v>231.53165799999999</v>
      </c>
      <c r="P95">
        <v>2.6339522578972354</v>
      </c>
      <c r="Q95">
        <v>43.830865299999999</v>
      </c>
      <c r="R95">
        <v>800.35502800000006</v>
      </c>
      <c r="S95">
        <v>2.6988796899999999E-11</v>
      </c>
      <c r="T95">
        <v>21.642980261078304</v>
      </c>
      <c r="U95">
        <v>100.934</v>
      </c>
      <c r="V95">
        <v>-609.79855176793876</v>
      </c>
      <c r="W95">
        <v>69.222238500000003</v>
      </c>
      <c r="X95">
        <v>94.862245799999997</v>
      </c>
      <c r="Y95">
        <v>144.29</v>
      </c>
      <c r="Z95">
        <v>257.236469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2.6339522578972354</v>
      </c>
    </row>
    <row r="96" spans="1:40" x14ac:dyDescent="0.3">
      <c r="A96">
        <v>31</v>
      </c>
      <c r="B96">
        <v>16</v>
      </c>
      <c r="C96">
        <v>12.418304416481185</v>
      </c>
      <c r="D96">
        <v>29</v>
      </c>
      <c r="E96">
        <v>5</v>
      </c>
      <c r="F96">
        <v>0.30016125956779871</v>
      </c>
      <c r="G96">
        <v>17</v>
      </c>
      <c r="H96">
        <v>14</v>
      </c>
      <c r="I96">
        <v>0.50003317244338552</v>
      </c>
      <c r="J96">
        <v>327194831.55901837</v>
      </c>
      <c r="K96">
        <v>165430000</v>
      </c>
      <c r="L96">
        <v>79925725.128570944</v>
      </c>
      <c r="M96">
        <v>77595700</v>
      </c>
      <c r="N96">
        <v>15760672.560000001</v>
      </c>
      <c r="O96">
        <v>232.03405599999999</v>
      </c>
      <c r="P96">
        <v>2.6282711046758118</v>
      </c>
      <c r="Q96">
        <v>43.8097262</v>
      </c>
      <c r="R96">
        <v>799.96004700000003</v>
      </c>
      <c r="S96">
        <v>5.9992205899999997E-8</v>
      </c>
      <c r="T96">
        <v>21.744015958508808</v>
      </c>
      <c r="U96">
        <v>100.934</v>
      </c>
      <c r="V96">
        <v>-594.54490823911578</v>
      </c>
      <c r="W96">
        <v>69.219305300000002</v>
      </c>
      <c r="X96">
        <v>94.842060399999994</v>
      </c>
      <c r="Y96">
        <v>177.97</v>
      </c>
      <c r="Z96">
        <v>254.379977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2.6282711046758118</v>
      </c>
    </row>
    <row r="97" spans="1:40" x14ac:dyDescent="0.3">
      <c r="A97">
        <v>27</v>
      </c>
      <c r="B97">
        <v>13</v>
      </c>
      <c r="C97">
        <v>14.100206343549054</v>
      </c>
      <c r="D97">
        <v>12</v>
      </c>
      <c r="E97">
        <v>10</v>
      </c>
      <c r="F97">
        <v>0.35474378672974727</v>
      </c>
      <c r="G97">
        <v>29</v>
      </c>
      <c r="H97">
        <v>8</v>
      </c>
      <c r="I97">
        <v>0.41915068259802762</v>
      </c>
      <c r="J97">
        <v>327197235.06616938</v>
      </c>
      <c r="K97">
        <v>165430000</v>
      </c>
      <c r="L97">
        <v>79925727.565311059</v>
      </c>
      <c r="M97">
        <v>77595700</v>
      </c>
      <c r="N97">
        <v>15761260.720000001</v>
      </c>
      <c r="O97">
        <v>231.914725</v>
      </c>
      <c r="P97">
        <v>2.6296305088806813</v>
      </c>
      <c r="Q97">
        <v>43.745514399999998</v>
      </c>
      <c r="R97">
        <v>801.960553</v>
      </c>
      <c r="S97">
        <v>4.4476818099999998E-12</v>
      </c>
      <c r="T97">
        <v>21.318224214823708</v>
      </c>
      <c r="U97">
        <v>100.934</v>
      </c>
      <c r="V97">
        <v>-621.40437078472041</v>
      </c>
      <c r="W97">
        <v>69.221072300000003</v>
      </c>
      <c r="X97">
        <v>94.856711799999999</v>
      </c>
      <c r="Y97">
        <v>121.52199999999999</v>
      </c>
      <c r="Z97">
        <v>253.83679900000001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2.6296305088806813</v>
      </c>
    </row>
    <row r="98" spans="1:40" x14ac:dyDescent="0.3">
      <c r="A98">
        <v>35</v>
      </c>
      <c r="B98">
        <v>18</v>
      </c>
      <c r="C98">
        <v>14.554062484278695</v>
      </c>
      <c r="D98">
        <v>27</v>
      </c>
      <c r="E98">
        <v>5</v>
      </c>
      <c r="F98">
        <v>0.32774559305617657</v>
      </c>
      <c r="G98">
        <v>13</v>
      </c>
      <c r="H98">
        <v>7</v>
      </c>
      <c r="I98">
        <v>0.9943840809960629</v>
      </c>
      <c r="J98">
        <v>327193847.50966978</v>
      </c>
      <c r="K98">
        <v>165430000</v>
      </c>
      <c r="L98">
        <v>79925723.682674572</v>
      </c>
      <c r="M98">
        <v>77595700</v>
      </c>
      <c r="N98">
        <v>15760335.199999999</v>
      </c>
      <c r="O98">
        <v>231.78370200000001</v>
      </c>
      <c r="P98">
        <v>2.6311070683416173</v>
      </c>
      <c r="Q98">
        <v>43.832836499999999</v>
      </c>
      <c r="R98">
        <v>800.10629800000004</v>
      </c>
      <c r="S98">
        <v>4.5684484400000003E-8</v>
      </c>
      <c r="T98">
        <v>21.763593431942127</v>
      </c>
      <c r="U98">
        <v>100.934</v>
      </c>
      <c r="V98">
        <v>-597.5060177556137</v>
      </c>
      <c r="W98">
        <v>69.218750900000003</v>
      </c>
      <c r="X98">
        <v>94.8312746</v>
      </c>
      <c r="Y98">
        <v>177.97</v>
      </c>
      <c r="Z98">
        <v>254.418295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2.6311070683416173</v>
      </c>
    </row>
    <row r="99" spans="1:40" x14ac:dyDescent="0.3">
      <c r="A99">
        <v>27</v>
      </c>
      <c r="B99">
        <v>10</v>
      </c>
      <c r="C99">
        <v>5.2144023430767952</v>
      </c>
      <c r="D99">
        <v>10</v>
      </c>
      <c r="E99">
        <v>8</v>
      </c>
      <c r="F99">
        <v>0.30183815233561284</v>
      </c>
      <c r="G99">
        <v>19</v>
      </c>
      <c r="H99">
        <v>8</v>
      </c>
      <c r="I99">
        <v>1.2055230310343847</v>
      </c>
      <c r="J99">
        <v>327193002.31752694</v>
      </c>
      <c r="K99">
        <v>165430000</v>
      </c>
      <c r="L99">
        <v>79925721.271614641</v>
      </c>
      <c r="M99">
        <v>77595700</v>
      </c>
      <c r="N99">
        <v>15759792.960000001</v>
      </c>
      <c r="O99">
        <v>232.313062</v>
      </c>
      <c r="P99">
        <v>2.6251092282343143</v>
      </c>
      <c r="Q99">
        <v>43.699329300000002</v>
      </c>
      <c r="R99">
        <v>801.94751799999995</v>
      </c>
      <c r="S99">
        <v>4.30727544E-10</v>
      </c>
      <c r="T99">
        <v>21.271192149547353</v>
      </c>
      <c r="U99">
        <v>100.934</v>
      </c>
      <c r="V99">
        <v>-612.72101899395125</v>
      </c>
      <c r="W99">
        <v>69.231565200000006</v>
      </c>
      <c r="X99">
        <v>94.900155699999999</v>
      </c>
      <c r="Y99">
        <v>121.52199999999999</v>
      </c>
      <c r="Z99">
        <v>254.47734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2.6251092282343143</v>
      </c>
    </row>
    <row r="100" spans="1:40" x14ac:dyDescent="0.3">
      <c r="A100">
        <v>39</v>
      </c>
      <c r="B100">
        <v>16</v>
      </c>
      <c r="C100">
        <v>14.720541719844537</v>
      </c>
      <c r="D100">
        <v>15</v>
      </c>
      <c r="E100">
        <v>13</v>
      </c>
      <c r="F100">
        <v>0.30403051958037386</v>
      </c>
      <c r="G100">
        <v>23</v>
      </c>
      <c r="H100">
        <v>14</v>
      </c>
      <c r="I100">
        <v>0.50901566902547901</v>
      </c>
      <c r="J100">
        <v>327192814.48351407</v>
      </c>
      <c r="K100">
        <v>165430000</v>
      </c>
      <c r="L100">
        <v>79925721.455895543</v>
      </c>
      <c r="M100">
        <v>77595700</v>
      </c>
      <c r="N100">
        <v>15759830.4</v>
      </c>
      <c r="O100">
        <v>231.73992699999999</v>
      </c>
      <c r="P100">
        <v>2.6316010507049503</v>
      </c>
      <c r="Q100">
        <v>43.809969500000001</v>
      </c>
      <c r="R100">
        <v>800.34011499999997</v>
      </c>
      <c r="S100">
        <v>2.3348695400000002E-10</v>
      </c>
      <c r="T100">
        <v>21.613571513167003</v>
      </c>
      <c r="U100">
        <v>100.934</v>
      </c>
      <c r="V100">
        <v>-609.54020869308681</v>
      </c>
      <c r="W100">
        <v>69.218655100000007</v>
      </c>
      <c r="X100">
        <v>94.830279099999998</v>
      </c>
      <c r="Y100">
        <v>144.29</v>
      </c>
      <c r="Z100">
        <v>254.40131400000001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2.6316010507049503</v>
      </c>
    </row>
    <row r="101" spans="1:40" x14ac:dyDescent="0.3">
      <c r="A101">
        <v>28</v>
      </c>
      <c r="B101">
        <v>14</v>
      </c>
      <c r="C101">
        <v>8.2584578222946341</v>
      </c>
      <c r="D101">
        <v>16</v>
      </c>
      <c r="E101">
        <v>14</v>
      </c>
      <c r="F101">
        <v>0.32640669006120521</v>
      </c>
      <c r="G101">
        <v>20</v>
      </c>
      <c r="H101">
        <v>7</v>
      </c>
      <c r="I101">
        <v>0.39027871748602</v>
      </c>
      <c r="J101">
        <v>327199257.11612558</v>
      </c>
      <c r="K101">
        <v>165430000</v>
      </c>
      <c r="L101">
        <v>79925730.688019902</v>
      </c>
      <c r="M101">
        <v>77595700</v>
      </c>
      <c r="N101">
        <v>15761983.84</v>
      </c>
      <c r="O101">
        <v>232.19275099999999</v>
      </c>
      <c r="P101">
        <v>2.6264877192382556</v>
      </c>
      <c r="Q101">
        <v>43.723878200000001</v>
      </c>
      <c r="R101">
        <v>801.73953300000005</v>
      </c>
      <c r="S101">
        <v>5.9610245499999999E-15</v>
      </c>
      <c r="T101">
        <v>21.256889339815704</v>
      </c>
      <c r="U101">
        <v>100.934</v>
      </c>
      <c r="V101">
        <v>-618.59580034323471</v>
      </c>
      <c r="W101">
        <v>69.221477699999994</v>
      </c>
      <c r="X101">
        <v>94.859133999999997</v>
      </c>
      <c r="Y101">
        <v>121.52199999999999</v>
      </c>
      <c r="Z101">
        <v>253.770723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2.6264877192382556</v>
      </c>
    </row>
    <row r="102" spans="1:40" x14ac:dyDescent="0.3">
      <c r="A102">
        <v>27</v>
      </c>
      <c r="B102">
        <v>13</v>
      </c>
      <c r="C102">
        <v>11.216627537673451</v>
      </c>
      <c r="D102">
        <v>29</v>
      </c>
      <c r="E102">
        <v>8</v>
      </c>
      <c r="F102">
        <v>0.30256595483241472</v>
      </c>
      <c r="G102">
        <v>14</v>
      </c>
      <c r="H102">
        <v>7</v>
      </c>
      <c r="I102">
        <v>0.4911690609519106</v>
      </c>
      <c r="J102">
        <v>327196845.84478229</v>
      </c>
      <c r="K102">
        <v>165430000</v>
      </c>
      <c r="L102">
        <v>79925729.126665473</v>
      </c>
      <c r="M102">
        <v>77595700</v>
      </c>
      <c r="N102">
        <v>15761583.6</v>
      </c>
      <c r="O102">
        <v>231.88529600000001</v>
      </c>
      <c r="P102">
        <v>2.6299631007812598</v>
      </c>
      <c r="Q102">
        <v>43.8238032</v>
      </c>
      <c r="R102">
        <v>799.846093</v>
      </c>
      <c r="S102">
        <v>2.24353867E-10</v>
      </c>
      <c r="T102">
        <v>21.677269950446092</v>
      </c>
      <c r="U102">
        <v>100.934</v>
      </c>
      <c r="V102">
        <v>-596.79433499558729</v>
      </c>
      <c r="W102">
        <v>69.221599699999999</v>
      </c>
      <c r="X102">
        <v>94.859677000000005</v>
      </c>
      <c r="Y102">
        <v>177.97</v>
      </c>
      <c r="Z102">
        <v>254.35627099999999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2.6299631007812598</v>
      </c>
    </row>
    <row r="103" spans="1:40" x14ac:dyDescent="0.3">
      <c r="A103">
        <v>28</v>
      </c>
      <c r="B103">
        <v>16</v>
      </c>
      <c r="C103">
        <v>13.850081414427159</v>
      </c>
      <c r="D103">
        <v>29</v>
      </c>
      <c r="E103">
        <v>11</v>
      </c>
      <c r="F103">
        <v>0.35859742645388537</v>
      </c>
      <c r="G103">
        <v>15</v>
      </c>
      <c r="H103">
        <v>12</v>
      </c>
      <c r="I103">
        <v>1.3569203803220817</v>
      </c>
      <c r="J103">
        <v>327189338.466977</v>
      </c>
      <c r="K103">
        <v>165430000</v>
      </c>
      <c r="L103">
        <v>79925721.031453669</v>
      </c>
      <c r="M103">
        <v>77595700</v>
      </c>
      <c r="N103">
        <v>15759659.120000001</v>
      </c>
      <c r="O103">
        <v>231.19899899999999</v>
      </c>
      <c r="P103">
        <v>2.6377479068231282</v>
      </c>
      <c r="Q103">
        <v>43.883771600000003</v>
      </c>
      <c r="R103">
        <v>800.29649999999992</v>
      </c>
      <c r="S103">
        <v>2.1455109600000001E-13</v>
      </c>
      <c r="T103">
        <v>21.746059705256073</v>
      </c>
      <c r="U103">
        <v>100.934</v>
      </c>
      <c r="V103">
        <v>-605.92446541286483</v>
      </c>
      <c r="W103">
        <v>69.220167799999999</v>
      </c>
      <c r="X103">
        <v>94.850652199999999</v>
      </c>
      <c r="Y103">
        <v>177.97</v>
      </c>
      <c r="Z103">
        <v>255.395839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2.6377479068231282</v>
      </c>
    </row>
    <row r="104" spans="1:40" x14ac:dyDescent="0.3">
      <c r="A104">
        <v>33</v>
      </c>
      <c r="B104">
        <v>19</v>
      </c>
      <c r="C104">
        <v>1.6291369475231434</v>
      </c>
      <c r="D104">
        <v>14</v>
      </c>
      <c r="E104">
        <v>11</v>
      </c>
      <c r="F104">
        <v>0.33619062709568293</v>
      </c>
      <c r="G104">
        <v>17</v>
      </c>
      <c r="H104">
        <v>7</v>
      </c>
      <c r="I104">
        <v>0.91398989681703657</v>
      </c>
      <c r="J104">
        <v>327193972.23589385</v>
      </c>
      <c r="K104">
        <v>165430000</v>
      </c>
      <c r="L104">
        <v>79925722.826189503</v>
      </c>
      <c r="M104">
        <v>77595700</v>
      </c>
      <c r="N104">
        <v>15760153.120000001</v>
      </c>
      <c r="O104">
        <v>231.00986</v>
      </c>
      <c r="P104">
        <v>2.6399211762200245</v>
      </c>
      <c r="Q104">
        <v>43.758699100000001</v>
      </c>
      <c r="R104">
        <v>801.70126600000003</v>
      </c>
      <c r="S104">
        <v>7.0511744999999997E-13</v>
      </c>
      <c r="T104">
        <v>21.510130677474713</v>
      </c>
      <c r="U104">
        <v>100.934</v>
      </c>
      <c r="V104">
        <v>-584.78833581663196</v>
      </c>
      <c r="W104">
        <v>69.318936399999998</v>
      </c>
      <c r="X104">
        <v>95.233216100000007</v>
      </c>
      <c r="Y104">
        <v>121.52199999999999</v>
      </c>
      <c r="Z104">
        <v>254.08028899999999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2.6399211762200245</v>
      </c>
    </row>
    <row r="105" spans="1:40" x14ac:dyDescent="0.3">
      <c r="A105">
        <v>39</v>
      </c>
      <c r="B105">
        <v>19</v>
      </c>
      <c r="C105">
        <v>10.319684274356622</v>
      </c>
      <c r="D105">
        <v>11</v>
      </c>
      <c r="E105">
        <v>5</v>
      </c>
      <c r="F105">
        <v>0.34498766500283295</v>
      </c>
      <c r="G105">
        <v>19</v>
      </c>
      <c r="H105">
        <v>8</v>
      </c>
      <c r="I105">
        <v>0.3552488954793096</v>
      </c>
      <c r="J105">
        <v>327201055.86197186</v>
      </c>
      <c r="K105">
        <v>165430000</v>
      </c>
      <c r="L105">
        <v>79925733.852022454</v>
      </c>
      <c r="M105">
        <v>77595700</v>
      </c>
      <c r="N105">
        <v>15762711.6</v>
      </c>
      <c r="O105">
        <v>231.47072700000001</v>
      </c>
      <c r="P105">
        <v>2.634685767783846</v>
      </c>
      <c r="Q105">
        <v>43.822836700000003</v>
      </c>
      <c r="R105">
        <v>800.84696700000006</v>
      </c>
      <c r="S105">
        <v>4.1203013199999999E-8</v>
      </c>
      <c r="T105">
        <v>21.698001001886659</v>
      </c>
      <c r="U105">
        <v>100.934</v>
      </c>
      <c r="V105">
        <v>-613.51493394397198</v>
      </c>
      <c r="W105">
        <v>69.218656600000003</v>
      </c>
      <c r="X105">
        <v>94.828589399999998</v>
      </c>
      <c r="Y105">
        <v>144.29</v>
      </c>
      <c r="Z105">
        <v>253.570379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2.634685767783846</v>
      </c>
    </row>
    <row r="106" spans="1:40" x14ac:dyDescent="0.3">
      <c r="A106">
        <v>28</v>
      </c>
      <c r="B106">
        <v>10</v>
      </c>
      <c r="C106">
        <v>3.9376193274756806</v>
      </c>
      <c r="D106">
        <v>14</v>
      </c>
      <c r="E106">
        <v>7</v>
      </c>
      <c r="F106">
        <v>0.30868059322038122</v>
      </c>
      <c r="G106">
        <v>15</v>
      </c>
      <c r="H106">
        <v>12</v>
      </c>
      <c r="I106">
        <v>1.2672901169099069</v>
      </c>
      <c r="J106">
        <v>327189093.38103849</v>
      </c>
      <c r="K106">
        <v>165430000</v>
      </c>
      <c r="L106">
        <v>79925721.109110519</v>
      </c>
      <c r="M106">
        <v>77595700</v>
      </c>
      <c r="N106">
        <v>15759670.08</v>
      </c>
      <c r="O106">
        <v>231.560024</v>
      </c>
      <c r="P106">
        <v>2.6336346782120192</v>
      </c>
      <c r="Q106">
        <v>43.808371700000002</v>
      </c>
      <c r="R106">
        <v>800.51847399999997</v>
      </c>
      <c r="S106">
        <v>1.3511850199999999E-9</v>
      </c>
      <c r="T106">
        <v>21.64490878566118</v>
      </c>
      <c r="U106">
        <v>100.934</v>
      </c>
      <c r="V106">
        <v>-603.45312741962539</v>
      </c>
      <c r="W106">
        <v>69.237645700000002</v>
      </c>
      <c r="X106">
        <v>94.923160499999994</v>
      </c>
      <c r="Y106">
        <v>144.29</v>
      </c>
      <c r="Z106">
        <v>255.768844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2.6336346782120192</v>
      </c>
    </row>
    <row r="107" spans="1:40" x14ac:dyDescent="0.3">
      <c r="A107">
        <v>36</v>
      </c>
      <c r="B107">
        <v>19</v>
      </c>
      <c r="C107">
        <v>8.6737867116991794</v>
      </c>
      <c r="D107">
        <v>10</v>
      </c>
      <c r="E107">
        <v>7</v>
      </c>
      <c r="F107">
        <v>0.35640972438449253</v>
      </c>
      <c r="G107">
        <v>29</v>
      </c>
      <c r="H107">
        <v>9</v>
      </c>
      <c r="I107">
        <v>0.99299367688728934</v>
      </c>
      <c r="J107">
        <v>327192871.93867022</v>
      </c>
      <c r="K107">
        <v>165430000</v>
      </c>
      <c r="L107">
        <v>79925721.049943402</v>
      </c>
      <c r="M107">
        <v>77595700</v>
      </c>
      <c r="N107">
        <v>15759741.6</v>
      </c>
      <c r="O107">
        <v>231.50796800000001</v>
      </c>
      <c r="P107">
        <v>2.6342379472105923</v>
      </c>
      <c r="Q107">
        <v>43.794292900000002</v>
      </c>
      <c r="R107">
        <v>801.59510299999999</v>
      </c>
      <c r="S107">
        <v>9.0268090900000001E-10</v>
      </c>
      <c r="T107">
        <v>21.513640881851252</v>
      </c>
      <c r="U107">
        <v>100.934</v>
      </c>
      <c r="V107">
        <v>-621.39384201550797</v>
      </c>
      <c r="W107">
        <v>69.218849000000006</v>
      </c>
      <c r="X107">
        <v>94.833474199999998</v>
      </c>
      <c r="Y107">
        <v>121.52199999999999</v>
      </c>
      <c r="Z107">
        <v>254.238046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2.6342379472105923</v>
      </c>
    </row>
    <row r="108" spans="1:40" x14ac:dyDescent="0.3">
      <c r="A108">
        <v>29</v>
      </c>
      <c r="B108">
        <v>13</v>
      </c>
      <c r="C108">
        <v>2.2272958672079941</v>
      </c>
      <c r="D108">
        <v>11</v>
      </c>
      <c r="E108">
        <v>9</v>
      </c>
      <c r="F108">
        <v>0.30760575286816993</v>
      </c>
      <c r="G108">
        <v>16</v>
      </c>
      <c r="H108">
        <v>13</v>
      </c>
      <c r="I108">
        <v>0.34493399040664768</v>
      </c>
      <c r="J108">
        <v>327194992.68143463</v>
      </c>
      <c r="K108">
        <v>165430000</v>
      </c>
      <c r="L108">
        <v>79925751.990646586</v>
      </c>
      <c r="M108">
        <v>77595700</v>
      </c>
      <c r="N108">
        <v>15766508.4</v>
      </c>
      <c r="O108">
        <v>232.06527199999999</v>
      </c>
      <c r="P108">
        <v>2.6279180370611721</v>
      </c>
      <c r="Q108">
        <v>43.697618499999997</v>
      </c>
      <c r="R108">
        <v>802.02774299999999</v>
      </c>
      <c r="S108">
        <v>6.6085334600000003E-11</v>
      </c>
      <c r="T108">
        <v>21.281920065522598</v>
      </c>
      <c r="U108">
        <v>100.934</v>
      </c>
      <c r="V108">
        <v>-603.06214587328213</v>
      </c>
      <c r="W108">
        <v>69.261187100000001</v>
      </c>
      <c r="X108">
        <v>95.005179200000001</v>
      </c>
      <c r="Y108">
        <v>121.52199999999999</v>
      </c>
      <c r="Z108">
        <v>260.60583600000001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2.6279180370611721</v>
      </c>
    </row>
    <row r="109" spans="1:40" x14ac:dyDescent="0.3">
      <c r="A109">
        <v>38</v>
      </c>
      <c r="B109">
        <v>11</v>
      </c>
      <c r="C109">
        <v>6.5411670127342605</v>
      </c>
      <c r="D109">
        <v>28</v>
      </c>
      <c r="E109">
        <v>13</v>
      </c>
      <c r="F109">
        <v>0.30410295346762162</v>
      </c>
      <c r="G109">
        <v>24</v>
      </c>
      <c r="H109">
        <v>7</v>
      </c>
      <c r="I109">
        <v>0.6843320271508162</v>
      </c>
      <c r="J109">
        <v>327194935.86173671</v>
      </c>
      <c r="K109">
        <v>165430000</v>
      </c>
      <c r="L109">
        <v>79925724.134440154</v>
      </c>
      <c r="M109">
        <v>77595700</v>
      </c>
      <c r="N109">
        <v>15760460.24</v>
      </c>
      <c r="O109">
        <v>231.84730400000001</v>
      </c>
      <c r="P109">
        <v>2.6303884710773429</v>
      </c>
      <c r="Q109">
        <v>43.825715299999999</v>
      </c>
      <c r="R109">
        <v>799.85020699999995</v>
      </c>
      <c r="S109">
        <v>3.4392164300000002E-11</v>
      </c>
      <c r="T109">
        <v>21.664249438852764</v>
      </c>
      <c r="U109">
        <v>100.934</v>
      </c>
      <c r="V109">
        <v>-597.65729890992463</v>
      </c>
      <c r="W109">
        <v>69.222300200000006</v>
      </c>
      <c r="X109">
        <v>94.860457400000001</v>
      </c>
      <c r="Y109">
        <v>177.97</v>
      </c>
      <c r="Z109">
        <v>254.00787800000001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2.6303884710773429</v>
      </c>
    </row>
    <row r="110" spans="1:40" x14ac:dyDescent="0.3">
      <c r="A110">
        <v>39</v>
      </c>
      <c r="B110">
        <v>11</v>
      </c>
      <c r="C110">
        <v>12.945077799423389</v>
      </c>
      <c r="D110">
        <v>29</v>
      </c>
      <c r="E110">
        <v>6</v>
      </c>
      <c r="F110">
        <v>0.38203347162066575</v>
      </c>
      <c r="G110">
        <v>29</v>
      </c>
      <c r="H110">
        <v>14</v>
      </c>
      <c r="I110">
        <v>0.65105025129508132</v>
      </c>
      <c r="J110">
        <v>327192533.99932641</v>
      </c>
      <c r="K110">
        <v>165430000</v>
      </c>
      <c r="L110">
        <v>79925720.446151212</v>
      </c>
      <c r="M110">
        <v>77595700</v>
      </c>
      <c r="N110">
        <v>15759604.639999999</v>
      </c>
      <c r="O110">
        <v>231.16310899999999</v>
      </c>
      <c r="P110">
        <v>2.6381668234759754</v>
      </c>
      <c r="Q110">
        <v>43.890231900000003</v>
      </c>
      <c r="R110">
        <v>800.43180900000004</v>
      </c>
      <c r="S110">
        <v>3.5792787899999999E-9</v>
      </c>
      <c r="T110">
        <v>21.811641060107462</v>
      </c>
      <c r="U110">
        <v>100.934</v>
      </c>
      <c r="V110">
        <v>-603.21910399951162</v>
      </c>
      <c r="W110">
        <v>69.219832999999994</v>
      </c>
      <c r="X110">
        <v>94.845158999999995</v>
      </c>
      <c r="Y110">
        <v>177.97</v>
      </c>
      <c r="Z110">
        <v>254.173081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2.6381668234759754</v>
      </c>
    </row>
    <row r="111" spans="1:40" x14ac:dyDescent="0.3">
      <c r="A111">
        <v>32</v>
      </c>
      <c r="B111">
        <v>12</v>
      </c>
      <c r="C111">
        <v>14.510165824022909</v>
      </c>
      <c r="D111">
        <v>10</v>
      </c>
      <c r="E111">
        <v>5</v>
      </c>
      <c r="F111">
        <v>0.3264438504898779</v>
      </c>
      <c r="G111">
        <v>19</v>
      </c>
      <c r="H111">
        <v>7</v>
      </c>
      <c r="I111">
        <v>0.32045959755830167</v>
      </c>
      <c r="J111">
        <v>327204099.43762267</v>
      </c>
      <c r="K111">
        <v>165430000</v>
      </c>
      <c r="L111">
        <v>79925738.066652194</v>
      </c>
      <c r="M111">
        <v>77595700</v>
      </c>
      <c r="N111">
        <v>15763695.279999999</v>
      </c>
      <c r="O111">
        <v>231.64814999999999</v>
      </c>
      <c r="P111">
        <v>2.6326767394101984</v>
      </c>
      <c r="Q111">
        <v>43.7993782</v>
      </c>
      <c r="R111">
        <v>800.92655999999999</v>
      </c>
      <c r="S111">
        <v>4.9823208800000003E-8</v>
      </c>
      <c r="T111">
        <v>21.65295430546082</v>
      </c>
      <c r="U111">
        <v>100.934</v>
      </c>
      <c r="V111">
        <v>-613.02999017591742</v>
      </c>
      <c r="W111">
        <v>69.219645799999995</v>
      </c>
      <c r="X111">
        <v>94.8453588</v>
      </c>
      <c r="Y111">
        <v>144.29</v>
      </c>
      <c r="Z111">
        <v>253.336884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2.6326767394101984</v>
      </c>
    </row>
    <row r="112" spans="1:40" x14ac:dyDescent="0.3">
      <c r="A112">
        <v>31</v>
      </c>
      <c r="B112">
        <v>19</v>
      </c>
      <c r="C112">
        <v>13.771759086225016</v>
      </c>
      <c r="D112">
        <v>18</v>
      </c>
      <c r="E112">
        <v>8</v>
      </c>
      <c r="F112">
        <v>0.30423056829181072</v>
      </c>
      <c r="G112">
        <v>18</v>
      </c>
      <c r="H112">
        <v>14</v>
      </c>
      <c r="I112">
        <v>0.75675077137777547</v>
      </c>
      <c r="J112">
        <v>327189121.0588389</v>
      </c>
      <c r="K112">
        <v>165430000</v>
      </c>
      <c r="L112">
        <v>79925720.95831655</v>
      </c>
      <c r="M112">
        <v>77595700</v>
      </c>
      <c r="N112">
        <v>15759634.08</v>
      </c>
      <c r="O112">
        <v>231.764366</v>
      </c>
      <c r="P112">
        <v>2.6313127363298987</v>
      </c>
      <c r="Q112">
        <v>43.8184173</v>
      </c>
      <c r="R112">
        <v>800.14381500000002</v>
      </c>
      <c r="S112">
        <v>2.24281296E-10</v>
      </c>
      <c r="T112">
        <v>21.63989639528338</v>
      </c>
      <c r="U112">
        <v>100.934</v>
      </c>
      <c r="V112">
        <v>-605.75680429248507</v>
      </c>
      <c r="W112">
        <v>69.219200400000005</v>
      </c>
      <c r="X112">
        <v>94.839835600000001</v>
      </c>
      <c r="Y112">
        <v>165.7</v>
      </c>
      <c r="Z112">
        <v>255.751518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2.6313127363298987</v>
      </c>
    </row>
    <row r="113" spans="1:40" x14ac:dyDescent="0.3">
      <c r="A113">
        <v>39</v>
      </c>
      <c r="B113">
        <v>18</v>
      </c>
      <c r="C113">
        <v>11.174575360599679</v>
      </c>
      <c r="D113">
        <v>23</v>
      </c>
      <c r="E113">
        <v>5</v>
      </c>
      <c r="F113">
        <v>0.36411618408491736</v>
      </c>
      <c r="G113">
        <v>29</v>
      </c>
      <c r="H113">
        <v>14</v>
      </c>
      <c r="I113">
        <v>0.62730178371888368</v>
      </c>
      <c r="J113">
        <v>327192578.13634163</v>
      </c>
      <c r="K113">
        <v>165430000</v>
      </c>
      <c r="L113">
        <v>79925720.507372737</v>
      </c>
      <c r="M113">
        <v>77595700</v>
      </c>
      <c r="N113">
        <v>15759634.08</v>
      </c>
      <c r="O113">
        <v>231.438389</v>
      </c>
      <c r="P113">
        <v>2.6350290354725874</v>
      </c>
      <c r="Q113">
        <v>43.860054599999998</v>
      </c>
      <c r="R113">
        <v>800.36969499999998</v>
      </c>
      <c r="S113">
        <v>3.3274506900000002E-8</v>
      </c>
      <c r="T113">
        <v>21.78707837310327</v>
      </c>
      <c r="U113">
        <v>100.934</v>
      </c>
      <c r="V113">
        <v>-602.61102661090899</v>
      </c>
      <c r="W113">
        <v>69.2186564</v>
      </c>
      <c r="X113">
        <v>94.829287699999995</v>
      </c>
      <c r="Y113">
        <v>177.97</v>
      </c>
      <c r="Z113">
        <v>254.232382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2.6350290354725874</v>
      </c>
    </row>
    <row r="114" spans="1:40" x14ac:dyDescent="0.3">
      <c r="A114">
        <v>39</v>
      </c>
      <c r="B114">
        <v>16</v>
      </c>
      <c r="C114">
        <v>9.1133279318669711</v>
      </c>
      <c r="D114">
        <v>17</v>
      </c>
      <c r="E114">
        <v>5</v>
      </c>
      <c r="F114">
        <v>0.30599513108460119</v>
      </c>
      <c r="G114">
        <v>25</v>
      </c>
      <c r="H114">
        <v>13</v>
      </c>
      <c r="I114">
        <v>0.98586938849490746</v>
      </c>
      <c r="J114">
        <v>327192334.80572635</v>
      </c>
      <c r="K114">
        <v>165430000</v>
      </c>
      <c r="L114">
        <v>79925720.203730389</v>
      </c>
      <c r="M114">
        <v>77595700</v>
      </c>
      <c r="N114">
        <v>15759545.84</v>
      </c>
      <c r="O114">
        <v>231.87790899999999</v>
      </c>
      <c r="P114">
        <v>2.6300336775581523</v>
      </c>
      <c r="Q114">
        <v>43.808903899999997</v>
      </c>
      <c r="R114">
        <v>800.23296099999993</v>
      </c>
      <c r="S114">
        <v>5.7087496100000001E-8</v>
      </c>
      <c r="T114">
        <v>21.714540938762024</v>
      </c>
      <c r="U114">
        <v>100.934</v>
      </c>
      <c r="V114">
        <v>-601.98749835683032</v>
      </c>
      <c r="W114">
        <v>69.218865500000007</v>
      </c>
      <c r="X114">
        <v>94.835144900000003</v>
      </c>
      <c r="Y114">
        <v>170.55</v>
      </c>
      <c r="Z114">
        <v>254.37831600000001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2.6300336775581523</v>
      </c>
    </row>
    <row r="115" spans="1:40" x14ac:dyDescent="0.3">
      <c r="A115">
        <v>27</v>
      </c>
      <c r="B115">
        <v>12</v>
      </c>
      <c r="C115">
        <v>1.7110827062958938</v>
      </c>
      <c r="D115">
        <v>29</v>
      </c>
      <c r="E115">
        <v>14</v>
      </c>
      <c r="F115">
        <v>0.31433211204968187</v>
      </c>
      <c r="G115">
        <v>28</v>
      </c>
      <c r="H115">
        <v>7</v>
      </c>
      <c r="I115">
        <v>0.41703307362951597</v>
      </c>
      <c r="J115">
        <v>327199422.62695241</v>
      </c>
      <c r="K115">
        <v>165430000</v>
      </c>
      <c r="L115">
        <v>79925730.756226435</v>
      </c>
      <c r="M115">
        <v>77595700</v>
      </c>
      <c r="N115">
        <v>15762003.52</v>
      </c>
      <c r="O115">
        <v>230.912916</v>
      </c>
      <c r="P115">
        <v>2.6410455158581039</v>
      </c>
      <c r="Q115">
        <v>43.811507300000002</v>
      </c>
      <c r="R115">
        <v>800.41238699999997</v>
      </c>
      <c r="S115">
        <v>2.7428215899999999E-14</v>
      </c>
      <c r="T115">
        <v>21.709808906319676</v>
      </c>
      <c r="U115">
        <v>100.934</v>
      </c>
      <c r="V115">
        <v>-562.28724271644899</v>
      </c>
      <c r="W115">
        <v>69.336814899999993</v>
      </c>
      <c r="X115">
        <v>95.295328699999999</v>
      </c>
      <c r="Y115">
        <v>170.55</v>
      </c>
      <c r="Z115">
        <v>253.59819200000001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2.6410455158581039</v>
      </c>
    </row>
    <row r="116" spans="1:40" x14ac:dyDescent="0.3">
      <c r="A116">
        <v>31</v>
      </c>
      <c r="B116">
        <v>19</v>
      </c>
      <c r="C116">
        <v>14.661244910315808</v>
      </c>
      <c r="D116">
        <v>15</v>
      </c>
      <c r="E116">
        <v>13</v>
      </c>
      <c r="F116">
        <v>0.30467213853394282</v>
      </c>
      <c r="G116">
        <v>12</v>
      </c>
      <c r="H116">
        <v>10</v>
      </c>
      <c r="I116">
        <v>0.41328685495118461</v>
      </c>
      <c r="J116">
        <v>327191046.25993234</v>
      </c>
      <c r="K116">
        <v>165430000</v>
      </c>
      <c r="L116">
        <v>79925761.245164037</v>
      </c>
      <c r="M116">
        <v>77595700</v>
      </c>
      <c r="N116">
        <v>15768466.32</v>
      </c>
      <c r="O116">
        <v>232.39834400000001</v>
      </c>
      <c r="P116">
        <v>2.6241401918761103</v>
      </c>
      <c r="Q116">
        <v>43.706392999999998</v>
      </c>
      <c r="R116">
        <v>801.72085299999992</v>
      </c>
      <c r="S116">
        <v>6.7729279899999999E-14</v>
      </c>
      <c r="T116">
        <v>21.229842126396747</v>
      </c>
      <c r="U116">
        <v>100.934</v>
      </c>
      <c r="V116">
        <v>-617.37206591574136</v>
      </c>
      <c r="W116">
        <v>69.2191689</v>
      </c>
      <c r="X116">
        <v>94.839382599999993</v>
      </c>
      <c r="Y116">
        <v>121.52199999999999</v>
      </c>
      <c r="Z116">
        <v>265.56122399999998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2.6241401918761103</v>
      </c>
    </row>
    <row r="117" spans="1:40" x14ac:dyDescent="0.3">
      <c r="A117">
        <v>29</v>
      </c>
      <c r="B117">
        <v>14</v>
      </c>
      <c r="C117">
        <v>10.469658439793946</v>
      </c>
      <c r="D117">
        <v>26</v>
      </c>
      <c r="E117">
        <v>5</v>
      </c>
      <c r="F117">
        <v>0.30868402713973708</v>
      </c>
      <c r="G117">
        <v>16</v>
      </c>
      <c r="H117">
        <v>8</v>
      </c>
      <c r="I117">
        <v>1.0209640529164781</v>
      </c>
      <c r="J117">
        <v>327193256.98588723</v>
      </c>
      <c r="K117">
        <v>165430000</v>
      </c>
      <c r="L117">
        <v>79925721.921014816</v>
      </c>
      <c r="M117">
        <v>77595700</v>
      </c>
      <c r="N117">
        <v>15759940.08</v>
      </c>
      <c r="O117">
        <v>231.93518900000001</v>
      </c>
      <c r="P117">
        <v>2.6293868490067358</v>
      </c>
      <c r="Q117">
        <v>43.815993400000004</v>
      </c>
      <c r="R117">
        <v>800.03801900000008</v>
      </c>
      <c r="S117">
        <v>5.5019573699999997E-8</v>
      </c>
      <c r="T117">
        <v>21.7452742129828</v>
      </c>
      <c r="U117">
        <v>100.934</v>
      </c>
      <c r="V117">
        <v>-595.91386612639656</v>
      </c>
      <c r="W117">
        <v>69.220326400000005</v>
      </c>
      <c r="X117">
        <v>94.851783400000002</v>
      </c>
      <c r="Y117">
        <v>177.97</v>
      </c>
      <c r="Z117">
        <v>254.36658199999999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2.6293868490067358</v>
      </c>
    </row>
    <row r="118" spans="1:40" x14ac:dyDescent="0.3">
      <c r="A118">
        <v>39</v>
      </c>
      <c r="B118">
        <v>19</v>
      </c>
      <c r="C118">
        <v>7.924521445636687</v>
      </c>
      <c r="D118">
        <v>12</v>
      </c>
      <c r="E118">
        <v>7</v>
      </c>
      <c r="F118">
        <v>0.35884397435158349</v>
      </c>
      <c r="G118">
        <v>28</v>
      </c>
      <c r="H118">
        <v>14</v>
      </c>
      <c r="I118">
        <v>0.30975530412685182</v>
      </c>
      <c r="J118">
        <v>327203377.79053032</v>
      </c>
      <c r="K118">
        <v>165430000</v>
      </c>
      <c r="L118">
        <v>79925737.367124319</v>
      </c>
      <c r="M118">
        <v>77595700</v>
      </c>
      <c r="N118">
        <v>15763533.199999999</v>
      </c>
      <c r="O118">
        <v>231.195033</v>
      </c>
      <c r="P118">
        <v>2.6378343791606391</v>
      </c>
      <c r="Q118">
        <v>43.841799399999999</v>
      </c>
      <c r="R118">
        <v>801.07294999999999</v>
      </c>
      <c r="S118">
        <v>7.0691257400000004E-10</v>
      </c>
      <c r="T118">
        <v>21.661770884539823</v>
      </c>
      <c r="U118">
        <v>100.934</v>
      </c>
      <c r="V118">
        <v>-619.09347578710515</v>
      </c>
      <c r="W118">
        <v>69.218749399999993</v>
      </c>
      <c r="X118">
        <v>94.831421899999995</v>
      </c>
      <c r="Y118">
        <v>144.29</v>
      </c>
      <c r="Z118">
        <v>253.26325700000001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2.6378343791606391</v>
      </c>
    </row>
    <row r="119" spans="1:40" x14ac:dyDescent="0.3">
      <c r="A119">
        <v>29</v>
      </c>
      <c r="B119">
        <v>10</v>
      </c>
      <c r="C119">
        <v>13.794577818269202</v>
      </c>
      <c r="D119">
        <v>16</v>
      </c>
      <c r="E119">
        <v>14</v>
      </c>
      <c r="F119">
        <v>0.32593806722146385</v>
      </c>
      <c r="G119">
        <v>29</v>
      </c>
      <c r="H119">
        <v>11</v>
      </c>
      <c r="I119">
        <v>0.73737346434153739</v>
      </c>
      <c r="J119">
        <v>327192790.95977235</v>
      </c>
      <c r="K119">
        <v>165430000</v>
      </c>
      <c r="L119">
        <v>79925720.875729114</v>
      </c>
      <c r="M119">
        <v>77595700</v>
      </c>
      <c r="N119">
        <v>15759703.040000001</v>
      </c>
      <c r="O119">
        <v>231.49675199999999</v>
      </c>
      <c r="P119">
        <v>2.6343653383710359</v>
      </c>
      <c r="Q119">
        <v>43.835085599999999</v>
      </c>
      <c r="R119">
        <v>800.4283089999999</v>
      </c>
      <c r="S119">
        <v>1.02028541E-9</v>
      </c>
      <c r="T119">
        <v>21.679938897960184</v>
      </c>
      <c r="U119">
        <v>100.934</v>
      </c>
      <c r="V119">
        <v>-608.57371376574486</v>
      </c>
      <c r="W119">
        <v>69.2214393</v>
      </c>
      <c r="X119">
        <v>94.857629900000006</v>
      </c>
      <c r="Y119">
        <v>144.29</v>
      </c>
      <c r="Z119">
        <v>254.24696399999999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2.6343653383710359</v>
      </c>
    </row>
    <row r="120" spans="1:40" x14ac:dyDescent="0.3">
      <c r="A120">
        <v>38</v>
      </c>
      <c r="B120">
        <v>11</v>
      </c>
      <c r="C120">
        <v>14.321483880543596</v>
      </c>
      <c r="D120">
        <v>29</v>
      </c>
      <c r="E120">
        <v>14</v>
      </c>
      <c r="F120">
        <v>0.35581998497677619</v>
      </c>
      <c r="G120">
        <v>23</v>
      </c>
      <c r="H120">
        <v>12</v>
      </c>
      <c r="I120">
        <v>0.47295334146441148</v>
      </c>
      <c r="J120">
        <v>327194134.26714528</v>
      </c>
      <c r="K120">
        <v>165430000</v>
      </c>
      <c r="L120">
        <v>79925723.15859364</v>
      </c>
      <c r="M120">
        <v>77595700</v>
      </c>
      <c r="N120">
        <v>15760232.319999998</v>
      </c>
      <c r="O120">
        <v>231.20529500000001</v>
      </c>
      <c r="P120">
        <v>2.6376901589791379</v>
      </c>
      <c r="Q120">
        <v>43.880392100000002</v>
      </c>
      <c r="R120">
        <v>800.28120200000001</v>
      </c>
      <c r="S120">
        <v>6.1962784700000001E-16</v>
      </c>
      <c r="T120">
        <v>21.719816126019367</v>
      </c>
      <c r="U120">
        <v>100.934</v>
      </c>
      <c r="V120">
        <v>-607.83148083160665</v>
      </c>
      <c r="W120">
        <v>69.219682899999995</v>
      </c>
      <c r="X120">
        <v>94.844204700000006</v>
      </c>
      <c r="Y120">
        <v>177.97</v>
      </c>
      <c r="Z120">
        <v>253.972533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2.6376901589791379</v>
      </c>
    </row>
    <row r="121" spans="1:40" x14ac:dyDescent="0.3">
      <c r="A121">
        <v>35</v>
      </c>
      <c r="B121">
        <v>19</v>
      </c>
      <c r="C121">
        <v>7.4034285754646474</v>
      </c>
      <c r="D121">
        <v>24</v>
      </c>
      <c r="E121">
        <v>6</v>
      </c>
      <c r="F121">
        <v>0.31587648720053291</v>
      </c>
      <c r="G121">
        <v>18</v>
      </c>
      <c r="H121">
        <v>14</v>
      </c>
      <c r="I121">
        <v>1.1538643644427391</v>
      </c>
      <c r="J121">
        <v>327190437.44313973</v>
      </c>
      <c r="K121">
        <v>165430000</v>
      </c>
      <c r="L121">
        <v>79925720.344046846</v>
      </c>
      <c r="M121">
        <v>77595700</v>
      </c>
      <c r="N121">
        <v>15759532.48</v>
      </c>
      <c r="O121">
        <v>231.777524</v>
      </c>
      <c r="P121">
        <v>2.6311672123887702</v>
      </c>
      <c r="Q121">
        <v>43.830047499999999</v>
      </c>
      <c r="R121">
        <v>800.07505400000002</v>
      </c>
      <c r="S121">
        <v>7.6639336299999999E-9</v>
      </c>
      <c r="T121">
        <v>21.717933446684054</v>
      </c>
      <c r="U121">
        <v>100.934</v>
      </c>
      <c r="V121">
        <v>-599.70888663524056</v>
      </c>
      <c r="W121">
        <v>69.219015099999993</v>
      </c>
      <c r="X121">
        <v>94.837002799999993</v>
      </c>
      <c r="Y121">
        <v>177.97</v>
      </c>
      <c r="Z121">
        <v>255.11804799999999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2.6311672123887702</v>
      </c>
    </row>
    <row r="122" spans="1:40" x14ac:dyDescent="0.3">
      <c r="A122">
        <v>30</v>
      </c>
      <c r="B122">
        <v>10</v>
      </c>
      <c r="C122">
        <v>6.6310212770184949</v>
      </c>
      <c r="D122">
        <v>29</v>
      </c>
      <c r="E122">
        <v>6</v>
      </c>
      <c r="F122">
        <v>0.33028168080117154</v>
      </c>
      <c r="G122">
        <v>19</v>
      </c>
      <c r="H122">
        <v>14</v>
      </c>
      <c r="I122">
        <v>1.3411222402350411</v>
      </c>
      <c r="J122">
        <v>327191582.65338415</v>
      </c>
      <c r="K122">
        <v>165430000</v>
      </c>
      <c r="L122">
        <v>79925720.177639335</v>
      </c>
      <c r="M122">
        <v>77595700</v>
      </c>
      <c r="N122">
        <v>15759532.48</v>
      </c>
      <c r="O122">
        <v>231.62614099999999</v>
      </c>
      <c r="P122">
        <v>2.6328902105626035</v>
      </c>
      <c r="Q122">
        <v>43.843815999999997</v>
      </c>
      <c r="R122">
        <v>800.11003599999992</v>
      </c>
      <c r="S122">
        <v>6.3535833800000001E-9</v>
      </c>
      <c r="T122">
        <v>21.751302487308632</v>
      </c>
      <c r="U122">
        <v>100.934</v>
      </c>
      <c r="V122">
        <v>-596.4813952776426</v>
      </c>
      <c r="W122">
        <v>69.225309499999995</v>
      </c>
      <c r="X122">
        <v>94.874335299999998</v>
      </c>
      <c r="Y122">
        <v>177.97</v>
      </c>
      <c r="Z122">
        <v>254.61257599999999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2.6328902105626035</v>
      </c>
    </row>
    <row r="123" spans="1:40" x14ac:dyDescent="0.3">
      <c r="A123">
        <v>33</v>
      </c>
      <c r="B123">
        <v>16</v>
      </c>
      <c r="C123">
        <v>12.695300490856944</v>
      </c>
      <c r="D123">
        <v>10</v>
      </c>
      <c r="E123">
        <v>7</v>
      </c>
      <c r="F123">
        <v>0.30282099716942024</v>
      </c>
      <c r="G123">
        <v>14</v>
      </c>
      <c r="H123">
        <v>11</v>
      </c>
      <c r="I123">
        <v>1.2276412396201235</v>
      </c>
      <c r="J123">
        <v>327189325.64316595</v>
      </c>
      <c r="K123">
        <v>165430000</v>
      </c>
      <c r="L123">
        <v>79925721.614701733</v>
      </c>
      <c r="M123">
        <v>77595700</v>
      </c>
      <c r="N123">
        <v>15759784.960000001</v>
      </c>
      <c r="O123">
        <v>232.01174499999999</v>
      </c>
      <c r="P123">
        <v>2.628507737685188</v>
      </c>
      <c r="Q123">
        <v>43.750895999999997</v>
      </c>
      <c r="R123">
        <v>801.34132999999997</v>
      </c>
      <c r="S123">
        <v>1.9167734200000001E-9</v>
      </c>
      <c r="T123">
        <v>21.43770693585606</v>
      </c>
      <c r="U123">
        <v>100.934</v>
      </c>
      <c r="V123">
        <v>-615.8853430509796</v>
      </c>
      <c r="W123">
        <v>69.219017500000007</v>
      </c>
      <c r="X123">
        <v>94.837676599999995</v>
      </c>
      <c r="Y123">
        <v>121.52199999999999</v>
      </c>
      <c r="Z123">
        <v>255.86897300000001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2.628507737685188</v>
      </c>
    </row>
    <row r="124" spans="1:40" x14ac:dyDescent="0.3">
      <c r="A124">
        <v>31</v>
      </c>
      <c r="B124">
        <v>14</v>
      </c>
      <c r="C124">
        <v>1.6867365459415427</v>
      </c>
      <c r="D124">
        <v>29</v>
      </c>
      <c r="E124">
        <v>5</v>
      </c>
      <c r="F124">
        <v>0.30711119157977357</v>
      </c>
      <c r="G124">
        <v>17</v>
      </c>
      <c r="H124">
        <v>7</v>
      </c>
      <c r="I124">
        <v>1.2528542136150613</v>
      </c>
      <c r="J124">
        <v>327193520.49292433</v>
      </c>
      <c r="K124">
        <v>165430000</v>
      </c>
      <c r="L124">
        <v>79925722.096667185</v>
      </c>
      <c r="M124">
        <v>77595700</v>
      </c>
      <c r="N124">
        <v>15759984.399999999</v>
      </c>
      <c r="O124">
        <v>231.32763299999999</v>
      </c>
      <c r="P124">
        <v>2.6362934110063447</v>
      </c>
      <c r="Q124">
        <v>43.794357599999998</v>
      </c>
      <c r="R124">
        <v>800.39895899999999</v>
      </c>
      <c r="S124">
        <v>5.3920414499999997E-8</v>
      </c>
      <c r="T124">
        <v>21.80664646529679</v>
      </c>
      <c r="U124">
        <v>100.934</v>
      </c>
      <c r="V124">
        <v>-562.02693890967885</v>
      </c>
      <c r="W124">
        <v>69.313095200000006</v>
      </c>
      <c r="X124">
        <v>95.199897500000006</v>
      </c>
      <c r="Y124">
        <v>177.97</v>
      </c>
      <c r="Z124">
        <v>254.30826999999999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2.6362934110063447</v>
      </c>
    </row>
    <row r="125" spans="1:40" x14ac:dyDescent="0.3">
      <c r="A125">
        <v>29</v>
      </c>
      <c r="B125">
        <v>17</v>
      </c>
      <c r="C125">
        <v>1.8203748980172367</v>
      </c>
      <c r="D125">
        <v>14</v>
      </c>
      <c r="E125">
        <v>11</v>
      </c>
      <c r="F125">
        <v>0.32478305141243097</v>
      </c>
      <c r="G125">
        <v>28</v>
      </c>
      <c r="H125">
        <v>8</v>
      </c>
      <c r="I125">
        <v>0.49155978231987363</v>
      </c>
      <c r="J125">
        <v>327195794.53154212</v>
      </c>
      <c r="K125">
        <v>165430000</v>
      </c>
      <c r="L125">
        <v>79925725.408792973</v>
      </c>
      <c r="M125">
        <v>77595700</v>
      </c>
      <c r="N125">
        <v>15760758.48</v>
      </c>
      <c r="O125">
        <v>231.22431700000001</v>
      </c>
      <c r="P125">
        <v>2.6374780400123776</v>
      </c>
      <c r="Q125">
        <v>43.752419600000003</v>
      </c>
      <c r="R125">
        <v>801.58060499999999</v>
      </c>
      <c r="S125">
        <v>1.64430637E-12</v>
      </c>
      <c r="T125">
        <v>21.48091273475865</v>
      </c>
      <c r="U125">
        <v>91.850000000000009</v>
      </c>
      <c r="V125">
        <v>-588.91712437943761</v>
      </c>
      <c r="W125">
        <v>69.306311699999995</v>
      </c>
      <c r="X125">
        <v>95.177318099999994</v>
      </c>
      <c r="Y125">
        <v>121.52199999999999</v>
      </c>
      <c r="Z125">
        <v>253.91902400000001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2.6374780400123776</v>
      </c>
    </row>
    <row r="126" spans="1:40" x14ac:dyDescent="0.3">
      <c r="A126">
        <v>32</v>
      </c>
      <c r="B126">
        <v>13</v>
      </c>
      <c r="C126">
        <v>5.2813766485402986</v>
      </c>
      <c r="D126">
        <v>10</v>
      </c>
      <c r="E126">
        <v>7</v>
      </c>
      <c r="F126">
        <v>0.40501818379729321</v>
      </c>
      <c r="G126">
        <v>12</v>
      </c>
      <c r="H126">
        <v>7</v>
      </c>
      <c r="I126">
        <v>1.2729988769584453</v>
      </c>
      <c r="J126">
        <v>327193528.32593858</v>
      </c>
      <c r="K126">
        <v>165430000</v>
      </c>
      <c r="L126">
        <v>79925723.553451955</v>
      </c>
      <c r="M126">
        <v>77595700</v>
      </c>
      <c r="N126">
        <v>15760300.32</v>
      </c>
      <c r="O126">
        <v>231.03437099999999</v>
      </c>
      <c r="P126">
        <v>2.6396397961889222</v>
      </c>
      <c r="Q126">
        <v>43.830504599999998</v>
      </c>
      <c r="R126">
        <v>801.91525799999999</v>
      </c>
      <c r="S126">
        <v>5.1023829099999996E-10</v>
      </c>
      <c r="T126">
        <v>21.595322095146035</v>
      </c>
      <c r="U126">
        <v>100.934</v>
      </c>
      <c r="V126">
        <v>-625.11443964662374</v>
      </c>
      <c r="W126">
        <v>69.222140999999993</v>
      </c>
      <c r="X126">
        <v>94.861689499999997</v>
      </c>
      <c r="Y126">
        <v>121.52199999999999</v>
      </c>
      <c r="Z126">
        <v>254.30820700000001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2.6396397961889222</v>
      </c>
    </row>
    <row r="127" spans="1:40" x14ac:dyDescent="0.3">
      <c r="A127">
        <v>38</v>
      </c>
      <c r="B127">
        <v>19</v>
      </c>
      <c r="C127">
        <v>1.2233769678745625</v>
      </c>
      <c r="D127">
        <v>16</v>
      </c>
      <c r="E127">
        <v>13</v>
      </c>
      <c r="F127">
        <v>0.30263679748223332</v>
      </c>
      <c r="G127">
        <v>28</v>
      </c>
      <c r="H127">
        <v>13</v>
      </c>
      <c r="I127">
        <v>1.2819027916570327</v>
      </c>
      <c r="J127">
        <v>327192265.60970986</v>
      </c>
      <c r="K127">
        <v>165430000</v>
      </c>
      <c r="L127">
        <v>79925720.103885889</v>
      </c>
      <c r="M127">
        <v>77595700</v>
      </c>
      <c r="N127">
        <v>15759522</v>
      </c>
      <c r="O127">
        <v>230.094391</v>
      </c>
      <c r="P127">
        <v>2.6504195088253768</v>
      </c>
      <c r="Q127">
        <v>43.759646799999999</v>
      </c>
      <c r="R127">
        <v>801.42691300000001</v>
      </c>
      <c r="S127">
        <v>1.2875176E-9</v>
      </c>
      <c r="T127">
        <v>21.800140283509972</v>
      </c>
      <c r="U127">
        <v>100.934</v>
      </c>
      <c r="V127">
        <v>-523.75202373939419</v>
      </c>
      <c r="W127">
        <v>69.459850900000006</v>
      </c>
      <c r="X127">
        <v>96.101806600000003</v>
      </c>
      <c r="Y127">
        <v>144.29</v>
      </c>
      <c r="Z127">
        <v>254.35057499999999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2.6504195088253768</v>
      </c>
    </row>
    <row r="128" spans="1:40" x14ac:dyDescent="0.3">
      <c r="A128">
        <v>29</v>
      </c>
      <c r="B128">
        <v>19</v>
      </c>
      <c r="C128">
        <v>13.926276041783062</v>
      </c>
      <c r="D128">
        <v>25</v>
      </c>
      <c r="E128">
        <v>5</v>
      </c>
      <c r="F128">
        <v>0.4211170957567073</v>
      </c>
      <c r="G128">
        <v>28</v>
      </c>
      <c r="H128">
        <v>7</v>
      </c>
      <c r="I128">
        <v>0.969157497716711</v>
      </c>
      <c r="J128">
        <v>327193895.91844147</v>
      </c>
      <c r="K128">
        <v>165430000</v>
      </c>
      <c r="L128">
        <v>79925722.591164574</v>
      </c>
      <c r="M128">
        <v>77595700</v>
      </c>
      <c r="N128">
        <v>15760100.08</v>
      </c>
      <c r="O128">
        <v>230.995835</v>
      </c>
      <c r="P128">
        <v>2.6400812357553103</v>
      </c>
      <c r="Q128">
        <v>43.9018029</v>
      </c>
      <c r="R128">
        <v>800.64194399999997</v>
      </c>
      <c r="S128">
        <v>2.1592295E-8</v>
      </c>
      <c r="T128">
        <v>21.843447637720516</v>
      </c>
      <c r="U128">
        <v>100.934</v>
      </c>
      <c r="V128">
        <v>-605.92876907338746</v>
      </c>
      <c r="W128">
        <v>69.219796400000007</v>
      </c>
      <c r="X128">
        <v>94.846538699999996</v>
      </c>
      <c r="Y128">
        <v>177.97</v>
      </c>
      <c r="Z128">
        <v>254.00060400000001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2.6400812357553103</v>
      </c>
    </row>
    <row r="129" spans="1:40" x14ac:dyDescent="0.3">
      <c r="A129">
        <v>27</v>
      </c>
      <c r="B129">
        <v>18</v>
      </c>
      <c r="C129">
        <v>13.708883348426447</v>
      </c>
      <c r="D129">
        <v>20</v>
      </c>
      <c r="E129">
        <v>14</v>
      </c>
      <c r="F129">
        <v>0.30444221397328569</v>
      </c>
      <c r="G129">
        <v>15</v>
      </c>
      <c r="H129">
        <v>8</v>
      </c>
      <c r="I129">
        <v>0.71643698039076176</v>
      </c>
      <c r="J129">
        <v>327193743.0625847</v>
      </c>
      <c r="K129">
        <v>165430000</v>
      </c>
      <c r="L129">
        <v>79925723.397932827</v>
      </c>
      <c r="M129">
        <v>77595700</v>
      </c>
      <c r="N129">
        <v>15760271.199999999</v>
      </c>
      <c r="O129">
        <v>231.74253400000001</v>
      </c>
      <c r="P129">
        <v>2.6315741665021584</v>
      </c>
      <c r="Q129">
        <v>43.8067937</v>
      </c>
      <c r="R129">
        <v>800.289669</v>
      </c>
      <c r="S129">
        <v>5.1789606299999998E-13</v>
      </c>
      <c r="T129">
        <v>21.5632465878844</v>
      </c>
      <c r="U129">
        <v>100.934</v>
      </c>
      <c r="V129">
        <v>-610.78874337682191</v>
      </c>
      <c r="W129">
        <v>69.220981100000003</v>
      </c>
      <c r="X129">
        <v>94.855574399999995</v>
      </c>
      <c r="Y129">
        <v>144.29</v>
      </c>
      <c r="Z129">
        <v>254.27175399999999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2.6315741665021584</v>
      </c>
    </row>
    <row r="130" spans="1:40" x14ac:dyDescent="0.3">
      <c r="A130">
        <v>28</v>
      </c>
      <c r="B130">
        <v>18</v>
      </c>
      <c r="C130">
        <v>8.5074055937856112</v>
      </c>
      <c r="D130">
        <v>17</v>
      </c>
      <c r="E130">
        <v>5</v>
      </c>
      <c r="F130">
        <v>0.31155028540710655</v>
      </c>
      <c r="G130">
        <v>15</v>
      </c>
      <c r="H130">
        <v>13</v>
      </c>
      <c r="I130">
        <v>0.52335383791221257</v>
      </c>
      <c r="J130">
        <v>327188118.77904058</v>
      </c>
      <c r="K130">
        <v>165430000</v>
      </c>
      <c r="L130">
        <v>79925750.992612407</v>
      </c>
      <c r="M130">
        <v>77595700</v>
      </c>
      <c r="N130">
        <v>15766175.84</v>
      </c>
      <c r="O130">
        <v>231.81299200000001</v>
      </c>
      <c r="P130">
        <v>2.6307578467407366</v>
      </c>
      <c r="Q130">
        <v>43.813091900000003</v>
      </c>
      <c r="R130">
        <v>800.26993100000004</v>
      </c>
      <c r="S130">
        <v>5.3968960799999999E-8</v>
      </c>
      <c r="T130">
        <v>21.720569110353157</v>
      </c>
      <c r="U130">
        <v>100.934</v>
      </c>
      <c r="V130">
        <v>-602.04754205820097</v>
      </c>
      <c r="W130">
        <v>69.221145100000001</v>
      </c>
      <c r="X130">
        <v>94.856857700000006</v>
      </c>
      <c r="Y130">
        <v>170.55</v>
      </c>
      <c r="Z130">
        <v>263.70077300000003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2.6307578467407366</v>
      </c>
    </row>
    <row r="131" spans="1:40" x14ac:dyDescent="0.3">
      <c r="A131">
        <v>39</v>
      </c>
      <c r="B131">
        <v>11</v>
      </c>
      <c r="C131">
        <v>5.7792980045795197</v>
      </c>
      <c r="D131">
        <v>12</v>
      </c>
      <c r="E131">
        <v>7</v>
      </c>
      <c r="F131">
        <v>0.31874446354682601</v>
      </c>
      <c r="G131">
        <v>26</v>
      </c>
      <c r="H131">
        <v>10</v>
      </c>
      <c r="I131">
        <v>0.7236616214219489</v>
      </c>
      <c r="J131">
        <v>327193043.54889381</v>
      </c>
      <c r="K131">
        <v>165430000</v>
      </c>
      <c r="L131">
        <v>79925721.274490818</v>
      </c>
      <c r="M131">
        <v>77595700</v>
      </c>
      <c r="N131">
        <v>15759795.52</v>
      </c>
      <c r="O131">
        <v>231.585116</v>
      </c>
      <c r="P131">
        <v>2.6333609059992229</v>
      </c>
      <c r="Q131">
        <v>43.8056318</v>
      </c>
      <c r="R131">
        <v>800.79931099999999</v>
      </c>
      <c r="S131">
        <v>1.23759858E-9</v>
      </c>
      <c r="T131">
        <v>21.603086594811511</v>
      </c>
      <c r="U131">
        <v>100.934</v>
      </c>
      <c r="V131">
        <v>-612.71409285034508</v>
      </c>
      <c r="W131">
        <v>69.223185599999994</v>
      </c>
      <c r="X131">
        <v>94.863533799999999</v>
      </c>
      <c r="Y131">
        <v>144.29</v>
      </c>
      <c r="Z131">
        <v>254.250247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2.6333609059992229</v>
      </c>
    </row>
    <row r="132" spans="1:40" x14ac:dyDescent="0.3">
      <c r="A132">
        <v>31</v>
      </c>
      <c r="B132">
        <v>15</v>
      </c>
      <c r="C132">
        <v>7.3859867601495948</v>
      </c>
      <c r="D132">
        <v>11</v>
      </c>
      <c r="E132">
        <v>9</v>
      </c>
      <c r="F132">
        <v>0.33494389221604126</v>
      </c>
      <c r="G132">
        <v>25</v>
      </c>
      <c r="H132">
        <v>11</v>
      </c>
      <c r="I132">
        <v>0.36269473620323706</v>
      </c>
      <c r="J132">
        <v>327197720.76132333</v>
      </c>
      <c r="K132">
        <v>165430000</v>
      </c>
      <c r="L132">
        <v>79925728.538281381</v>
      </c>
      <c r="M132">
        <v>77595700</v>
      </c>
      <c r="N132">
        <v>15761485.039999999</v>
      </c>
      <c r="O132">
        <v>232.09916799999999</v>
      </c>
      <c r="P132">
        <v>2.627542232444871</v>
      </c>
      <c r="Q132">
        <v>43.729347300000001</v>
      </c>
      <c r="R132">
        <v>801.92566199999999</v>
      </c>
      <c r="S132">
        <v>4.0359938699999997E-11</v>
      </c>
      <c r="T132">
        <v>21.295650772690838</v>
      </c>
      <c r="U132">
        <v>100.934</v>
      </c>
      <c r="V132">
        <v>-619.84296350598686</v>
      </c>
      <c r="W132">
        <v>69.220112799999995</v>
      </c>
      <c r="X132">
        <v>94.8501835</v>
      </c>
      <c r="Y132">
        <v>121.52199999999999</v>
      </c>
      <c r="Z132">
        <v>253.83453499999999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2.627542232444871</v>
      </c>
    </row>
    <row r="133" spans="1:40" x14ac:dyDescent="0.3">
      <c r="A133">
        <v>39</v>
      </c>
      <c r="B133">
        <v>19</v>
      </c>
      <c r="C133">
        <v>4.8176770496536081</v>
      </c>
      <c r="D133">
        <v>22</v>
      </c>
      <c r="E133">
        <v>5</v>
      </c>
      <c r="F133">
        <v>0.34002564562641213</v>
      </c>
      <c r="G133">
        <v>26</v>
      </c>
      <c r="H133">
        <v>8</v>
      </c>
      <c r="I133">
        <v>0.41318807129316892</v>
      </c>
      <c r="J133">
        <v>327198356.33853811</v>
      </c>
      <c r="K133">
        <v>165430000</v>
      </c>
      <c r="L133">
        <v>79925729.261845902</v>
      </c>
      <c r="M133">
        <v>77595700</v>
      </c>
      <c r="N133">
        <v>15761655.6</v>
      </c>
      <c r="O133">
        <v>231.63330099999999</v>
      </c>
      <c r="P133">
        <v>2.6328286773418892</v>
      </c>
      <c r="Q133">
        <v>43.840440299999997</v>
      </c>
      <c r="R133">
        <v>800.26421900000003</v>
      </c>
      <c r="S133">
        <v>4.0983434899999998E-8</v>
      </c>
      <c r="T133">
        <v>21.762013780509282</v>
      </c>
      <c r="U133">
        <v>100.934</v>
      </c>
      <c r="V133">
        <v>-601.06442626657019</v>
      </c>
      <c r="W133">
        <v>69.219121700000002</v>
      </c>
      <c r="X133">
        <v>94.839452399999999</v>
      </c>
      <c r="Y133">
        <v>177.97</v>
      </c>
      <c r="Z133">
        <v>253.77825300000001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2.6328286773418892</v>
      </c>
    </row>
    <row r="134" spans="1:40" x14ac:dyDescent="0.3">
      <c r="A134">
        <v>37</v>
      </c>
      <c r="B134">
        <v>15</v>
      </c>
      <c r="C134">
        <v>12.559388940879249</v>
      </c>
      <c r="D134">
        <v>14</v>
      </c>
      <c r="E134">
        <v>7</v>
      </c>
      <c r="F134">
        <v>0.33135482624808832</v>
      </c>
      <c r="G134">
        <v>29</v>
      </c>
      <c r="H134">
        <v>8</v>
      </c>
      <c r="I134">
        <v>0.43220029349582834</v>
      </c>
      <c r="J134">
        <v>327197656.63824195</v>
      </c>
      <c r="K134">
        <v>165430000</v>
      </c>
      <c r="L134">
        <v>79925728.18594943</v>
      </c>
      <c r="M134">
        <v>77595700</v>
      </c>
      <c r="N134">
        <v>15761405.52</v>
      </c>
      <c r="O134">
        <v>231.441081</v>
      </c>
      <c r="P134">
        <v>2.6350132823007106</v>
      </c>
      <c r="Q134">
        <v>43.8337869</v>
      </c>
      <c r="R134">
        <v>800.60241899999994</v>
      </c>
      <c r="S134">
        <v>9.6422578500000003E-10</v>
      </c>
      <c r="T134">
        <v>21.666872845540212</v>
      </c>
      <c r="U134">
        <v>100.934</v>
      </c>
      <c r="V134">
        <v>-612.7641090093307</v>
      </c>
      <c r="W134">
        <v>69.218858699999998</v>
      </c>
      <c r="X134">
        <v>94.834985799999998</v>
      </c>
      <c r="Y134">
        <v>144.29</v>
      </c>
      <c r="Z134">
        <v>253.79584199999999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2.6350132823007106</v>
      </c>
    </row>
    <row r="135" spans="1:40" x14ac:dyDescent="0.3">
      <c r="A135">
        <v>27</v>
      </c>
      <c r="B135">
        <v>19</v>
      </c>
      <c r="C135">
        <v>9.8567680723557842</v>
      </c>
      <c r="D135">
        <v>25</v>
      </c>
      <c r="E135">
        <v>14</v>
      </c>
      <c r="F135">
        <v>0.32072029227688664</v>
      </c>
      <c r="G135">
        <v>10</v>
      </c>
      <c r="H135">
        <v>8</v>
      </c>
      <c r="I135">
        <v>0.79537842764177125</v>
      </c>
      <c r="J135">
        <v>327186959.08657938</v>
      </c>
      <c r="K135">
        <v>165430000</v>
      </c>
      <c r="L135">
        <v>79925736.63575305</v>
      </c>
      <c r="M135">
        <v>77595700</v>
      </c>
      <c r="N135">
        <v>15763016.24</v>
      </c>
      <c r="O135">
        <v>231.57662199999999</v>
      </c>
      <c r="P135">
        <v>2.6334396587634767</v>
      </c>
      <c r="Q135">
        <v>43.839658800000002</v>
      </c>
      <c r="R135">
        <v>800.06510300000002</v>
      </c>
      <c r="S135">
        <v>3.9310792900000002E-12</v>
      </c>
      <c r="T135">
        <v>21.639320968127617</v>
      </c>
      <c r="U135">
        <v>100.934</v>
      </c>
      <c r="V135">
        <v>-606.56500106329827</v>
      </c>
      <c r="W135">
        <v>69.222204199999993</v>
      </c>
      <c r="X135">
        <v>94.861338799999999</v>
      </c>
      <c r="Y135">
        <v>165.7</v>
      </c>
      <c r="Z135">
        <v>260.22397899999999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2.6334396587634767</v>
      </c>
    </row>
    <row r="136" spans="1:40" x14ac:dyDescent="0.3">
      <c r="A136">
        <v>33</v>
      </c>
      <c r="B136">
        <v>19</v>
      </c>
      <c r="C136">
        <v>9.232521888476672</v>
      </c>
      <c r="D136">
        <v>29</v>
      </c>
      <c r="E136">
        <v>5</v>
      </c>
      <c r="F136">
        <v>0.33087488806478871</v>
      </c>
      <c r="G136">
        <v>20</v>
      </c>
      <c r="H136">
        <v>7</v>
      </c>
      <c r="I136">
        <v>0.45783067501258945</v>
      </c>
      <c r="J136">
        <v>327198017.43371528</v>
      </c>
      <c r="K136">
        <v>165430000</v>
      </c>
      <c r="L136">
        <v>79925728.828980923</v>
      </c>
      <c r="M136">
        <v>77595700</v>
      </c>
      <c r="N136">
        <v>15761551.76</v>
      </c>
      <c r="O136">
        <v>231.767315</v>
      </c>
      <c r="P136">
        <v>2.6313053134040501</v>
      </c>
      <c r="Q136">
        <v>43.835920100000003</v>
      </c>
      <c r="R136">
        <v>800.09490600000004</v>
      </c>
      <c r="S136">
        <v>4.43367538E-8</v>
      </c>
      <c r="T136">
        <v>21.770963844266213</v>
      </c>
      <c r="U136">
        <v>100.934</v>
      </c>
      <c r="V136">
        <v>-596.91651682698864</v>
      </c>
      <c r="W136">
        <v>69.219096800000003</v>
      </c>
      <c r="X136">
        <v>94.838265300000003</v>
      </c>
      <c r="Y136">
        <v>177.97</v>
      </c>
      <c r="Z136">
        <v>253.865542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2.6313053134040501</v>
      </c>
    </row>
    <row r="137" spans="1:40" x14ac:dyDescent="0.3">
      <c r="A137">
        <v>39</v>
      </c>
      <c r="B137">
        <v>17</v>
      </c>
      <c r="C137">
        <v>13.71188242970393</v>
      </c>
      <c r="D137">
        <v>16</v>
      </c>
      <c r="E137">
        <v>5</v>
      </c>
      <c r="F137">
        <v>0.34031295363707648</v>
      </c>
      <c r="G137">
        <v>10</v>
      </c>
      <c r="H137">
        <v>8</v>
      </c>
      <c r="I137">
        <v>1.1591421892093778</v>
      </c>
      <c r="J137">
        <v>327187685.97098541</v>
      </c>
      <c r="K137">
        <v>165430000</v>
      </c>
      <c r="L137">
        <v>79925729.268625468</v>
      </c>
      <c r="M137">
        <v>77595700</v>
      </c>
      <c r="N137">
        <v>15761423.76</v>
      </c>
      <c r="O137">
        <v>231.54451</v>
      </c>
      <c r="P137">
        <v>2.633807011301982</v>
      </c>
      <c r="Q137">
        <v>43.836192599999997</v>
      </c>
      <c r="R137">
        <v>800.46991800000001</v>
      </c>
      <c r="S137">
        <v>4.1289680200000002E-8</v>
      </c>
      <c r="T137">
        <v>21.740855242974899</v>
      </c>
      <c r="U137">
        <v>100.934</v>
      </c>
      <c r="V137">
        <v>-606.5666652397972</v>
      </c>
      <c r="W137">
        <v>69.218631500000001</v>
      </c>
      <c r="X137">
        <v>94.829099799999995</v>
      </c>
      <c r="Y137">
        <v>165.7</v>
      </c>
      <c r="Z137">
        <v>258.11107399999997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2.633807011301982</v>
      </c>
    </row>
    <row r="138" spans="1:40" x14ac:dyDescent="0.3">
      <c r="A138">
        <v>27</v>
      </c>
      <c r="B138">
        <v>18</v>
      </c>
      <c r="C138">
        <v>2.8181776711784328</v>
      </c>
      <c r="D138">
        <v>14</v>
      </c>
      <c r="E138">
        <v>11</v>
      </c>
      <c r="F138">
        <v>0.3693969213056077</v>
      </c>
      <c r="G138">
        <v>10</v>
      </c>
      <c r="H138">
        <v>7</v>
      </c>
      <c r="I138">
        <v>1.3469205973427911</v>
      </c>
      <c r="J138">
        <v>327192315.89594936</v>
      </c>
      <c r="K138">
        <v>165430000</v>
      </c>
      <c r="L138">
        <v>79925726.349714458</v>
      </c>
      <c r="M138">
        <v>77595700</v>
      </c>
      <c r="N138">
        <v>15760880.800000001</v>
      </c>
      <c r="O138">
        <v>231.115725</v>
      </c>
      <c r="P138">
        <v>2.6387070672701549</v>
      </c>
      <c r="Q138">
        <v>43.803785599999998</v>
      </c>
      <c r="R138">
        <v>801.65919699999995</v>
      </c>
      <c r="S138">
        <v>1.2256408100000001E-11</v>
      </c>
      <c r="T138">
        <v>21.529941963588549</v>
      </c>
      <c r="U138">
        <v>91.850000000000009</v>
      </c>
      <c r="V138">
        <v>-612.52244037067499</v>
      </c>
      <c r="W138">
        <v>69.254922699999995</v>
      </c>
      <c r="X138">
        <v>94.983840299999997</v>
      </c>
      <c r="Y138">
        <v>121.52199999999999</v>
      </c>
      <c r="Z138">
        <v>255.274396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2.6387070672701549</v>
      </c>
    </row>
    <row r="139" spans="1:40" x14ac:dyDescent="0.3">
      <c r="A139">
        <v>34</v>
      </c>
      <c r="B139">
        <v>12</v>
      </c>
      <c r="C139">
        <v>14.717576461983107</v>
      </c>
      <c r="D139">
        <v>11</v>
      </c>
      <c r="E139">
        <v>6</v>
      </c>
      <c r="F139">
        <v>0.352578111548145</v>
      </c>
      <c r="G139">
        <v>10</v>
      </c>
      <c r="H139">
        <v>7</v>
      </c>
      <c r="I139">
        <v>0.92171014676291607</v>
      </c>
      <c r="J139">
        <v>327191665.45106095</v>
      </c>
      <c r="K139">
        <v>165430000</v>
      </c>
      <c r="L139">
        <v>79925729.061129674</v>
      </c>
      <c r="M139">
        <v>77595700</v>
      </c>
      <c r="N139">
        <v>15761454.08</v>
      </c>
      <c r="O139">
        <v>231.315945</v>
      </c>
      <c r="P139">
        <v>2.6364211743246684</v>
      </c>
      <c r="Q139">
        <v>43.829971499999999</v>
      </c>
      <c r="R139">
        <v>801.04269499999998</v>
      </c>
      <c r="S139">
        <v>5.4749371800000004E-9</v>
      </c>
      <c r="T139">
        <v>21.662406322700221</v>
      </c>
      <c r="U139">
        <v>100.934</v>
      </c>
      <c r="V139">
        <v>-617.19277803530281</v>
      </c>
      <c r="W139">
        <v>69.219445500000006</v>
      </c>
      <c r="X139">
        <v>94.843052999999998</v>
      </c>
      <c r="Y139">
        <v>144.29</v>
      </c>
      <c r="Z139">
        <v>256.20375100000001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2.6364211743246684</v>
      </c>
    </row>
    <row r="140" spans="1:40" x14ac:dyDescent="0.3">
      <c r="A140">
        <v>35</v>
      </c>
      <c r="B140">
        <v>19</v>
      </c>
      <c r="C140">
        <v>5.504013498343685</v>
      </c>
      <c r="D140">
        <v>26</v>
      </c>
      <c r="E140">
        <v>5</v>
      </c>
      <c r="F140">
        <v>0.30012633681869955</v>
      </c>
      <c r="G140">
        <v>10</v>
      </c>
      <c r="H140">
        <v>7</v>
      </c>
      <c r="I140">
        <v>1.1061178642356631</v>
      </c>
      <c r="J140">
        <v>327191950.81093872</v>
      </c>
      <c r="K140">
        <v>165430000</v>
      </c>
      <c r="L140">
        <v>79925727.520319387</v>
      </c>
      <c r="M140">
        <v>77595700</v>
      </c>
      <c r="N140">
        <v>15761126</v>
      </c>
      <c r="O140">
        <v>232.018822</v>
      </c>
      <c r="P140">
        <v>2.6284352442533105</v>
      </c>
      <c r="Q140">
        <v>43.808852899999998</v>
      </c>
      <c r="R140">
        <v>799.99661099999992</v>
      </c>
      <c r="S140">
        <v>6.0113028700000005E-8</v>
      </c>
      <c r="T140">
        <v>21.737409273397883</v>
      </c>
      <c r="U140">
        <v>100.934</v>
      </c>
      <c r="V140">
        <v>-595.63544147347989</v>
      </c>
      <c r="W140">
        <v>69.219303100000005</v>
      </c>
      <c r="X140">
        <v>94.8418846</v>
      </c>
      <c r="Y140">
        <v>177.97</v>
      </c>
      <c r="Z140">
        <v>255.98087000000001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2.6284352442533105</v>
      </c>
    </row>
    <row r="141" spans="1:40" x14ac:dyDescent="0.3">
      <c r="A141">
        <v>27</v>
      </c>
      <c r="B141">
        <v>19</v>
      </c>
      <c r="C141">
        <v>13.849813987220555</v>
      </c>
      <c r="D141">
        <v>29</v>
      </c>
      <c r="E141">
        <v>9</v>
      </c>
      <c r="F141">
        <v>0.30350602752161748</v>
      </c>
      <c r="G141">
        <v>11</v>
      </c>
      <c r="H141">
        <v>7</v>
      </c>
      <c r="I141">
        <v>0.38086711270492113</v>
      </c>
      <c r="J141">
        <v>327197646.64785028</v>
      </c>
      <c r="K141">
        <v>165430000</v>
      </c>
      <c r="L141">
        <v>79925743.700881809</v>
      </c>
      <c r="M141">
        <v>77595700</v>
      </c>
      <c r="N141">
        <v>15764755.199999999</v>
      </c>
      <c r="O141">
        <v>231.87485899999999</v>
      </c>
      <c r="P141">
        <v>2.6300838234601627</v>
      </c>
      <c r="Q141">
        <v>43.825707000000001</v>
      </c>
      <c r="R141">
        <v>799.81739100000004</v>
      </c>
      <c r="S141">
        <v>3.7187945199999999E-11</v>
      </c>
      <c r="T141">
        <v>21.665184212183121</v>
      </c>
      <c r="U141">
        <v>100.934</v>
      </c>
      <c r="V141">
        <v>-597.88456643516895</v>
      </c>
      <c r="W141">
        <v>69.221230700000007</v>
      </c>
      <c r="X141">
        <v>94.856223600000007</v>
      </c>
      <c r="Y141">
        <v>177.97</v>
      </c>
      <c r="Z141">
        <v>256.95364499999999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2.6300838234601627</v>
      </c>
    </row>
    <row r="142" spans="1:40" x14ac:dyDescent="0.3">
      <c r="A142">
        <v>39</v>
      </c>
      <c r="B142">
        <v>14</v>
      </c>
      <c r="C142">
        <v>14.747268741198358</v>
      </c>
      <c r="D142">
        <v>28</v>
      </c>
      <c r="E142">
        <v>5</v>
      </c>
      <c r="F142">
        <v>0.33098482321858991</v>
      </c>
      <c r="G142">
        <v>25</v>
      </c>
      <c r="H142">
        <v>8</v>
      </c>
      <c r="I142">
        <v>0.4621614955352128</v>
      </c>
      <c r="J142">
        <v>327196770.62642884</v>
      </c>
      <c r="K142">
        <v>165430000</v>
      </c>
      <c r="L142">
        <v>79925726.885094672</v>
      </c>
      <c r="M142">
        <v>77595700</v>
      </c>
      <c r="N142">
        <v>15761102.24</v>
      </c>
      <c r="O142">
        <v>231.76085900000001</v>
      </c>
      <c r="P142">
        <v>2.6313749597872165</v>
      </c>
      <c r="Q142">
        <v>43.835866299999999</v>
      </c>
      <c r="R142">
        <v>800.10757699999999</v>
      </c>
      <c r="S142">
        <v>4.4295750400000002E-8</v>
      </c>
      <c r="T142">
        <v>21.76880754538562</v>
      </c>
      <c r="U142">
        <v>100.934</v>
      </c>
      <c r="V142">
        <v>-597.27565315802281</v>
      </c>
      <c r="W142">
        <v>69.218823599999993</v>
      </c>
      <c r="X142">
        <v>94.834512099999998</v>
      </c>
      <c r="Y142">
        <v>177.97</v>
      </c>
      <c r="Z142">
        <v>253.95356799999999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2.6313749597872165</v>
      </c>
    </row>
    <row r="143" spans="1:40" x14ac:dyDescent="0.3">
      <c r="A143">
        <v>28</v>
      </c>
      <c r="B143">
        <v>12</v>
      </c>
      <c r="C143">
        <v>3.1283993811822541</v>
      </c>
      <c r="D143">
        <v>10</v>
      </c>
      <c r="E143">
        <v>5</v>
      </c>
      <c r="F143">
        <v>0.33002673928062015</v>
      </c>
      <c r="G143">
        <v>28</v>
      </c>
      <c r="H143">
        <v>7</v>
      </c>
      <c r="I143">
        <v>0.45384464694007265</v>
      </c>
      <c r="J143">
        <v>327197997.64191669</v>
      </c>
      <c r="K143">
        <v>165430000</v>
      </c>
      <c r="L143">
        <v>79925728.653123111</v>
      </c>
      <c r="M143">
        <v>77595700</v>
      </c>
      <c r="N143">
        <v>15761513.76</v>
      </c>
      <c r="O143">
        <v>231.48280700000001</v>
      </c>
      <c r="P143">
        <v>2.6345393072632231</v>
      </c>
      <c r="Q143">
        <v>43.797298400000003</v>
      </c>
      <c r="R143">
        <v>801.02911499999993</v>
      </c>
      <c r="S143">
        <v>4.7881500399999998E-8</v>
      </c>
      <c r="T143">
        <v>21.667832902521223</v>
      </c>
      <c r="U143">
        <v>100.934</v>
      </c>
      <c r="V143">
        <v>-606.52991040410052</v>
      </c>
      <c r="W143">
        <v>69.239461199999994</v>
      </c>
      <c r="X143">
        <v>94.931757099999999</v>
      </c>
      <c r="Y143">
        <v>144.29</v>
      </c>
      <c r="Z143">
        <v>253.79313999999999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2.6345393072632231</v>
      </c>
    </row>
    <row r="144" spans="1:40" x14ac:dyDescent="0.3">
      <c r="A144">
        <v>32</v>
      </c>
      <c r="B144">
        <v>19</v>
      </c>
      <c r="C144">
        <v>10.250749452807808</v>
      </c>
      <c r="D144">
        <v>29</v>
      </c>
      <c r="E144">
        <v>14</v>
      </c>
      <c r="F144">
        <v>0.33238925724389223</v>
      </c>
      <c r="G144">
        <v>27</v>
      </c>
      <c r="H144">
        <v>7</v>
      </c>
      <c r="I144">
        <v>0.55034540853412706</v>
      </c>
      <c r="J144">
        <v>327196224.84256256</v>
      </c>
      <c r="K144">
        <v>165430000</v>
      </c>
      <c r="L144">
        <v>79925726.032512978</v>
      </c>
      <c r="M144">
        <v>77595700</v>
      </c>
      <c r="N144">
        <v>15760903.039999999</v>
      </c>
      <c r="O144">
        <v>231.75387699999999</v>
      </c>
      <c r="P144">
        <v>2.6314526359496533</v>
      </c>
      <c r="Q144">
        <v>43.837152799999998</v>
      </c>
      <c r="R144">
        <v>800.10219599999994</v>
      </c>
      <c r="S144">
        <v>4.3718952599999997E-8</v>
      </c>
      <c r="T144">
        <v>21.772366888886204</v>
      </c>
      <c r="U144">
        <v>100.934</v>
      </c>
      <c r="V144">
        <v>-597.01417231396465</v>
      </c>
      <c r="W144">
        <v>69.219181899999995</v>
      </c>
      <c r="X144">
        <v>94.839570399999999</v>
      </c>
      <c r="Y144">
        <v>177.97</v>
      </c>
      <c r="Z144">
        <v>254.00055800000001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2.6314526359496533</v>
      </c>
    </row>
    <row r="145" spans="1:40" x14ac:dyDescent="0.3">
      <c r="A145">
        <v>28</v>
      </c>
      <c r="B145">
        <v>11</v>
      </c>
      <c r="C145">
        <v>4.4579811177011868</v>
      </c>
      <c r="D145">
        <v>14</v>
      </c>
      <c r="E145">
        <v>11</v>
      </c>
      <c r="F145">
        <v>0.30824633805432616</v>
      </c>
      <c r="G145">
        <v>19</v>
      </c>
      <c r="H145">
        <v>12</v>
      </c>
      <c r="I145">
        <v>0.53063806824156945</v>
      </c>
      <c r="J145">
        <v>327192591.55527043</v>
      </c>
      <c r="K145">
        <v>165430000</v>
      </c>
      <c r="L145">
        <v>79925722.117416769</v>
      </c>
      <c r="M145">
        <v>77595700</v>
      </c>
      <c r="N145">
        <v>15759966.560000001</v>
      </c>
      <c r="O145">
        <v>231.892844</v>
      </c>
      <c r="P145">
        <v>2.6298650425258834</v>
      </c>
      <c r="Q145">
        <v>43.756080099999998</v>
      </c>
      <c r="R145">
        <v>801.22407699999997</v>
      </c>
      <c r="S145">
        <v>1.2943268100000001E-12</v>
      </c>
      <c r="T145">
        <v>21.407481595008328</v>
      </c>
      <c r="U145">
        <v>100.934</v>
      </c>
      <c r="V145">
        <v>-612.6906305994321</v>
      </c>
      <c r="W145">
        <v>69.230632499999999</v>
      </c>
      <c r="X145">
        <v>94.896777299999997</v>
      </c>
      <c r="Y145">
        <v>121.52199999999999</v>
      </c>
      <c r="Z145">
        <v>254.51461599999999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2.6298650425258834</v>
      </c>
    </row>
    <row r="146" spans="1:40" x14ac:dyDescent="0.3">
      <c r="A146">
        <v>28</v>
      </c>
      <c r="B146">
        <v>19</v>
      </c>
      <c r="C146">
        <v>14.432455600960017</v>
      </c>
      <c r="D146">
        <v>28</v>
      </c>
      <c r="E146">
        <v>5</v>
      </c>
      <c r="F146">
        <v>0.42247590200214902</v>
      </c>
      <c r="G146">
        <v>28</v>
      </c>
      <c r="H146">
        <v>13</v>
      </c>
      <c r="I146">
        <v>1.3594891445209907</v>
      </c>
      <c r="J146">
        <v>327192264.39206475</v>
      </c>
      <c r="K146">
        <v>165430000</v>
      </c>
      <c r="L146">
        <v>79925720.0950519</v>
      </c>
      <c r="M146">
        <v>77595700</v>
      </c>
      <c r="N146">
        <v>15759520.08</v>
      </c>
      <c r="O146">
        <v>231.01164299999999</v>
      </c>
      <c r="P146">
        <v>2.6398957820108215</v>
      </c>
      <c r="Q146">
        <v>43.904009899999998</v>
      </c>
      <c r="R146">
        <v>800.58790199999999</v>
      </c>
      <c r="S146">
        <v>2.1333404500000001E-8</v>
      </c>
      <c r="T146">
        <v>21.850170803975395</v>
      </c>
      <c r="U146">
        <v>100.934</v>
      </c>
      <c r="V146">
        <v>-604.26796856648843</v>
      </c>
      <c r="W146">
        <v>69.220293499999997</v>
      </c>
      <c r="X146">
        <v>94.850486900000007</v>
      </c>
      <c r="Y146">
        <v>177.97</v>
      </c>
      <c r="Z146">
        <v>254.149281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2.6398957820108215</v>
      </c>
    </row>
    <row r="147" spans="1:40" x14ac:dyDescent="0.3">
      <c r="A147">
        <v>29</v>
      </c>
      <c r="B147">
        <v>14</v>
      </c>
      <c r="C147">
        <v>14.964524061515027</v>
      </c>
      <c r="D147">
        <v>22</v>
      </c>
      <c r="E147">
        <v>5</v>
      </c>
      <c r="F147">
        <v>0.32026820875188233</v>
      </c>
      <c r="G147">
        <v>17</v>
      </c>
      <c r="H147">
        <v>13</v>
      </c>
      <c r="I147">
        <v>1.3300201384113997</v>
      </c>
      <c r="J147">
        <v>327190890.91295123</v>
      </c>
      <c r="K147">
        <v>165430000</v>
      </c>
      <c r="L147">
        <v>79925720.437111795</v>
      </c>
      <c r="M147">
        <v>77595700</v>
      </c>
      <c r="N147">
        <v>15759563.760000002</v>
      </c>
      <c r="O147">
        <v>231.80301499999999</v>
      </c>
      <c r="P147">
        <v>2.630879195241512</v>
      </c>
      <c r="Q147">
        <v>43.824157200000002</v>
      </c>
      <c r="R147">
        <v>800.164534</v>
      </c>
      <c r="S147">
        <v>4.9240902600000003E-8</v>
      </c>
      <c r="T147">
        <v>21.744611219357875</v>
      </c>
      <c r="U147">
        <v>100.934</v>
      </c>
      <c r="V147">
        <v>-599.10256798329908</v>
      </c>
      <c r="W147">
        <v>69.219830999999999</v>
      </c>
      <c r="X147">
        <v>94.847774799999996</v>
      </c>
      <c r="Y147">
        <v>177.97</v>
      </c>
      <c r="Z147">
        <v>254.952246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2.630879195241512</v>
      </c>
    </row>
    <row r="148" spans="1:40" x14ac:dyDescent="0.3">
      <c r="A148">
        <v>36</v>
      </c>
      <c r="B148">
        <v>14</v>
      </c>
      <c r="C148">
        <v>11.195515685996387</v>
      </c>
      <c r="D148">
        <v>11</v>
      </c>
      <c r="E148">
        <v>9</v>
      </c>
      <c r="F148">
        <v>0.32850475130297219</v>
      </c>
      <c r="G148">
        <v>11</v>
      </c>
      <c r="H148">
        <v>7</v>
      </c>
      <c r="I148">
        <v>0.76501964492003904</v>
      </c>
      <c r="J148">
        <v>327193053.76890814</v>
      </c>
      <c r="K148">
        <v>165430000</v>
      </c>
      <c r="L148">
        <v>79925727.207021296</v>
      </c>
      <c r="M148">
        <v>77595700</v>
      </c>
      <c r="N148">
        <v>15761079.439999999</v>
      </c>
      <c r="O148">
        <v>232.16281499999999</v>
      </c>
      <c r="P148">
        <v>2.6268082501653174</v>
      </c>
      <c r="Q148">
        <v>43.724581299999997</v>
      </c>
      <c r="R148">
        <v>801.90153600000008</v>
      </c>
      <c r="S148">
        <v>4.5383680899999998E-11</v>
      </c>
      <c r="T148">
        <v>21.285871005281098</v>
      </c>
      <c r="U148">
        <v>100.934</v>
      </c>
      <c r="V148">
        <v>-619.52591783753985</v>
      </c>
      <c r="W148">
        <v>69.219115799999997</v>
      </c>
      <c r="X148">
        <v>94.839209199999999</v>
      </c>
      <c r="Y148">
        <v>121.52199999999999</v>
      </c>
      <c r="Z148">
        <v>255.36880099999999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2.6268082501653174</v>
      </c>
    </row>
    <row r="149" spans="1:40" x14ac:dyDescent="0.3">
      <c r="A149">
        <v>39</v>
      </c>
      <c r="B149">
        <v>11</v>
      </c>
      <c r="C149">
        <v>8.6285511046647247</v>
      </c>
      <c r="D149">
        <v>25</v>
      </c>
      <c r="E149">
        <v>12</v>
      </c>
      <c r="F149">
        <v>0.37795742791607501</v>
      </c>
      <c r="G149">
        <v>24</v>
      </c>
      <c r="H149">
        <v>14</v>
      </c>
      <c r="I149">
        <v>1.3277473929565289</v>
      </c>
      <c r="J149">
        <v>327193384.91806805</v>
      </c>
      <c r="K149">
        <v>165430000</v>
      </c>
      <c r="L149">
        <v>79925721.834318548</v>
      </c>
      <c r="M149">
        <v>77595700</v>
      </c>
      <c r="N149">
        <v>15759923.440000001</v>
      </c>
      <c r="O149">
        <v>230.876903</v>
      </c>
      <c r="P149">
        <v>2.6414397226469557</v>
      </c>
      <c r="Q149">
        <v>43.900649100000003</v>
      </c>
      <c r="R149">
        <v>800.662148</v>
      </c>
      <c r="S149">
        <v>1.8705506200000001E-14</v>
      </c>
      <c r="T149">
        <v>21.76590267030813</v>
      </c>
      <c r="U149">
        <v>100.934</v>
      </c>
      <c r="V149">
        <v>-612.38449687287505</v>
      </c>
      <c r="W149">
        <v>69.2209146</v>
      </c>
      <c r="X149">
        <v>94.852136400000006</v>
      </c>
      <c r="Y149">
        <v>170.55</v>
      </c>
      <c r="Z149">
        <v>253.89936700000001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2.6414397226469557</v>
      </c>
    </row>
    <row r="150" spans="1:40" x14ac:dyDescent="0.3">
      <c r="A150">
        <v>30</v>
      </c>
      <c r="B150">
        <v>16</v>
      </c>
      <c r="C150">
        <v>14.165024439570296</v>
      </c>
      <c r="D150">
        <v>18</v>
      </c>
      <c r="E150">
        <v>14</v>
      </c>
      <c r="F150">
        <v>0.30232733850327925</v>
      </c>
      <c r="G150">
        <v>24</v>
      </c>
      <c r="H150">
        <v>8</v>
      </c>
      <c r="I150">
        <v>0.44100970968056841</v>
      </c>
      <c r="J150">
        <v>327197070.23552704</v>
      </c>
      <c r="K150">
        <v>165430000</v>
      </c>
      <c r="L150">
        <v>79925727.351857468</v>
      </c>
      <c r="M150">
        <v>77595700</v>
      </c>
      <c r="N150">
        <v>15761210.4</v>
      </c>
      <c r="O150">
        <v>231.86897500000001</v>
      </c>
      <c r="P150">
        <v>2.6301488779279212</v>
      </c>
      <c r="Q150">
        <v>43.780796799999997</v>
      </c>
      <c r="R150">
        <v>800.70156800000007</v>
      </c>
      <c r="S150">
        <v>5.5538713600000002E-15</v>
      </c>
      <c r="T150">
        <v>21.475880385994831</v>
      </c>
      <c r="U150">
        <v>100.934</v>
      </c>
      <c r="V150">
        <v>-614.27040288534715</v>
      </c>
      <c r="W150">
        <v>69.219423699999993</v>
      </c>
      <c r="X150">
        <v>94.843550699999994</v>
      </c>
      <c r="Y150">
        <v>121.52199999999999</v>
      </c>
      <c r="Z150">
        <v>253.831109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2.6301488779279212</v>
      </c>
    </row>
    <row r="151" spans="1:40" x14ac:dyDescent="0.3">
      <c r="A151">
        <v>39</v>
      </c>
      <c r="B151">
        <v>11</v>
      </c>
      <c r="C151">
        <v>14.698415402274659</v>
      </c>
      <c r="D151">
        <v>16</v>
      </c>
      <c r="E151">
        <v>14</v>
      </c>
      <c r="F151">
        <v>0.37054239851408693</v>
      </c>
      <c r="G151">
        <v>16</v>
      </c>
      <c r="H151">
        <v>12</v>
      </c>
      <c r="I151">
        <v>1.112034855995728</v>
      </c>
      <c r="J151">
        <v>327190678.91677171</v>
      </c>
      <c r="K151">
        <v>165430000</v>
      </c>
      <c r="L151">
        <v>79925720.778144464</v>
      </c>
      <c r="M151">
        <v>77595700</v>
      </c>
      <c r="N151">
        <v>15759632.24</v>
      </c>
      <c r="O151">
        <v>231.79509400000001</v>
      </c>
      <c r="P151">
        <v>2.6309684778879037</v>
      </c>
      <c r="Q151">
        <v>43.759885699999998</v>
      </c>
      <c r="R151">
        <v>801.89950399999998</v>
      </c>
      <c r="S151">
        <v>1.7682971500000001E-15</v>
      </c>
      <c r="T151">
        <v>21.322170731819181</v>
      </c>
      <c r="U151">
        <v>100.934</v>
      </c>
      <c r="V151">
        <v>-623.33322481222967</v>
      </c>
      <c r="W151">
        <v>69.219617499999998</v>
      </c>
      <c r="X151">
        <v>94.843438000000006</v>
      </c>
      <c r="Y151">
        <v>121.52199999999999</v>
      </c>
      <c r="Z151">
        <v>255.03360799999999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2.6309684778879037</v>
      </c>
    </row>
    <row r="152" spans="1:40" x14ac:dyDescent="0.3">
      <c r="A152">
        <v>38</v>
      </c>
      <c r="B152">
        <v>13</v>
      </c>
      <c r="C152">
        <v>11.669792254199084</v>
      </c>
      <c r="D152">
        <v>10</v>
      </c>
      <c r="E152">
        <v>8</v>
      </c>
      <c r="F152">
        <v>0.30267067712474538</v>
      </c>
      <c r="G152">
        <v>25</v>
      </c>
      <c r="H152">
        <v>11</v>
      </c>
      <c r="I152">
        <v>1.3371000739569543</v>
      </c>
      <c r="J152">
        <v>327192373.73056966</v>
      </c>
      <c r="K152">
        <v>165430000</v>
      </c>
      <c r="L152">
        <v>79925720.277483836</v>
      </c>
      <c r="M152">
        <v>77595700</v>
      </c>
      <c r="N152">
        <v>15759562.08</v>
      </c>
      <c r="O152">
        <v>232.38388</v>
      </c>
      <c r="P152">
        <v>2.6243074010817522</v>
      </c>
      <c r="Q152">
        <v>43.703223100000002</v>
      </c>
      <c r="R152">
        <v>801.90360099999998</v>
      </c>
      <c r="S152">
        <v>4.2940200600000002E-10</v>
      </c>
      <c r="T152">
        <v>21.266968637152161</v>
      </c>
      <c r="U152">
        <v>100.934</v>
      </c>
      <c r="V152">
        <v>-617.06588523008395</v>
      </c>
      <c r="W152">
        <v>69.219220800000002</v>
      </c>
      <c r="X152">
        <v>94.840213300000002</v>
      </c>
      <c r="Y152">
        <v>121.52199999999999</v>
      </c>
      <c r="Z152">
        <v>254.526262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2.6243074010817522</v>
      </c>
    </row>
    <row r="153" spans="1:40" x14ac:dyDescent="0.3">
      <c r="A153">
        <v>34</v>
      </c>
      <c r="B153">
        <v>11</v>
      </c>
      <c r="C153">
        <v>9.2767720999619847</v>
      </c>
      <c r="D153">
        <v>10</v>
      </c>
      <c r="E153">
        <v>7</v>
      </c>
      <c r="F153">
        <v>0.30063620938643104</v>
      </c>
      <c r="G153">
        <v>12</v>
      </c>
      <c r="H153">
        <v>7</v>
      </c>
      <c r="I153">
        <v>0.44075999401840132</v>
      </c>
      <c r="J153">
        <v>327196569.80608523</v>
      </c>
      <c r="K153">
        <v>165430000</v>
      </c>
      <c r="L153">
        <v>79925733.597275153</v>
      </c>
      <c r="M153">
        <v>77595700</v>
      </c>
      <c r="N153">
        <v>15762541.92</v>
      </c>
      <c r="O153">
        <v>232.01858999999999</v>
      </c>
      <c r="P153">
        <v>2.6284513870352222</v>
      </c>
      <c r="Q153">
        <v>43.7486605</v>
      </c>
      <c r="R153">
        <v>801.34238700000003</v>
      </c>
      <c r="S153">
        <v>1.9811729499999998E-9</v>
      </c>
      <c r="T153">
        <v>21.436153099514737</v>
      </c>
      <c r="U153">
        <v>100.934</v>
      </c>
      <c r="V153">
        <v>-614.97560432832518</v>
      </c>
      <c r="W153">
        <v>69.220926300000002</v>
      </c>
      <c r="X153">
        <v>94.853693800000002</v>
      </c>
      <c r="Y153">
        <v>121.52199999999999</v>
      </c>
      <c r="Z153">
        <v>255.33710500000001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2.6284513870352222</v>
      </c>
    </row>
    <row r="154" spans="1:40" x14ac:dyDescent="0.3">
      <c r="A154">
        <v>39</v>
      </c>
      <c r="B154">
        <v>12</v>
      </c>
      <c r="C154">
        <v>14.758065600153932</v>
      </c>
      <c r="D154">
        <v>10</v>
      </c>
      <c r="E154">
        <v>6</v>
      </c>
      <c r="F154">
        <v>0.32115495985100717</v>
      </c>
      <c r="G154">
        <v>26</v>
      </c>
      <c r="H154">
        <v>11</v>
      </c>
      <c r="I154">
        <v>0.4139454351787506</v>
      </c>
      <c r="J154">
        <v>327195968.16743404</v>
      </c>
      <c r="K154">
        <v>165430000</v>
      </c>
      <c r="L154">
        <v>79925725.762973905</v>
      </c>
      <c r="M154">
        <v>77595700</v>
      </c>
      <c r="N154">
        <v>15760841.84</v>
      </c>
      <c r="O154">
        <v>231.69118399999999</v>
      </c>
      <c r="P154">
        <v>2.6321639250545488</v>
      </c>
      <c r="Q154">
        <v>43.788894599999999</v>
      </c>
      <c r="R154">
        <v>801.09950500000002</v>
      </c>
      <c r="S154">
        <v>8.3293899700000004E-9</v>
      </c>
      <c r="T154">
        <v>21.571861014021422</v>
      </c>
      <c r="U154">
        <v>100.934</v>
      </c>
      <c r="V154">
        <v>-615.50368620914912</v>
      </c>
      <c r="W154">
        <v>69.219231500000006</v>
      </c>
      <c r="X154">
        <v>94.840000900000007</v>
      </c>
      <c r="Y154">
        <v>121.52199999999999</v>
      </c>
      <c r="Z154">
        <v>254.005315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2.6321639250545488</v>
      </c>
    </row>
    <row r="155" spans="1:40" x14ac:dyDescent="0.3">
      <c r="A155">
        <v>37</v>
      </c>
      <c r="B155">
        <v>13</v>
      </c>
      <c r="C155">
        <v>9.2529790597556669</v>
      </c>
      <c r="D155">
        <v>10</v>
      </c>
      <c r="E155">
        <v>8</v>
      </c>
      <c r="F155">
        <v>0.30069814683423846</v>
      </c>
      <c r="G155">
        <v>24</v>
      </c>
      <c r="H155">
        <v>9</v>
      </c>
      <c r="I155">
        <v>0.5890926690020587</v>
      </c>
      <c r="J155">
        <v>327193810.7032851</v>
      </c>
      <c r="K155">
        <v>165430000</v>
      </c>
      <c r="L155">
        <v>79925722.453724295</v>
      </c>
      <c r="M155">
        <v>77595700</v>
      </c>
      <c r="N155">
        <v>15760069.92</v>
      </c>
      <c r="O155">
        <v>232.403267</v>
      </c>
      <c r="P155">
        <v>2.6240926796970721</v>
      </c>
      <c r="Q155">
        <v>43.701349399999998</v>
      </c>
      <c r="R155">
        <v>801.89501100000007</v>
      </c>
      <c r="S155">
        <v>4.4241056899999999E-10</v>
      </c>
      <c r="T155">
        <v>21.263997995066354</v>
      </c>
      <c r="U155">
        <v>100.934</v>
      </c>
      <c r="V155">
        <v>-616.72130371301819</v>
      </c>
      <c r="W155">
        <v>69.219572200000002</v>
      </c>
      <c r="X155">
        <v>94.844046599999999</v>
      </c>
      <c r="Y155">
        <v>121.52199999999999</v>
      </c>
      <c r="Z155">
        <v>254.39987199999999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2.6240926796970721</v>
      </c>
    </row>
    <row r="156" spans="1:40" x14ac:dyDescent="0.3">
      <c r="A156">
        <v>37</v>
      </c>
      <c r="B156">
        <v>10</v>
      </c>
      <c r="C156">
        <v>9.6442338969455275</v>
      </c>
      <c r="D156">
        <v>13</v>
      </c>
      <c r="E156">
        <v>11</v>
      </c>
      <c r="F156">
        <v>0.3042649294500066</v>
      </c>
      <c r="G156">
        <v>14</v>
      </c>
      <c r="H156">
        <v>10</v>
      </c>
      <c r="I156">
        <v>0.3861187702912896</v>
      </c>
      <c r="J156">
        <v>327194728.27527308</v>
      </c>
      <c r="K156">
        <v>165430000</v>
      </c>
      <c r="L156">
        <v>79925737.867990389</v>
      </c>
      <c r="M156">
        <v>77595700</v>
      </c>
      <c r="N156">
        <v>15763428.239999998</v>
      </c>
      <c r="O156">
        <v>232.37476000000001</v>
      </c>
      <c r="P156">
        <v>2.6244172756577755</v>
      </c>
      <c r="Q156">
        <v>43.705222399999997</v>
      </c>
      <c r="R156">
        <v>801.77852900000005</v>
      </c>
      <c r="S156">
        <v>2.2093209899999998E-12</v>
      </c>
      <c r="T156">
        <v>21.238354995027773</v>
      </c>
      <c r="U156">
        <v>100.934</v>
      </c>
      <c r="V156">
        <v>-616.37737986077786</v>
      </c>
      <c r="W156">
        <v>69.221642799999998</v>
      </c>
      <c r="X156">
        <v>94.856035199999994</v>
      </c>
      <c r="Y156">
        <v>121.52199999999999</v>
      </c>
      <c r="Z156">
        <v>256.99290999999999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2.6244172756577755</v>
      </c>
    </row>
    <row r="157" spans="1:40" x14ac:dyDescent="0.3">
      <c r="A157">
        <v>27</v>
      </c>
      <c r="B157">
        <v>19</v>
      </c>
      <c r="C157">
        <v>14.793008400457028</v>
      </c>
      <c r="D157">
        <v>17</v>
      </c>
      <c r="E157">
        <v>5</v>
      </c>
      <c r="F157">
        <v>0.36503435304314791</v>
      </c>
      <c r="G157">
        <v>24</v>
      </c>
      <c r="H157">
        <v>9</v>
      </c>
      <c r="I157">
        <v>0.52320802338144412</v>
      </c>
      <c r="J157">
        <v>327194813.59827304</v>
      </c>
      <c r="K157">
        <v>165430000</v>
      </c>
      <c r="L157">
        <v>79925723.964334697</v>
      </c>
      <c r="M157">
        <v>77595700</v>
      </c>
      <c r="N157">
        <v>15760422.4</v>
      </c>
      <c r="O157">
        <v>231.33436</v>
      </c>
      <c r="P157">
        <v>2.636220544551986</v>
      </c>
      <c r="Q157">
        <v>43.855761700000002</v>
      </c>
      <c r="R157">
        <v>800.57261099999994</v>
      </c>
      <c r="S157">
        <v>3.3283246500000002E-8</v>
      </c>
      <c r="T157">
        <v>21.769608239532001</v>
      </c>
      <c r="U157">
        <v>100.934</v>
      </c>
      <c r="V157">
        <v>-607.32709928701581</v>
      </c>
      <c r="W157">
        <v>69.221098400000002</v>
      </c>
      <c r="X157">
        <v>94.855480999999997</v>
      </c>
      <c r="Y157">
        <v>170.55</v>
      </c>
      <c r="Z157">
        <v>254.00766400000001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2.636220544551986</v>
      </c>
    </row>
    <row r="158" spans="1:40" x14ac:dyDescent="0.3">
      <c r="A158">
        <v>35</v>
      </c>
      <c r="B158">
        <v>10</v>
      </c>
      <c r="C158">
        <v>6.3092281637974956</v>
      </c>
      <c r="D158">
        <v>14</v>
      </c>
      <c r="E158">
        <v>12</v>
      </c>
      <c r="F158">
        <v>0.30531332668843641</v>
      </c>
      <c r="G158">
        <v>19</v>
      </c>
      <c r="H158">
        <v>12</v>
      </c>
      <c r="I158">
        <v>0.86486561202102719</v>
      </c>
      <c r="J158">
        <v>327192148.89004028</v>
      </c>
      <c r="K158">
        <v>165430000</v>
      </c>
      <c r="L158">
        <v>79925720.518877462</v>
      </c>
      <c r="M158">
        <v>77595700</v>
      </c>
      <c r="N158">
        <v>15759609.68</v>
      </c>
      <c r="O158">
        <v>232.34951699999999</v>
      </c>
      <c r="P158">
        <v>2.6246948623609518</v>
      </c>
      <c r="Q158">
        <v>43.705542899999998</v>
      </c>
      <c r="R158">
        <v>801.76742000000002</v>
      </c>
      <c r="S158">
        <v>3.7601071800000001E-13</v>
      </c>
      <c r="T158">
        <v>21.236542913939896</v>
      </c>
      <c r="U158">
        <v>100.934</v>
      </c>
      <c r="V158">
        <v>-615.43012580456275</v>
      </c>
      <c r="W158">
        <v>69.224697399999997</v>
      </c>
      <c r="X158">
        <v>94.870086099999995</v>
      </c>
      <c r="Y158">
        <v>121.52199999999999</v>
      </c>
      <c r="Z158">
        <v>254.516335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2.6246948623609518</v>
      </c>
    </row>
    <row r="159" spans="1:40" x14ac:dyDescent="0.3">
      <c r="A159">
        <v>34</v>
      </c>
      <c r="B159">
        <v>19</v>
      </c>
      <c r="C159">
        <v>1.8419837877159653</v>
      </c>
      <c r="D159">
        <v>26</v>
      </c>
      <c r="E159">
        <v>5</v>
      </c>
      <c r="F159">
        <v>0.30202437587513226</v>
      </c>
      <c r="G159">
        <v>16</v>
      </c>
      <c r="H159">
        <v>14</v>
      </c>
      <c r="I159">
        <v>1.0187207887441951</v>
      </c>
      <c r="J159">
        <v>327182415.23474079</v>
      </c>
      <c r="K159">
        <v>165430000</v>
      </c>
      <c r="L159">
        <v>79925722.351414487</v>
      </c>
      <c r="M159">
        <v>77595700</v>
      </c>
      <c r="N159">
        <v>15759805.92</v>
      </c>
      <c r="O159">
        <v>231.68203099999999</v>
      </c>
      <c r="P159">
        <v>2.6322282015914178</v>
      </c>
      <c r="Q159">
        <v>43.798819299999998</v>
      </c>
      <c r="R159">
        <v>800.17058799999995</v>
      </c>
      <c r="S159">
        <v>5.7875566599999999E-8</v>
      </c>
      <c r="T159">
        <v>21.76930655743104</v>
      </c>
      <c r="U159">
        <v>100.934</v>
      </c>
      <c r="V159">
        <v>-578.74988191550267</v>
      </c>
      <c r="W159">
        <v>69.266306299999997</v>
      </c>
      <c r="X159">
        <v>95.029109700000006</v>
      </c>
      <c r="Y159">
        <v>177.97</v>
      </c>
      <c r="Z159">
        <v>259.16154399999999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2.6322282015914178</v>
      </c>
    </row>
    <row r="160" spans="1:40" x14ac:dyDescent="0.3">
      <c r="A160">
        <v>28</v>
      </c>
      <c r="B160">
        <v>14</v>
      </c>
      <c r="C160">
        <v>8.64172945794828</v>
      </c>
      <c r="D160">
        <v>14</v>
      </c>
      <c r="E160">
        <v>12</v>
      </c>
      <c r="F160">
        <v>0.32685057258234146</v>
      </c>
      <c r="G160">
        <v>13</v>
      </c>
      <c r="H160">
        <v>11</v>
      </c>
      <c r="I160">
        <v>0.41674500280724985</v>
      </c>
      <c r="J160">
        <v>327190802.25176382</v>
      </c>
      <c r="K160">
        <v>165430000</v>
      </c>
      <c r="L160">
        <v>79925760.9380292</v>
      </c>
      <c r="M160">
        <v>77595700</v>
      </c>
      <c r="N160">
        <v>15768395.92</v>
      </c>
      <c r="O160">
        <v>232.18152499999999</v>
      </c>
      <c r="P160">
        <v>2.6265899897489899</v>
      </c>
      <c r="Q160">
        <v>43.723866200000003</v>
      </c>
      <c r="R160">
        <v>801.78712799999994</v>
      </c>
      <c r="S160">
        <v>2.12387533E-13</v>
      </c>
      <c r="T160">
        <v>21.263662334247588</v>
      </c>
      <c r="U160">
        <v>100.934</v>
      </c>
      <c r="V160">
        <v>-618.69768448947354</v>
      </c>
      <c r="W160">
        <v>69.221327400000007</v>
      </c>
      <c r="X160">
        <v>94.858285300000006</v>
      </c>
      <c r="Y160">
        <v>121.52199999999999</v>
      </c>
      <c r="Z160">
        <v>265.478994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2.6265899897489899</v>
      </c>
    </row>
    <row r="161" spans="1:40" x14ac:dyDescent="0.3">
      <c r="A161">
        <v>27</v>
      </c>
      <c r="B161">
        <v>16</v>
      </c>
      <c r="C161">
        <v>1.8521855879234119</v>
      </c>
      <c r="D161">
        <v>10</v>
      </c>
      <c r="E161">
        <v>7</v>
      </c>
      <c r="F161">
        <v>0.36601388190827899</v>
      </c>
      <c r="G161">
        <v>21</v>
      </c>
      <c r="H161">
        <v>14</v>
      </c>
      <c r="I161">
        <v>0.63872566385188789</v>
      </c>
      <c r="J161">
        <v>327191908.26871228</v>
      </c>
      <c r="K161">
        <v>165430000</v>
      </c>
      <c r="L161">
        <v>79925720.609887987</v>
      </c>
      <c r="M161">
        <v>77595700</v>
      </c>
      <c r="N161">
        <v>15759623.68</v>
      </c>
      <c r="O161">
        <v>230.76289399999999</v>
      </c>
      <c r="P161">
        <v>2.642740388733932</v>
      </c>
      <c r="Q161">
        <v>43.778151999999999</v>
      </c>
      <c r="R161">
        <v>802.03802300000007</v>
      </c>
      <c r="S161">
        <v>7.67782733E-10</v>
      </c>
      <c r="T161">
        <v>21.58948819965919</v>
      </c>
      <c r="U161">
        <v>91.850000000000009</v>
      </c>
      <c r="V161">
        <v>-589.24401394875838</v>
      </c>
      <c r="W161">
        <v>69.318959800000002</v>
      </c>
      <c r="X161">
        <v>95.223029199999999</v>
      </c>
      <c r="Y161">
        <v>121.52199999999999</v>
      </c>
      <c r="Z161">
        <v>254.475379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2.642740388733932</v>
      </c>
    </row>
    <row r="162" spans="1:40" x14ac:dyDescent="0.3">
      <c r="A162">
        <v>27</v>
      </c>
      <c r="B162">
        <v>19</v>
      </c>
      <c r="C162">
        <v>14.531870043417985</v>
      </c>
      <c r="D162">
        <v>12</v>
      </c>
      <c r="E162">
        <v>6</v>
      </c>
      <c r="F162">
        <v>0.36422420241489273</v>
      </c>
      <c r="G162">
        <v>29</v>
      </c>
      <c r="H162">
        <v>12</v>
      </c>
      <c r="I162">
        <v>1.3206772516467991</v>
      </c>
      <c r="J162">
        <v>327192315.67288941</v>
      </c>
      <c r="K162">
        <v>165430000</v>
      </c>
      <c r="L162">
        <v>79925720.182980806</v>
      </c>
      <c r="M162">
        <v>77595700</v>
      </c>
      <c r="N162">
        <v>15759540.16</v>
      </c>
      <c r="O162">
        <v>231.15538900000001</v>
      </c>
      <c r="P162">
        <v>2.6382542903351478</v>
      </c>
      <c r="Q162">
        <v>43.849380500000002</v>
      </c>
      <c r="R162">
        <v>800.9844149999999</v>
      </c>
      <c r="S162">
        <v>4.6580842300000001E-9</v>
      </c>
      <c r="T162">
        <v>21.708826682647988</v>
      </c>
      <c r="U162">
        <v>100.934</v>
      </c>
      <c r="V162">
        <v>-616.84740540343728</v>
      </c>
      <c r="W162">
        <v>69.221132800000007</v>
      </c>
      <c r="X162">
        <v>94.855675599999998</v>
      </c>
      <c r="Y162">
        <v>144.29</v>
      </c>
      <c r="Z162">
        <v>254.18698000000001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2.6382542903351478</v>
      </c>
    </row>
    <row r="163" spans="1:40" x14ac:dyDescent="0.3">
      <c r="A163">
        <v>34</v>
      </c>
      <c r="B163">
        <v>14</v>
      </c>
      <c r="C163">
        <v>10.017213178579523</v>
      </c>
      <c r="D163">
        <v>13</v>
      </c>
      <c r="E163">
        <v>11</v>
      </c>
      <c r="F163">
        <v>0.31562475273983887</v>
      </c>
      <c r="G163">
        <v>23</v>
      </c>
      <c r="H163">
        <v>12</v>
      </c>
      <c r="I163">
        <v>0.72408865397239297</v>
      </c>
      <c r="J163">
        <v>327192538.2509473</v>
      </c>
      <c r="K163">
        <v>165430000</v>
      </c>
      <c r="L163">
        <v>79925720.575579271</v>
      </c>
      <c r="M163">
        <v>77595700</v>
      </c>
      <c r="N163">
        <v>15759631.84</v>
      </c>
      <c r="O163">
        <v>232.29035099999999</v>
      </c>
      <c r="P163">
        <v>2.6253645286437024</v>
      </c>
      <c r="Q163">
        <v>43.714976</v>
      </c>
      <c r="R163">
        <v>801.78532599999994</v>
      </c>
      <c r="S163">
        <v>1.66899668E-12</v>
      </c>
      <c r="T163">
        <v>21.251848045006806</v>
      </c>
      <c r="U163">
        <v>100.934</v>
      </c>
      <c r="V163">
        <v>-618.26812320537692</v>
      </c>
      <c r="W163">
        <v>69.219354499999994</v>
      </c>
      <c r="X163">
        <v>94.842416799999995</v>
      </c>
      <c r="Y163">
        <v>121.52199999999999</v>
      </c>
      <c r="Z163">
        <v>254.362504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2.6253645286437024</v>
      </c>
    </row>
    <row r="164" spans="1:40" x14ac:dyDescent="0.3">
      <c r="A164">
        <v>36</v>
      </c>
      <c r="B164">
        <v>18</v>
      </c>
      <c r="C164">
        <v>14.364018193831727</v>
      </c>
      <c r="D164">
        <v>11</v>
      </c>
      <c r="E164">
        <v>9</v>
      </c>
      <c r="F164">
        <v>0.3649866597896253</v>
      </c>
      <c r="G164">
        <v>29</v>
      </c>
      <c r="H164">
        <v>7</v>
      </c>
      <c r="I164">
        <v>0.53626321518754583</v>
      </c>
      <c r="J164">
        <v>327195959.38490701</v>
      </c>
      <c r="K164">
        <v>165430000</v>
      </c>
      <c r="L164">
        <v>79925725.640941724</v>
      </c>
      <c r="M164">
        <v>77595700</v>
      </c>
      <c r="N164">
        <v>15760811.600000001</v>
      </c>
      <c r="O164">
        <v>231.831874</v>
      </c>
      <c r="P164">
        <v>2.6305665385593708</v>
      </c>
      <c r="Q164">
        <v>43.7533168</v>
      </c>
      <c r="R164">
        <v>802.04668300000003</v>
      </c>
      <c r="S164">
        <v>2.42682689E-11</v>
      </c>
      <c r="T164">
        <v>21.342379982081866</v>
      </c>
      <c r="U164">
        <v>100.934</v>
      </c>
      <c r="V164">
        <v>-623.09851626492673</v>
      </c>
      <c r="W164">
        <v>69.218702399999998</v>
      </c>
      <c r="X164">
        <v>94.829971599999993</v>
      </c>
      <c r="Y164">
        <v>121.52199999999999</v>
      </c>
      <c r="Z164">
        <v>253.917689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2.6305665385593708</v>
      </c>
    </row>
    <row r="165" spans="1:40" x14ac:dyDescent="0.3">
      <c r="A165">
        <v>27</v>
      </c>
      <c r="B165">
        <v>14</v>
      </c>
      <c r="C165">
        <v>14.063600040594865</v>
      </c>
      <c r="D165">
        <v>29</v>
      </c>
      <c r="E165">
        <v>14</v>
      </c>
      <c r="F165">
        <v>0.43365967956733453</v>
      </c>
      <c r="G165">
        <v>28</v>
      </c>
      <c r="H165">
        <v>14</v>
      </c>
      <c r="I165">
        <v>0.50082138875757187</v>
      </c>
      <c r="J165">
        <v>327193269.57619077</v>
      </c>
      <c r="K165">
        <v>165430000</v>
      </c>
      <c r="L165">
        <v>79925721.55409652</v>
      </c>
      <c r="M165">
        <v>77595700</v>
      </c>
      <c r="N165">
        <v>15759864.48</v>
      </c>
      <c r="O165">
        <v>230.34458699999999</v>
      </c>
      <c r="P165">
        <v>2.6475436313399614</v>
      </c>
      <c r="Q165">
        <v>43.954160999999999</v>
      </c>
      <c r="R165">
        <v>801.10868700000003</v>
      </c>
      <c r="S165">
        <v>3.2610958200000001E-12</v>
      </c>
      <c r="T165">
        <v>21.897213906257988</v>
      </c>
      <c r="U165">
        <v>100.934</v>
      </c>
      <c r="V165">
        <v>-613.84424869875579</v>
      </c>
      <c r="W165">
        <v>69.220910399999994</v>
      </c>
      <c r="X165">
        <v>94.855830999999995</v>
      </c>
      <c r="Y165">
        <v>177.97</v>
      </c>
      <c r="Z165">
        <v>253.71110200000001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2.6475436313399614</v>
      </c>
    </row>
    <row r="166" spans="1:40" x14ac:dyDescent="0.3">
      <c r="A166">
        <v>27</v>
      </c>
      <c r="B166">
        <v>10</v>
      </c>
      <c r="C166">
        <v>3.3331458949444994</v>
      </c>
      <c r="D166">
        <v>26</v>
      </c>
      <c r="E166">
        <v>5</v>
      </c>
      <c r="F166">
        <v>0.31671193261796798</v>
      </c>
      <c r="G166">
        <v>17</v>
      </c>
      <c r="H166">
        <v>14</v>
      </c>
      <c r="I166">
        <v>1.2158327266956339</v>
      </c>
      <c r="J166">
        <v>327188557.50351185</v>
      </c>
      <c r="K166">
        <v>165430000</v>
      </c>
      <c r="L166">
        <v>79925720.549693659</v>
      </c>
      <c r="M166">
        <v>77595700</v>
      </c>
      <c r="N166">
        <v>15759536.24</v>
      </c>
      <c r="O166">
        <v>231.67650800000001</v>
      </c>
      <c r="P166">
        <v>2.6323089499898833</v>
      </c>
      <c r="Q166">
        <v>43.816879</v>
      </c>
      <c r="R166">
        <v>800.19828100000007</v>
      </c>
      <c r="S166">
        <v>5.0277501799999999E-8</v>
      </c>
      <c r="T166">
        <v>21.7662893762705</v>
      </c>
      <c r="U166">
        <v>100.934</v>
      </c>
      <c r="V166">
        <v>-587.0748121502869</v>
      </c>
      <c r="W166">
        <v>69.247427999999999</v>
      </c>
      <c r="X166">
        <v>94.956924099999995</v>
      </c>
      <c r="Y166">
        <v>177.97</v>
      </c>
      <c r="Z166">
        <v>255.927211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2.6323089499898833</v>
      </c>
    </row>
    <row r="167" spans="1:40" x14ac:dyDescent="0.3">
      <c r="A167">
        <v>32</v>
      </c>
      <c r="B167">
        <v>19</v>
      </c>
      <c r="C167">
        <v>4.6437120884271152</v>
      </c>
      <c r="D167">
        <v>12</v>
      </c>
      <c r="E167">
        <v>10</v>
      </c>
      <c r="F167">
        <v>0.30068289108520557</v>
      </c>
      <c r="G167">
        <v>11</v>
      </c>
      <c r="H167">
        <v>9</v>
      </c>
      <c r="I167">
        <v>0.70216637262629222</v>
      </c>
      <c r="J167">
        <v>327186008.55044413</v>
      </c>
      <c r="K167">
        <v>165430000</v>
      </c>
      <c r="L167">
        <v>79925736.893992841</v>
      </c>
      <c r="M167">
        <v>77595700</v>
      </c>
      <c r="N167">
        <v>15763052.16</v>
      </c>
      <c r="O167">
        <v>232.41171199999999</v>
      </c>
      <c r="P167">
        <v>2.6239745402372536</v>
      </c>
      <c r="Q167">
        <v>43.702138400000003</v>
      </c>
      <c r="R167">
        <v>801.80053599999997</v>
      </c>
      <c r="S167">
        <v>1.37483409E-11</v>
      </c>
      <c r="T167">
        <v>21.240233515425906</v>
      </c>
      <c r="U167">
        <v>100.934</v>
      </c>
      <c r="V167">
        <v>-616.66733557927785</v>
      </c>
      <c r="W167">
        <v>69.220527300000001</v>
      </c>
      <c r="X167">
        <v>94.853709699999996</v>
      </c>
      <c r="Y167">
        <v>121.52199999999999</v>
      </c>
      <c r="Z167">
        <v>261.04489799999999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2.6239745402372536</v>
      </c>
    </row>
    <row r="168" spans="1:40" x14ac:dyDescent="0.3">
      <c r="A168">
        <v>32</v>
      </c>
      <c r="B168">
        <v>18</v>
      </c>
      <c r="C168">
        <v>4.7894903425438944</v>
      </c>
      <c r="D168">
        <v>13</v>
      </c>
      <c r="E168">
        <v>11</v>
      </c>
      <c r="F168">
        <v>0.3025079559609663</v>
      </c>
      <c r="G168">
        <v>16</v>
      </c>
      <c r="H168">
        <v>8</v>
      </c>
      <c r="I168">
        <v>0.3024300743712553</v>
      </c>
      <c r="J168">
        <v>327202633.91353214</v>
      </c>
      <c r="K168">
        <v>165430000</v>
      </c>
      <c r="L168">
        <v>79925738.249905899</v>
      </c>
      <c r="M168">
        <v>77595700</v>
      </c>
      <c r="N168">
        <v>15763694.4</v>
      </c>
      <c r="O168">
        <v>232.401015</v>
      </c>
      <c r="P168">
        <v>2.6241438805844592</v>
      </c>
      <c r="Q168">
        <v>43.703910800000003</v>
      </c>
      <c r="R168">
        <v>801.76957600000003</v>
      </c>
      <c r="S168">
        <v>2.3131700200000001E-12</v>
      </c>
      <c r="T168">
        <v>21.235605947249894</v>
      </c>
      <c r="U168">
        <v>100.934</v>
      </c>
      <c r="V168">
        <v>-616.79893924247699</v>
      </c>
      <c r="W168">
        <v>69.220527300000001</v>
      </c>
      <c r="X168">
        <v>94.853347400000004</v>
      </c>
      <c r="Y168">
        <v>121.52199999999999</v>
      </c>
      <c r="Z168">
        <v>254.04116099999999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2.6241438805844592</v>
      </c>
    </row>
    <row r="169" spans="1:40" x14ac:dyDescent="0.3">
      <c r="A169">
        <v>32</v>
      </c>
      <c r="B169">
        <v>11</v>
      </c>
      <c r="C169">
        <v>12.509360645235807</v>
      </c>
      <c r="D169">
        <v>12</v>
      </c>
      <c r="E169">
        <v>10</v>
      </c>
      <c r="F169">
        <v>0.30347007290930506</v>
      </c>
      <c r="G169">
        <v>28</v>
      </c>
      <c r="H169">
        <v>14</v>
      </c>
      <c r="I169">
        <v>0.95529391730101354</v>
      </c>
      <c r="J169">
        <v>327192266.93136835</v>
      </c>
      <c r="K169">
        <v>165430000</v>
      </c>
      <c r="L169">
        <v>79925720.097106323</v>
      </c>
      <c r="M169">
        <v>77595700</v>
      </c>
      <c r="N169">
        <v>15759520.880000001</v>
      </c>
      <c r="O169">
        <v>232.385651</v>
      </c>
      <c r="P169">
        <v>2.6242870893732975</v>
      </c>
      <c r="Q169">
        <v>43.704537000000002</v>
      </c>
      <c r="R169">
        <v>801.80571399999997</v>
      </c>
      <c r="S169">
        <v>1.2889662799999999E-11</v>
      </c>
      <c r="T169">
        <v>21.243644367791642</v>
      </c>
      <c r="U169">
        <v>100.934</v>
      </c>
      <c r="V169">
        <v>-616.80378998480853</v>
      </c>
      <c r="W169">
        <v>69.2203272</v>
      </c>
      <c r="X169">
        <v>94.850493099999994</v>
      </c>
      <c r="Y169">
        <v>121.52199999999999</v>
      </c>
      <c r="Z169">
        <v>254.54220000000001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2.6242870893732975</v>
      </c>
    </row>
    <row r="170" spans="1:40" x14ac:dyDescent="0.3">
      <c r="A170">
        <v>36</v>
      </c>
      <c r="B170">
        <v>19</v>
      </c>
      <c r="C170">
        <v>3.1131979595448378</v>
      </c>
      <c r="D170">
        <v>16</v>
      </c>
      <c r="E170">
        <v>14</v>
      </c>
      <c r="F170">
        <v>0.37112813578937076</v>
      </c>
      <c r="G170">
        <v>10</v>
      </c>
      <c r="H170">
        <v>8</v>
      </c>
      <c r="I170">
        <v>0.47933592368807487</v>
      </c>
      <c r="J170">
        <v>327190646.3933413</v>
      </c>
      <c r="K170">
        <v>165430000</v>
      </c>
      <c r="L170">
        <v>79925757.594059989</v>
      </c>
      <c r="M170">
        <v>77595700</v>
      </c>
      <c r="N170">
        <v>15767663.6</v>
      </c>
      <c r="O170">
        <v>230.93329399999999</v>
      </c>
      <c r="P170">
        <v>2.6407866661459658</v>
      </c>
      <c r="Q170">
        <v>43.870641999999997</v>
      </c>
      <c r="R170">
        <v>801.00636800000007</v>
      </c>
      <c r="S170">
        <v>1.4050279499999999E-12</v>
      </c>
      <c r="T170">
        <v>21.700687830320568</v>
      </c>
      <c r="U170">
        <v>100.934</v>
      </c>
      <c r="V170">
        <v>-619.61833464927486</v>
      </c>
      <c r="W170">
        <v>69.221108000000001</v>
      </c>
      <c r="X170">
        <v>94.858287599999997</v>
      </c>
      <c r="Y170">
        <v>144.29</v>
      </c>
      <c r="Z170">
        <v>264.05269800000002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2.6407866661459658</v>
      </c>
    </row>
    <row r="171" spans="1:40" x14ac:dyDescent="0.3">
      <c r="A171">
        <v>39</v>
      </c>
      <c r="B171">
        <v>10</v>
      </c>
      <c r="C171">
        <v>9.9622621452196451</v>
      </c>
      <c r="D171">
        <v>29</v>
      </c>
      <c r="E171">
        <v>5</v>
      </c>
      <c r="F171">
        <v>0.30898532749614283</v>
      </c>
      <c r="G171">
        <v>14</v>
      </c>
      <c r="H171">
        <v>12</v>
      </c>
      <c r="I171">
        <v>0.73080201198013284</v>
      </c>
      <c r="J171">
        <v>327193488.08876002</v>
      </c>
      <c r="K171">
        <v>165430000</v>
      </c>
      <c r="L171">
        <v>79925723.775328636</v>
      </c>
      <c r="M171">
        <v>77595700</v>
      </c>
      <c r="N171">
        <v>15760346.24</v>
      </c>
      <c r="O171">
        <v>231.94016099999999</v>
      </c>
      <c r="P171">
        <v>2.6293311603929639</v>
      </c>
      <c r="Q171">
        <v>43.817022100000003</v>
      </c>
      <c r="R171">
        <v>800.00676499999997</v>
      </c>
      <c r="S171">
        <v>5.4732012500000002E-8</v>
      </c>
      <c r="T171">
        <v>21.752700002064316</v>
      </c>
      <c r="U171">
        <v>100.934</v>
      </c>
      <c r="V171">
        <v>-594.34998553780053</v>
      </c>
      <c r="W171">
        <v>69.221419999999995</v>
      </c>
      <c r="X171">
        <v>94.854268200000007</v>
      </c>
      <c r="Y171">
        <v>177.97</v>
      </c>
      <c r="Z171">
        <v>254.61138600000001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2.6293311603929639</v>
      </c>
    </row>
    <row r="172" spans="1:40" x14ac:dyDescent="0.3">
      <c r="A172">
        <v>38</v>
      </c>
      <c r="B172">
        <v>17</v>
      </c>
      <c r="C172">
        <v>14.364043043561113</v>
      </c>
      <c r="D172">
        <v>27</v>
      </c>
      <c r="E172">
        <v>5</v>
      </c>
      <c r="F172">
        <v>0.32040029968149664</v>
      </c>
      <c r="G172">
        <v>19</v>
      </c>
      <c r="H172">
        <v>13</v>
      </c>
      <c r="I172">
        <v>1.1412031524766806</v>
      </c>
      <c r="J172">
        <v>327191911.03516728</v>
      </c>
      <c r="K172">
        <v>165430000</v>
      </c>
      <c r="L172">
        <v>79925720.281387225</v>
      </c>
      <c r="M172">
        <v>77595700</v>
      </c>
      <c r="N172">
        <v>15759553.120000001</v>
      </c>
      <c r="O172">
        <v>231.84805</v>
      </c>
      <c r="P172">
        <v>2.6303711507297525</v>
      </c>
      <c r="Q172">
        <v>43.826775900000001</v>
      </c>
      <c r="R172">
        <v>800.07110399999999</v>
      </c>
      <c r="S172">
        <v>4.90034412E-8</v>
      </c>
      <c r="T172">
        <v>21.756869235251795</v>
      </c>
      <c r="U172">
        <v>100.934</v>
      </c>
      <c r="V172">
        <v>-596.93638572453688</v>
      </c>
      <c r="W172">
        <v>69.218649900000003</v>
      </c>
      <c r="X172">
        <v>94.829365300000006</v>
      </c>
      <c r="Y172">
        <v>177.97</v>
      </c>
      <c r="Z172">
        <v>254.54409100000001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2.6303711507297525</v>
      </c>
    </row>
    <row r="173" spans="1:40" x14ac:dyDescent="0.3">
      <c r="A173">
        <v>31</v>
      </c>
      <c r="B173">
        <v>19</v>
      </c>
      <c r="C173">
        <v>5.7904606718476987</v>
      </c>
      <c r="D173">
        <v>26</v>
      </c>
      <c r="E173">
        <v>5</v>
      </c>
      <c r="F173">
        <v>0.32080919484459997</v>
      </c>
      <c r="G173">
        <v>16</v>
      </c>
      <c r="H173">
        <v>7</v>
      </c>
      <c r="I173">
        <v>0.34595386309527071</v>
      </c>
      <c r="J173">
        <v>327202392.15922099</v>
      </c>
      <c r="K173">
        <v>165430000</v>
      </c>
      <c r="L173">
        <v>79925736.704781339</v>
      </c>
      <c r="M173">
        <v>77595700</v>
      </c>
      <c r="N173">
        <v>15763356.32</v>
      </c>
      <c r="O173">
        <v>231.83020400000001</v>
      </c>
      <c r="P173">
        <v>2.6306043246966833</v>
      </c>
      <c r="Q173">
        <v>43.826283699999998</v>
      </c>
      <c r="R173">
        <v>800.09203300000001</v>
      </c>
      <c r="S173">
        <v>4.8807905300000001E-8</v>
      </c>
      <c r="T173">
        <v>21.755715890415594</v>
      </c>
      <c r="U173">
        <v>100.934</v>
      </c>
      <c r="V173">
        <v>-597.04553066993071</v>
      </c>
      <c r="W173">
        <v>69.220300300000005</v>
      </c>
      <c r="X173">
        <v>94.851555099999999</v>
      </c>
      <c r="Y173">
        <v>177.97</v>
      </c>
      <c r="Z173">
        <v>253.710793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2.6306043246966833</v>
      </c>
    </row>
    <row r="174" spans="1:40" x14ac:dyDescent="0.3">
      <c r="A174">
        <v>35</v>
      </c>
      <c r="B174">
        <v>10</v>
      </c>
      <c r="C174">
        <v>6.6600108641986395</v>
      </c>
      <c r="D174">
        <v>12</v>
      </c>
      <c r="E174">
        <v>10</v>
      </c>
      <c r="F174">
        <v>0.32326016468398344</v>
      </c>
      <c r="G174">
        <v>14</v>
      </c>
      <c r="H174">
        <v>11</v>
      </c>
      <c r="I174">
        <v>1.0704877312557344</v>
      </c>
      <c r="J174">
        <v>327188814.75231528</v>
      </c>
      <c r="K174">
        <v>165430000</v>
      </c>
      <c r="L174">
        <v>79925721.903346851</v>
      </c>
      <c r="M174">
        <v>77595700</v>
      </c>
      <c r="N174">
        <v>15759835.92</v>
      </c>
      <c r="O174">
        <v>232.181264</v>
      </c>
      <c r="P174">
        <v>2.6265871312746016</v>
      </c>
      <c r="Q174">
        <v>43.719787199999999</v>
      </c>
      <c r="R174">
        <v>801.86276399999997</v>
      </c>
      <c r="S174">
        <v>8.3104548899999995E-12</v>
      </c>
      <c r="T174">
        <v>21.271611524411586</v>
      </c>
      <c r="U174">
        <v>100.934</v>
      </c>
      <c r="V174">
        <v>-617.29897276658198</v>
      </c>
      <c r="W174">
        <v>69.224177999999995</v>
      </c>
      <c r="X174">
        <v>94.868102500000006</v>
      </c>
      <c r="Y174">
        <v>121.52199999999999</v>
      </c>
      <c r="Z174">
        <v>256.07326499999999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2.6265871312746016</v>
      </c>
    </row>
    <row r="175" spans="1:40" x14ac:dyDescent="0.3">
      <c r="A175">
        <v>32</v>
      </c>
      <c r="B175">
        <v>14</v>
      </c>
      <c r="C175">
        <v>12.136287648636594</v>
      </c>
      <c r="D175">
        <v>21</v>
      </c>
      <c r="E175">
        <v>5</v>
      </c>
      <c r="F175">
        <v>0.34512434686136656</v>
      </c>
      <c r="G175">
        <v>10</v>
      </c>
      <c r="H175">
        <v>8</v>
      </c>
      <c r="I175">
        <v>1.2647437608287757</v>
      </c>
      <c r="J175">
        <v>327188063.2284404</v>
      </c>
      <c r="K175">
        <v>165430000</v>
      </c>
      <c r="L175">
        <v>79925728.348248124</v>
      </c>
      <c r="M175">
        <v>77595700</v>
      </c>
      <c r="N175">
        <v>15761231.040000001</v>
      </c>
      <c r="O175">
        <v>231.57649900000001</v>
      </c>
      <c r="P175">
        <v>2.63344429423142</v>
      </c>
      <c r="Q175">
        <v>43.8437938</v>
      </c>
      <c r="R175">
        <v>800.31699000000003</v>
      </c>
      <c r="S175">
        <v>3.9201057899999998E-8</v>
      </c>
      <c r="T175">
        <v>21.763992285102166</v>
      </c>
      <c r="U175">
        <v>100.934</v>
      </c>
      <c r="V175">
        <v>-602.08955863824076</v>
      </c>
      <c r="W175">
        <v>69.219373899999994</v>
      </c>
      <c r="X175">
        <v>94.842822799999993</v>
      </c>
      <c r="Y175">
        <v>177.97</v>
      </c>
      <c r="Z175">
        <v>257.732868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2.63344429423142</v>
      </c>
    </row>
    <row r="176" spans="1:40" x14ac:dyDescent="0.3">
      <c r="A176">
        <v>36</v>
      </c>
      <c r="B176">
        <v>10</v>
      </c>
      <c r="C176">
        <v>8.7870046552728702</v>
      </c>
      <c r="D176">
        <v>28</v>
      </c>
      <c r="E176">
        <v>14</v>
      </c>
      <c r="F176">
        <v>0.30979532833159823</v>
      </c>
      <c r="G176">
        <v>12</v>
      </c>
      <c r="H176">
        <v>7</v>
      </c>
      <c r="I176">
        <v>1.053503151994843</v>
      </c>
      <c r="J176">
        <v>327193591.05542022</v>
      </c>
      <c r="K176">
        <v>165430000</v>
      </c>
      <c r="L176">
        <v>79925724.19668889</v>
      </c>
      <c r="M176">
        <v>77595700</v>
      </c>
      <c r="N176">
        <v>15760440.32</v>
      </c>
      <c r="O176">
        <v>231.747344</v>
      </c>
      <c r="P176">
        <v>2.6315191019548676</v>
      </c>
      <c r="Q176">
        <v>43.830807200000002</v>
      </c>
      <c r="R176">
        <v>799.87260900000001</v>
      </c>
      <c r="S176">
        <v>2.8669017000000002E-15</v>
      </c>
      <c r="T176">
        <v>21.634554468927981</v>
      </c>
      <c r="U176">
        <v>100.934</v>
      </c>
      <c r="V176">
        <v>-601.71595902963145</v>
      </c>
      <c r="W176">
        <v>69.222131599999997</v>
      </c>
      <c r="X176">
        <v>94.858679199999997</v>
      </c>
      <c r="Y176">
        <v>170.55</v>
      </c>
      <c r="Z176">
        <v>254.49857800000001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2.6315191019548676</v>
      </c>
    </row>
    <row r="177" spans="1:40" x14ac:dyDescent="0.3">
      <c r="A177">
        <v>33</v>
      </c>
      <c r="B177">
        <v>10</v>
      </c>
      <c r="C177">
        <v>7.7303203123292938</v>
      </c>
      <c r="D177">
        <v>11</v>
      </c>
      <c r="E177">
        <v>9</v>
      </c>
      <c r="F177">
        <v>0.33029969543315513</v>
      </c>
      <c r="G177">
        <v>29</v>
      </c>
      <c r="H177">
        <v>11</v>
      </c>
      <c r="I177">
        <v>0.71989719018462761</v>
      </c>
      <c r="J177">
        <v>327192735.29830998</v>
      </c>
      <c r="K177">
        <v>165430000</v>
      </c>
      <c r="L177">
        <v>79925720.801564783</v>
      </c>
      <c r="M177">
        <v>77595700</v>
      </c>
      <c r="N177">
        <v>15759685.359999999</v>
      </c>
      <c r="O177">
        <v>232.11875800000001</v>
      </c>
      <c r="P177">
        <v>2.6273058967005447</v>
      </c>
      <c r="Q177">
        <v>43.725014100000003</v>
      </c>
      <c r="R177">
        <v>801.925433</v>
      </c>
      <c r="S177">
        <v>4.3829676900000003E-11</v>
      </c>
      <c r="T177">
        <v>21.290421730660231</v>
      </c>
      <c r="U177">
        <v>100.934</v>
      </c>
      <c r="V177">
        <v>-618.27287298191743</v>
      </c>
      <c r="W177">
        <v>69.223231799999994</v>
      </c>
      <c r="X177">
        <v>94.865210500000003</v>
      </c>
      <c r="Y177">
        <v>121.52199999999999</v>
      </c>
      <c r="Z177">
        <v>254.281824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2.6273058967005447</v>
      </c>
    </row>
    <row r="178" spans="1:40" x14ac:dyDescent="0.3">
      <c r="A178">
        <v>36</v>
      </c>
      <c r="B178">
        <v>14</v>
      </c>
      <c r="C178">
        <v>9.6702234992553233</v>
      </c>
      <c r="D178">
        <v>28</v>
      </c>
      <c r="E178">
        <v>5</v>
      </c>
      <c r="F178">
        <v>0.30356579840502468</v>
      </c>
      <c r="G178">
        <v>29</v>
      </c>
      <c r="H178">
        <v>7</v>
      </c>
      <c r="I178">
        <v>1.2007511859938833</v>
      </c>
      <c r="J178">
        <v>327193486.6416322</v>
      </c>
      <c r="K178">
        <v>165430000</v>
      </c>
      <c r="L178">
        <v>79925721.994768262</v>
      </c>
      <c r="M178">
        <v>77595700</v>
      </c>
      <c r="N178">
        <v>15759960.48</v>
      </c>
      <c r="O178">
        <v>231.998572</v>
      </c>
      <c r="P178">
        <v>2.6286691612975566</v>
      </c>
      <c r="Q178">
        <v>43.812496600000003</v>
      </c>
      <c r="R178">
        <v>799.98558200000002</v>
      </c>
      <c r="S178">
        <v>5.7923443500000003E-8</v>
      </c>
      <c r="T178">
        <v>21.744790621602739</v>
      </c>
      <c r="U178">
        <v>100.934</v>
      </c>
      <c r="V178">
        <v>-595.08497362889148</v>
      </c>
      <c r="W178">
        <v>69.219258100000005</v>
      </c>
      <c r="X178">
        <v>94.841070299999998</v>
      </c>
      <c r="Y178">
        <v>177.97</v>
      </c>
      <c r="Z178">
        <v>254.31428199999999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2.6286691612975566</v>
      </c>
    </row>
    <row r="179" spans="1:40" x14ac:dyDescent="0.3">
      <c r="A179">
        <v>29</v>
      </c>
      <c r="B179">
        <v>19</v>
      </c>
      <c r="C179">
        <v>14.933865934552355</v>
      </c>
      <c r="D179">
        <v>14</v>
      </c>
      <c r="E179">
        <v>10</v>
      </c>
      <c r="F179">
        <v>0.30075699628151481</v>
      </c>
      <c r="G179">
        <v>23</v>
      </c>
      <c r="H179">
        <v>7</v>
      </c>
      <c r="I179">
        <v>1.2669789057831351</v>
      </c>
      <c r="J179">
        <v>327193397.34779817</v>
      </c>
      <c r="K179">
        <v>165430000</v>
      </c>
      <c r="L179">
        <v>79925721.854040921</v>
      </c>
      <c r="M179">
        <v>77595700</v>
      </c>
      <c r="N179">
        <v>15759927.92</v>
      </c>
      <c r="O179">
        <v>231.87397000000001</v>
      </c>
      <c r="P179">
        <v>2.6300814665134422</v>
      </c>
      <c r="Q179">
        <v>43.778041399999999</v>
      </c>
      <c r="R179">
        <v>800.78372499999989</v>
      </c>
      <c r="S179">
        <v>7.8011338000000001E-12</v>
      </c>
      <c r="T179">
        <v>21.487992313735123</v>
      </c>
      <c r="U179">
        <v>100.934</v>
      </c>
      <c r="V179">
        <v>-614.02426116528147</v>
      </c>
      <c r="W179">
        <v>69.219733399999996</v>
      </c>
      <c r="X179">
        <v>94.845961799999998</v>
      </c>
      <c r="Y179">
        <v>121.52199999999999</v>
      </c>
      <c r="Z179">
        <v>254.143202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2.6300814665134422</v>
      </c>
    </row>
    <row r="180" spans="1:40" x14ac:dyDescent="0.3">
      <c r="A180">
        <v>31</v>
      </c>
      <c r="B180">
        <v>19</v>
      </c>
      <c r="C180">
        <v>13.943900271454737</v>
      </c>
      <c r="D180">
        <v>29</v>
      </c>
      <c r="E180">
        <v>5</v>
      </c>
      <c r="F180">
        <v>0.30069900387223658</v>
      </c>
      <c r="G180">
        <v>25</v>
      </c>
      <c r="H180">
        <v>14</v>
      </c>
      <c r="I180">
        <v>0.56576098565880883</v>
      </c>
      <c r="J180">
        <v>327192667.1543715</v>
      </c>
      <c r="K180">
        <v>165430000</v>
      </c>
      <c r="L180">
        <v>79925720.792936251</v>
      </c>
      <c r="M180">
        <v>77595700</v>
      </c>
      <c r="N180">
        <v>15759683.360000001</v>
      </c>
      <c r="O180">
        <v>232.03054599999999</v>
      </c>
      <c r="P180">
        <v>2.6283045309402717</v>
      </c>
      <c r="Q180">
        <v>43.810237899999997</v>
      </c>
      <c r="R180">
        <v>799.96133300000008</v>
      </c>
      <c r="S180">
        <v>5.9668457900000001E-8</v>
      </c>
      <c r="T180">
        <v>21.74437237622956</v>
      </c>
      <c r="U180">
        <v>100.934</v>
      </c>
      <c r="V180">
        <v>-594.66532654968285</v>
      </c>
      <c r="W180">
        <v>69.219193899999993</v>
      </c>
      <c r="X180">
        <v>94.839742799999996</v>
      </c>
      <c r="Y180">
        <v>177.97</v>
      </c>
      <c r="Z180">
        <v>254.412881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2.6283045309402717</v>
      </c>
    </row>
    <row r="181" spans="1:40" x14ac:dyDescent="0.3">
      <c r="A181">
        <v>38</v>
      </c>
      <c r="B181">
        <v>10</v>
      </c>
      <c r="C181">
        <v>8.8501319763900579</v>
      </c>
      <c r="D181">
        <v>18</v>
      </c>
      <c r="E181">
        <v>8</v>
      </c>
      <c r="F181">
        <v>0.30263027754557614</v>
      </c>
      <c r="G181">
        <v>12</v>
      </c>
      <c r="H181">
        <v>10</v>
      </c>
      <c r="I181">
        <v>1.0489171443476539</v>
      </c>
      <c r="J181">
        <v>327184885.1342175</v>
      </c>
      <c r="K181">
        <v>165430000</v>
      </c>
      <c r="L181">
        <v>79925726.325266942</v>
      </c>
      <c r="M181">
        <v>77595700</v>
      </c>
      <c r="N181">
        <v>15760723.760000002</v>
      </c>
      <c r="O181">
        <v>231.761821</v>
      </c>
      <c r="P181">
        <v>2.6313292235656522</v>
      </c>
      <c r="Q181">
        <v>43.81626</v>
      </c>
      <c r="R181">
        <v>800.14511099999993</v>
      </c>
      <c r="S181">
        <v>2.3072308599999999E-10</v>
      </c>
      <c r="T181">
        <v>21.639097668802275</v>
      </c>
      <c r="U181">
        <v>100.934</v>
      </c>
      <c r="V181">
        <v>-604.44939760712521</v>
      </c>
      <c r="W181">
        <v>69.221986900000005</v>
      </c>
      <c r="X181">
        <v>94.857319399999994</v>
      </c>
      <c r="Y181">
        <v>165.7</v>
      </c>
      <c r="Z181">
        <v>258.67831899999999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2.6313292235656522</v>
      </c>
    </row>
    <row r="182" spans="1:40" x14ac:dyDescent="0.3">
      <c r="A182">
        <v>32</v>
      </c>
      <c r="B182">
        <v>12</v>
      </c>
      <c r="C182">
        <v>14.878989639855391</v>
      </c>
      <c r="D182">
        <v>29</v>
      </c>
      <c r="E182">
        <v>7</v>
      </c>
      <c r="F182">
        <v>0.37483465015419593</v>
      </c>
      <c r="G182">
        <v>28</v>
      </c>
      <c r="H182">
        <v>7</v>
      </c>
      <c r="I182">
        <v>0.53223925010053907</v>
      </c>
      <c r="J182">
        <v>327196585.07319158</v>
      </c>
      <c r="K182">
        <v>165430000</v>
      </c>
      <c r="L182">
        <v>79925726.565633342</v>
      </c>
      <c r="M182">
        <v>77595700</v>
      </c>
      <c r="N182">
        <v>15761027.439999999</v>
      </c>
      <c r="O182">
        <v>231.13782499999999</v>
      </c>
      <c r="P182">
        <v>2.6384673087047088</v>
      </c>
      <c r="Q182">
        <v>43.891868500000001</v>
      </c>
      <c r="R182">
        <v>800.420658</v>
      </c>
      <c r="S182">
        <v>4.9581991400000004E-10</v>
      </c>
      <c r="T182">
        <v>21.797952796469001</v>
      </c>
      <c r="U182">
        <v>100.934</v>
      </c>
      <c r="V182">
        <v>-604.37606262487577</v>
      </c>
      <c r="W182">
        <v>69.219615200000007</v>
      </c>
      <c r="X182">
        <v>94.845070899999996</v>
      </c>
      <c r="Y182">
        <v>177.97</v>
      </c>
      <c r="Z182">
        <v>253.81626299999999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2.6384673087047088</v>
      </c>
    </row>
    <row r="183" spans="1:40" x14ac:dyDescent="0.3">
      <c r="A183">
        <v>28</v>
      </c>
      <c r="B183">
        <v>10</v>
      </c>
      <c r="C183">
        <v>1.9698884797181748</v>
      </c>
      <c r="D183">
        <v>16</v>
      </c>
      <c r="E183">
        <v>14</v>
      </c>
      <c r="F183">
        <v>0.31118100801916654</v>
      </c>
      <c r="G183">
        <v>19</v>
      </c>
      <c r="H183">
        <v>7</v>
      </c>
      <c r="I183">
        <v>0.39066254712126902</v>
      </c>
      <c r="J183">
        <v>327199176.14430356</v>
      </c>
      <c r="K183">
        <v>165430000</v>
      </c>
      <c r="L183">
        <v>79925730.66439414</v>
      </c>
      <c r="M183">
        <v>77595700</v>
      </c>
      <c r="N183">
        <v>15761976.32</v>
      </c>
      <c r="O183">
        <v>231.72998200000001</v>
      </c>
      <c r="P183">
        <v>2.6317326259038416</v>
      </c>
      <c r="Q183">
        <v>43.691747399999997</v>
      </c>
      <c r="R183">
        <v>802.11378100000002</v>
      </c>
      <c r="S183">
        <v>8.8093327899999994E-15</v>
      </c>
      <c r="T183">
        <v>21.272284785776154</v>
      </c>
      <c r="U183">
        <v>100.934</v>
      </c>
      <c r="V183">
        <v>-587.01591034212083</v>
      </c>
      <c r="W183">
        <v>69.308908099999996</v>
      </c>
      <c r="X183">
        <v>95.1771502</v>
      </c>
      <c r="Y183">
        <v>121.52199999999999</v>
      </c>
      <c r="Z183">
        <v>253.809538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2.6317326259038416</v>
      </c>
    </row>
    <row r="184" spans="1:40" x14ac:dyDescent="0.3">
      <c r="A184">
        <v>31</v>
      </c>
      <c r="B184">
        <v>16</v>
      </c>
      <c r="C184">
        <v>8.550402071373842</v>
      </c>
      <c r="D184">
        <v>17</v>
      </c>
      <c r="E184">
        <v>14</v>
      </c>
      <c r="F184">
        <v>0.30477707775172097</v>
      </c>
      <c r="G184">
        <v>12</v>
      </c>
      <c r="H184">
        <v>8</v>
      </c>
      <c r="I184">
        <v>0.63599749348133194</v>
      </c>
      <c r="J184">
        <v>327192122.74707699</v>
      </c>
      <c r="K184">
        <v>165430000</v>
      </c>
      <c r="L184">
        <v>79925727.436088428</v>
      </c>
      <c r="M184">
        <v>77595700</v>
      </c>
      <c r="N184">
        <v>15761107.439999999</v>
      </c>
      <c r="O184">
        <v>232.014296</v>
      </c>
      <c r="P184">
        <v>2.6284870213112383</v>
      </c>
      <c r="Q184">
        <v>43.756133699999999</v>
      </c>
      <c r="R184">
        <v>801.09714299999996</v>
      </c>
      <c r="S184">
        <v>6.7831035400000003E-15</v>
      </c>
      <c r="T184">
        <v>21.386534855485245</v>
      </c>
      <c r="U184">
        <v>100.934</v>
      </c>
      <c r="V184">
        <v>-616.11585453275995</v>
      </c>
      <c r="W184">
        <v>69.219685200000001</v>
      </c>
      <c r="X184">
        <v>94.846416399999995</v>
      </c>
      <c r="Y184">
        <v>121.52199999999999</v>
      </c>
      <c r="Z184">
        <v>255.76075499999999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2.6284870213112383</v>
      </c>
    </row>
    <row r="185" spans="1:40" x14ac:dyDescent="0.3">
      <c r="A185">
        <v>38</v>
      </c>
      <c r="B185">
        <v>19</v>
      </c>
      <c r="C185">
        <v>2.5977279043605428</v>
      </c>
      <c r="D185">
        <v>28</v>
      </c>
      <c r="E185">
        <v>5</v>
      </c>
      <c r="F185">
        <v>0.3542071908988455</v>
      </c>
      <c r="G185">
        <v>26</v>
      </c>
      <c r="H185">
        <v>7</v>
      </c>
      <c r="I185">
        <v>0.40863125830310337</v>
      </c>
      <c r="J185">
        <v>327199729.59274036</v>
      </c>
      <c r="K185">
        <v>165430000</v>
      </c>
      <c r="L185">
        <v>79925731.215593338</v>
      </c>
      <c r="M185">
        <v>77595700</v>
      </c>
      <c r="N185">
        <v>15762110.4</v>
      </c>
      <c r="O185">
        <v>231.54019600000001</v>
      </c>
      <c r="P185">
        <v>2.6338913945672608</v>
      </c>
      <c r="Q185">
        <v>43.8534595</v>
      </c>
      <c r="R185">
        <v>800.23569999999995</v>
      </c>
      <c r="S185">
        <v>3.5954920599999998E-8</v>
      </c>
      <c r="T185">
        <v>21.792221297480364</v>
      </c>
      <c r="U185">
        <v>100.934</v>
      </c>
      <c r="V185">
        <v>-597.85052608049693</v>
      </c>
      <c r="W185">
        <v>69.222543799999997</v>
      </c>
      <c r="X185">
        <v>94.867119000000002</v>
      </c>
      <c r="Y185">
        <v>177.97</v>
      </c>
      <c r="Z185">
        <v>253.645398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2.6338913945672608</v>
      </c>
    </row>
    <row r="186" spans="1:40" x14ac:dyDescent="0.3">
      <c r="A186">
        <v>38</v>
      </c>
      <c r="B186">
        <v>19</v>
      </c>
      <c r="C186">
        <v>10.080878136173677</v>
      </c>
      <c r="D186">
        <v>16</v>
      </c>
      <c r="E186">
        <v>7</v>
      </c>
      <c r="F186">
        <v>0.30973025834532791</v>
      </c>
      <c r="G186">
        <v>18</v>
      </c>
      <c r="H186">
        <v>14</v>
      </c>
      <c r="I186">
        <v>0.40260075105157084</v>
      </c>
      <c r="J186">
        <v>327194294.88651425</v>
      </c>
      <c r="K186">
        <v>165430000</v>
      </c>
      <c r="L186">
        <v>79925737.905175284</v>
      </c>
      <c r="M186">
        <v>77595700</v>
      </c>
      <c r="N186">
        <v>15763428.799999999</v>
      </c>
      <c r="O186">
        <v>231.696955</v>
      </c>
      <c r="P186">
        <v>2.6320934617489904</v>
      </c>
      <c r="Q186">
        <v>43.820169700000001</v>
      </c>
      <c r="R186">
        <v>800.28946399999995</v>
      </c>
      <c r="S186">
        <v>1.30589434E-9</v>
      </c>
      <c r="T186">
        <v>21.655848153296706</v>
      </c>
      <c r="U186">
        <v>100.934</v>
      </c>
      <c r="V186">
        <v>-607.48925879983005</v>
      </c>
      <c r="W186">
        <v>69.218697500000005</v>
      </c>
      <c r="X186">
        <v>94.829627299999999</v>
      </c>
      <c r="Y186">
        <v>144.29</v>
      </c>
      <c r="Z186">
        <v>257.03957300000002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2.6320934617489904</v>
      </c>
    </row>
    <row r="187" spans="1:40" x14ac:dyDescent="0.3">
      <c r="A187">
        <v>35</v>
      </c>
      <c r="B187">
        <v>17</v>
      </c>
      <c r="C187">
        <v>4.7890816777998237</v>
      </c>
      <c r="D187">
        <v>23</v>
      </c>
      <c r="E187">
        <v>14</v>
      </c>
      <c r="F187">
        <v>0.30562591762472929</v>
      </c>
      <c r="G187">
        <v>27</v>
      </c>
      <c r="H187">
        <v>7</v>
      </c>
      <c r="I187">
        <v>1.2054240346449043</v>
      </c>
      <c r="J187">
        <v>327193482.92994136</v>
      </c>
      <c r="K187">
        <v>165430000</v>
      </c>
      <c r="L187">
        <v>79925721.988194138</v>
      </c>
      <c r="M187">
        <v>77595700</v>
      </c>
      <c r="N187">
        <v>15759959.039999999</v>
      </c>
      <c r="O187">
        <v>231.747873</v>
      </c>
      <c r="P187">
        <v>2.6315127783795043</v>
      </c>
      <c r="Q187">
        <v>43.820487999999997</v>
      </c>
      <c r="R187">
        <v>800.03112299999998</v>
      </c>
      <c r="S187">
        <v>3.5484738999999999E-15</v>
      </c>
      <c r="T187">
        <v>21.603357095750216</v>
      </c>
      <c r="U187">
        <v>100.934</v>
      </c>
      <c r="V187">
        <v>-606.99468309020119</v>
      </c>
      <c r="W187">
        <v>69.219843299999994</v>
      </c>
      <c r="X187">
        <v>94.848108100000005</v>
      </c>
      <c r="Y187">
        <v>144.29</v>
      </c>
      <c r="Z187">
        <v>254.13421399999999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2.6315127783795043</v>
      </c>
    </row>
    <row r="188" spans="1:40" x14ac:dyDescent="0.3">
      <c r="A188">
        <v>32</v>
      </c>
      <c r="B188">
        <v>11</v>
      </c>
      <c r="C188">
        <v>2.3415581508779679</v>
      </c>
      <c r="D188">
        <v>10</v>
      </c>
      <c r="E188">
        <v>5</v>
      </c>
      <c r="F188">
        <v>0.32028358271403412</v>
      </c>
      <c r="G188">
        <v>16</v>
      </c>
      <c r="H188">
        <v>13</v>
      </c>
      <c r="I188">
        <v>0.37676540695032734</v>
      </c>
      <c r="J188">
        <v>327194350.30148494</v>
      </c>
      <c r="K188">
        <v>165430000</v>
      </c>
      <c r="L188">
        <v>79925750.183584288</v>
      </c>
      <c r="M188">
        <v>77595700</v>
      </c>
      <c r="N188">
        <v>15766103.199999999</v>
      </c>
      <c r="O188">
        <v>231.42174199999999</v>
      </c>
      <c r="P188">
        <v>2.6352237810973991</v>
      </c>
      <c r="Q188">
        <v>43.785322100000002</v>
      </c>
      <c r="R188">
        <v>801.08334400000001</v>
      </c>
      <c r="S188">
        <v>5.2049202300000002E-8</v>
      </c>
      <c r="T188">
        <v>21.668575580310083</v>
      </c>
      <c r="U188">
        <v>100.934</v>
      </c>
      <c r="V188">
        <v>-598.25085624711085</v>
      </c>
      <c r="W188">
        <v>69.260222400000004</v>
      </c>
      <c r="X188">
        <v>94.9976032</v>
      </c>
      <c r="Y188">
        <v>144.29</v>
      </c>
      <c r="Z188">
        <v>260.13605699999999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2.6352237810973991</v>
      </c>
    </row>
    <row r="189" spans="1:40" x14ac:dyDescent="0.3">
      <c r="A189">
        <v>27</v>
      </c>
      <c r="B189">
        <v>10</v>
      </c>
      <c r="C189">
        <v>6.8013311503785783</v>
      </c>
      <c r="D189">
        <v>29</v>
      </c>
      <c r="E189">
        <v>5</v>
      </c>
      <c r="F189">
        <v>0.35651647524565894</v>
      </c>
      <c r="G189">
        <v>14</v>
      </c>
      <c r="H189">
        <v>12</v>
      </c>
      <c r="I189">
        <v>0.75649330377674306</v>
      </c>
      <c r="J189">
        <v>327183728.79589897</v>
      </c>
      <c r="K189">
        <v>165430000</v>
      </c>
      <c r="L189">
        <v>79925732.043727502</v>
      </c>
      <c r="M189">
        <v>77595700</v>
      </c>
      <c r="N189">
        <v>15761950.880000001</v>
      </c>
      <c r="O189">
        <v>231.49430599999999</v>
      </c>
      <c r="P189">
        <v>2.6343665987097733</v>
      </c>
      <c r="Q189">
        <v>43.8546227</v>
      </c>
      <c r="R189">
        <v>800.25489299999992</v>
      </c>
      <c r="S189">
        <v>3.5166298500000003E-8</v>
      </c>
      <c r="T189">
        <v>21.798655474006765</v>
      </c>
      <c r="U189">
        <v>100.934</v>
      </c>
      <c r="V189">
        <v>-595.9081484998303</v>
      </c>
      <c r="W189">
        <v>69.227324300000006</v>
      </c>
      <c r="X189">
        <v>94.883267599999996</v>
      </c>
      <c r="Y189">
        <v>177.97</v>
      </c>
      <c r="Z189">
        <v>260.75374599999998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2.6343665987097733</v>
      </c>
    </row>
    <row r="190" spans="1:40" x14ac:dyDescent="0.3">
      <c r="A190">
        <v>29</v>
      </c>
      <c r="B190">
        <v>15</v>
      </c>
      <c r="C190">
        <v>6.3651524052975663</v>
      </c>
      <c r="D190">
        <v>15</v>
      </c>
      <c r="E190">
        <v>13</v>
      </c>
      <c r="F190">
        <v>0.32341527203872866</v>
      </c>
      <c r="G190">
        <v>25</v>
      </c>
      <c r="H190">
        <v>8</v>
      </c>
      <c r="I190">
        <v>0.35028924958457042</v>
      </c>
      <c r="J190">
        <v>327200118.49430209</v>
      </c>
      <c r="K190">
        <v>165430000</v>
      </c>
      <c r="L190">
        <v>79925731.89313899</v>
      </c>
      <c r="M190">
        <v>77595700</v>
      </c>
      <c r="N190">
        <v>15762267.200000001</v>
      </c>
      <c r="O190">
        <v>232.21668399999999</v>
      </c>
      <c r="P190">
        <v>2.6262195430739799</v>
      </c>
      <c r="Q190">
        <v>43.721199200000001</v>
      </c>
      <c r="R190">
        <v>801.75331500000004</v>
      </c>
      <c r="S190">
        <v>3.8877096700000003E-14</v>
      </c>
      <c r="T190">
        <v>21.255471750275966</v>
      </c>
      <c r="U190">
        <v>100.934</v>
      </c>
      <c r="V190">
        <v>-618.31069618694016</v>
      </c>
      <c r="W190">
        <v>69.221529000000004</v>
      </c>
      <c r="X190">
        <v>94.859616799999998</v>
      </c>
      <c r="Y190">
        <v>121.52199999999999</v>
      </c>
      <c r="Z190">
        <v>253.673564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2.6262195430739799</v>
      </c>
    </row>
    <row r="191" spans="1:40" x14ac:dyDescent="0.3">
      <c r="A191">
        <v>27</v>
      </c>
      <c r="B191">
        <v>18</v>
      </c>
      <c r="C191">
        <v>13.679308877523882</v>
      </c>
      <c r="D191">
        <v>29</v>
      </c>
      <c r="E191">
        <v>5</v>
      </c>
      <c r="F191">
        <v>0.31978474427455139</v>
      </c>
      <c r="G191">
        <v>23</v>
      </c>
      <c r="H191">
        <v>14</v>
      </c>
      <c r="I191">
        <v>0.44186578665143794</v>
      </c>
      <c r="J191">
        <v>327194023.29754061</v>
      </c>
      <c r="K191">
        <v>165430000</v>
      </c>
      <c r="L191">
        <v>79925723.553451955</v>
      </c>
      <c r="M191">
        <v>77595700</v>
      </c>
      <c r="N191">
        <v>15760314.560000001</v>
      </c>
      <c r="O191">
        <v>231.853317</v>
      </c>
      <c r="P191">
        <v>2.6303175813226933</v>
      </c>
      <c r="Q191">
        <v>43.826210799999998</v>
      </c>
      <c r="R191">
        <v>800.04719899999998</v>
      </c>
      <c r="S191">
        <v>4.9202750800000001E-8</v>
      </c>
      <c r="T191">
        <v>21.761938038941945</v>
      </c>
      <c r="U191">
        <v>100.934</v>
      </c>
      <c r="V191">
        <v>-595.58040780900774</v>
      </c>
      <c r="W191">
        <v>69.220984999999999</v>
      </c>
      <c r="X191">
        <v>94.855597799999998</v>
      </c>
      <c r="Y191">
        <v>177.97</v>
      </c>
      <c r="Z191">
        <v>254.34699800000001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2.6303175813226933</v>
      </c>
    </row>
    <row r="192" spans="1:40" x14ac:dyDescent="0.3">
      <c r="A192">
        <v>39</v>
      </c>
      <c r="B192">
        <v>16</v>
      </c>
      <c r="C192">
        <v>13.544072333603905</v>
      </c>
      <c r="D192">
        <v>27</v>
      </c>
      <c r="E192">
        <v>14</v>
      </c>
      <c r="F192">
        <v>0.37757085716318617</v>
      </c>
      <c r="G192">
        <v>29</v>
      </c>
      <c r="H192">
        <v>11</v>
      </c>
      <c r="I192">
        <v>1.0700674578131346</v>
      </c>
      <c r="J192">
        <v>327192480.32816827</v>
      </c>
      <c r="K192">
        <v>165430000</v>
      </c>
      <c r="L192">
        <v>79925720.434030175</v>
      </c>
      <c r="M192">
        <v>77595700</v>
      </c>
      <c r="N192">
        <v>15759598.879999999</v>
      </c>
      <c r="O192">
        <v>230.89051599999999</v>
      </c>
      <c r="P192">
        <v>2.641281327208866</v>
      </c>
      <c r="Q192">
        <v>43.901932799999997</v>
      </c>
      <c r="R192">
        <v>800.62713100000008</v>
      </c>
      <c r="S192">
        <v>3.3438931000000002E-16</v>
      </c>
      <c r="T192">
        <v>21.758716658924289</v>
      </c>
      <c r="U192">
        <v>100.934</v>
      </c>
      <c r="V192">
        <v>-613.27962380218059</v>
      </c>
      <c r="W192">
        <v>69.218681200000006</v>
      </c>
      <c r="X192">
        <v>94.830998800000003</v>
      </c>
      <c r="Y192">
        <v>170.55</v>
      </c>
      <c r="Z192">
        <v>253.98722599999999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2.641281327208866</v>
      </c>
    </row>
    <row r="193" spans="1:40" x14ac:dyDescent="0.3">
      <c r="A193">
        <v>39</v>
      </c>
      <c r="B193">
        <v>15</v>
      </c>
      <c r="C193">
        <v>14.437588521305434</v>
      </c>
      <c r="D193">
        <v>29</v>
      </c>
      <c r="E193">
        <v>5</v>
      </c>
      <c r="F193">
        <v>0.36265901328902228</v>
      </c>
      <c r="G193">
        <v>24</v>
      </c>
      <c r="H193">
        <v>14</v>
      </c>
      <c r="I193">
        <v>1.3408653788247038</v>
      </c>
      <c r="J193">
        <v>327192228.98529106</v>
      </c>
      <c r="K193">
        <v>165430000</v>
      </c>
      <c r="L193">
        <v>79925720.050471127</v>
      </c>
      <c r="M193">
        <v>77595700</v>
      </c>
      <c r="N193">
        <v>15759510.32</v>
      </c>
      <c r="O193">
        <v>231.50141199999999</v>
      </c>
      <c r="P193">
        <v>2.6343106620663717</v>
      </c>
      <c r="Q193">
        <v>43.861470699999998</v>
      </c>
      <c r="R193">
        <v>800.24813500000005</v>
      </c>
      <c r="S193">
        <v>3.3499844299999997E-8</v>
      </c>
      <c r="T193">
        <v>21.799469074845689</v>
      </c>
      <c r="U193">
        <v>100.934</v>
      </c>
      <c r="V193">
        <v>-599.32085888088125</v>
      </c>
      <c r="W193">
        <v>69.218681200000006</v>
      </c>
      <c r="X193">
        <v>94.832451599999999</v>
      </c>
      <c r="Y193">
        <v>177.97</v>
      </c>
      <c r="Z193">
        <v>254.29423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2.6343106620663717</v>
      </c>
    </row>
    <row r="194" spans="1:40" x14ac:dyDescent="0.3">
      <c r="A194">
        <v>36</v>
      </c>
      <c r="B194">
        <v>17</v>
      </c>
      <c r="C194">
        <v>8.7100820344132615</v>
      </c>
      <c r="D194">
        <v>14</v>
      </c>
      <c r="E194">
        <v>12</v>
      </c>
      <c r="F194">
        <v>0.30067815238746975</v>
      </c>
      <c r="G194">
        <v>29</v>
      </c>
      <c r="H194">
        <v>13</v>
      </c>
      <c r="I194">
        <v>0.53774141288815958</v>
      </c>
      <c r="J194">
        <v>327192876.18682569</v>
      </c>
      <c r="K194">
        <v>165430000</v>
      </c>
      <c r="L194">
        <v>79925720.973313764</v>
      </c>
      <c r="M194">
        <v>77595700</v>
      </c>
      <c r="N194">
        <v>15759727.68</v>
      </c>
      <c r="O194">
        <v>232.430195</v>
      </c>
      <c r="P194">
        <v>2.6237859382731989</v>
      </c>
      <c r="Q194">
        <v>43.703016099999999</v>
      </c>
      <c r="R194">
        <v>801.73841300000004</v>
      </c>
      <c r="S194">
        <v>4.30728615E-13</v>
      </c>
      <c r="T194">
        <v>21.227996659790598</v>
      </c>
      <c r="U194">
        <v>100.934</v>
      </c>
      <c r="V194">
        <v>-617.02557885984447</v>
      </c>
      <c r="W194">
        <v>69.218932800000005</v>
      </c>
      <c r="X194">
        <v>94.836067099999994</v>
      </c>
      <c r="Y194">
        <v>121.52199999999999</v>
      </c>
      <c r="Z194">
        <v>254.34103400000001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2.6237859382731989</v>
      </c>
    </row>
    <row r="195" spans="1:40" x14ac:dyDescent="0.3">
      <c r="A195">
        <v>33</v>
      </c>
      <c r="B195">
        <v>17</v>
      </c>
      <c r="C195">
        <v>14.877497658727027</v>
      </c>
      <c r="D195">
        <v>10</v>
      </c>
      <c r="E195">
        <v>8</v>
      </c>
      <c r="F195">
        <v>0.31760605431125233</v>
      </c>
      <c r="G195">
        <v>23</v>
      </c>
      <c r="H195">
        <v>14</v>
      </c>
      <c r="I195">
        <v>1.0415613382596458</v>
      </c>
      <c r="J195">
        <v>327192204.72033221</v>
      </c>
      <c r="K195">
        <v>165430000</v>
      </c>
      <c r="L195">
        <v>79925720.09690088</v>
      </c>
      <c r="M195">
        <v>77595700</v>
      </c>
      <c r="N195">
        <v>15759519.76</v>
      </c>
      <c r="O195">
        <v>232.26164900000001</v>
      </c>
      <c r="P195">
        <v>2.6256879862358518</v>
      </c>
      <c r="Q195">
        <v>43.714804100000002</v>
      </c>
      <c r="R195">
        <v>801.92216000000008</v>
      </c>
      <c r="S195">
        <v>3.29852355E-10</v>
      </c>
      <c r="T195">
        <v>21.283349131219474</v>
      </c>
      <c r="U195">
        <v>100.934</v>
      </c>
      <c r="V195">
        <v>-618.50860658300621</v>
      </c>
      <c r="W195">
        <v>69.218932800000005</v>
      </c>
      <c r="X195">
        <v>94.8353678</v>
      </c>
      <c r="Y195">
        <v>121.52199999999999</v>
      </c>
      <c r="Z195">
        <v>254.52865399999999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2.6256879862358518</v>
      </c>
    </row>
    <row r="196" spans="1:40" x14ac:dyDescent="0.3">
      <c r="A196">
        <v>39</v>
      </c>
      <c r="B196">
        <v>13</v>
      </c>
      <c r="C196">
        <v>14.657471351140529</v>
      </c>
      <c r="D196">
        <v>17</v>
      </c>
      <c r="E196">
        <v>14</v>
      </c>
      <c r="F196">
        <v>0.33412036691562969</v>
      </c>
      <c r="G196">
        <v>11</v>
      </c>
      <c r="H196">
        <v>9</v>
      </c>
      <c r="I196">
        <v>1.2330821142226447</v>
      </c>
      <c r="J196">
        <v>327186676.6806438</v>
      </c>
      <c r="K196">
        <v>165430000</v>
      </c>
      <c r="L196">
        <v>79925726.385872141</v>
      </c>
      <c r="M196">
        <v>77595700</v>
      </c>
      <c r="N196">
        <v>15760774.4</v>
      </c>
      <c r="O196">
        <v>231.39884000000001</v>
      </c>
      <c r="P196">
        <v>2.6354620822842598</v>
      </c>
      <c r="Q196">
        <v>43.846430900000001</v>
      </c>
      <c r="R196">
        <v>800.45067500000005</v>
      </c>
      <c r="S196">
        <v>1.3111752200000001E-10</v>
      </c>
      <c r="T196">
        <v>21.680686510310235</v>
      </c>
      <c r="U196">
        <v>100.934</v>
      </c>
      <c r="V196">
        <v>-610.8206866926339</v>
      </c>
      <c r="W196">
        <v>69.218932800000005</v>
      </c>
      <c r="X196">
        <v>94.837137100000007</v>
      </c>
      <c r="Y196">
        <v>144.29</v>
      </c>
      <c r="Z196">
        <v>257.71619800000002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2.6354620822842598</v>
      </c>
    </row>
    <row r="197" spans="1:40" x14ac:dyDescent="0.3">
      <c r="A197">
        <v>35</v>
      </c>
      <c r="B197">
        <v>13</v>
      </c>
      <c r="C197">
        <v>8.5502301791541502</v>
      </c>
      <c r="D197">
        <v>22</v>
      </c>
      <c r="E197">
        <v>5</v>
      </c>
      <c r="F197">
        <v>0.30210687651350715</v>
      </c>
      <c r="G197">
        <v>16</v>
      </c>
      <c r="H197">
        <v>12</v>
      </c>
      <c r="I197">
        <v>1.1917813402638617</v>
      </c>
      <c r="J197">
        <v>327190792.05216706</v>
      </c>
      <c r="K197">
        <v>165430000</v>
      </c>
      <c r="L197">
        <v>79925720.751847968</v>
      </c>
      <c r="M197">
        <v>77595700</v>
      </c>
      <c r="N197">
        <v>15759629.279999999</v>
      </c>
      <c r="O197">
        <v>231.96624600000001</v>
      </c>
      <c r="P197">
        <v>2.6290275975997228</v>
      </c>
      <c r="Q197">
        <v>43.808859300000002</v>
      </c>
      <c r="R197">
        <v>800.07710699999996</v>
      </c>
      <c r="S197">
        <v>5.9067331200000002E-8</v>
      </c>
      <c r="T197">
        <v>21.728921713785322</v>
      </c>
      <c r="U197">
        <v>100.934</v>
      </c>
      <c r="V197">
        <v>-597.48959724451743</v>
      </c>
      <c r="W197">
        <v>69.2198329</v>
      </c>
      <c r="X197">
        <v>94.846742599999999</v>
      </c>
      <c r="Y197">
        <v>170.55</v>
      </c>
      <c r="Z197">
        <v>255.09786299999999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2.6290275975997228</v>
      </c>
    </row>
    <row r="198" spans="1:40" x14ac:dyDescent="0.3">
      <c r="A198">
        <v>27</v>
      </c>
      <c r="B198">
        <v>17</v>
      </c>
      <c r="C198">
        <v>1.706499569218227</v>
      </c>
      <c r="D198">
        <v>21</v>
      </c>
      <c r="E198">
        <v>5</v>
      </c>
      <c r="F198">
        <v>0.30391688982639581</v>
      </c>
      <c r="G198">
        <v>11</v>
      </c>
      <c r="H198">
        <v>9</v>
      </c>
      <c r="I198">
        <v>1.1725448583236888</v>
      </c>
      <c r="J198">
        <v>327186485.39151776</v>
      </c>
      <c r="K198">
        <v>165430000</v>
      </c>
      <c r="L198">
        <v>79925726.810314015</v>
      </c>
      <c r="M198">
        <v>77595700</v>
      </c>
      <c r="N198">
        <v>15760862.639999999</v>
      </c>
      <c r="O198">
        <v>231.03701899999999</v>
      </c>
      <c r="P198">
        <v>2.6395888480839473</v>
      </c>
      <c r="Q198">
        <v>43.778992199999998</v>
      </c>
      <c r="R198">
        <v>800.63273900000002</v>
      </c>
      <c r="S198">
        <v>5.5182081100000002E-8</v>
      </c>
      <c r="T198">
        <v>21.811216422815107</v>
      </c>
      <c r="U198">
        <v>80.72</v>
      </c>
      <c r="V198">
        <v>-553.23559004673859</v>
      </c>
      <c r="W198">
        <v>69.359933999999996</v>
      </c>
      <c r="X198">
        <v>95.386616599999996</v>
      </c>
      <c r="Y198">
        <v>170.55</v>
      </c>
      <c r="Z198">
        <v>258.22576400000003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2.6395888480839473</v>
      </c>
    </row>
    <row r="199" spans="1:40" x14ac:dyDescent="0.3">
      <c r="A199">
        <v>29</v>
      </c>
      <c r="B199">
        <v>12</v>
      </c>
      <c r="C199">
        <v>9.8681722246393146</v>
      </c>
      <c r="D199">
        <v>25</v>
      </c>
      <c r="E199">
        <v>14</v>
      </c>
      <c r="F199">
        <v>0.30276895133417298</v>
      </c>
      <c r="G199">
        <v>20</v>
      </c>
      <c r="H199">
        <v>8</v>
      </c>
      <c r="I199">
        <v>0.94537696428618956</v>
      </c>
      <c r="J199">
        <v>327193353.17702091</v>
      </c>
      <c r="K199">
        <v>165430000</v>
      </c>
      <c r="L199">
        <v>79925721.80432412</v>
      </c>
      <c r="M199">
        <v>77595700</v>
      </c>
      <c r="N199">
        <v>15759917.040000001</v>
      </c>
      <c r="O199">
        <v>231.7953</v>
      </c>
      <c r="P199">
        <v>2.6309739717687788</v>
      </c>
      <c r="Q199">
        <v>43.8208172</v>
      </c>
      <c r="R199">
        <v>799.92486900000006</v>
      </c>
      <c r="S199">
        <v>3.8201536199999997E-15</v>
      </c>
      <c r="T199">
        <v>21.611338756104288</v>
      </c>
      <c r="U199">
        <v>100.934</v>
      </c>
      <c r="V199">
        <v>-603.98301137909118</v>
      </c>
      <c r="W199">
        <v>69.2211578</v>
      </c>
      <c r="X199">
        <v>94.856689000000003</v>
      </c>
      <c r="Y199">
        <v>165.7</v>
      </c>
      <c r="Z199">
        <v>254.16548900000001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2.6309739717687788</v>
      </c>
    </row>
    <row r="200" spans="1:40" x14ac:dyDescent="0.3">
      <c r="A200">
        <v>38</v>
      </c>
      <c r="B200">
        <v>19</v>
      </c>
      <c r="C200">
        <v>1.4627345133473859</v>
      </c>
      <c r="D200">
        <v>26</v>
      </c>
      <c r="E200">
        <v>5</v>
      </c>
      <c r="F200">
        <v>0.31384429688668708</v>
      </c>
      <c r="G200">
        <v>11</v>
      </c>
      <c r="H200">
        <v>7</v>
      </c>
      <c r="I200">
        <v>0.87045754389045626</v>
      </c>
      <c r="J200">
        <v>327193089.6391449</v>
      </c>
      <c r="K200">
        <v>165430000</v>
      </c>
      <c r="L200">
        <v>79925726.612268537</v>
      </c>
      <c r="M200">
        <v>77595700</v>
      </c>
      <c r="N200">
        <v>15760951.76</v>
      </c>
      <c r="O200">
        <v>231.03349</v>
      </c>
      <c r="P200">
        <v>2.6396485729159793</v>
      </c>
      <c r="Q200">
        <v>43.790897299999997</v>
      </c>
      <c r="R200">
        <v>800.57779200000004</v>
      </c>
      <c r="S200">
        <v>4.9879880599999999E-8</v>
      </c>
      <c r="T200">
        <v>21.830098813302325</v>
      </c>
      <c r="U200">
        <v>100.934</v>
      </c>
      <c r="V200">
        <v>-551.80701804559442</v>
      </c>
      <c r="W200">
        <v>69.344058899999993</v>
      </c>
      <c r="X200">
        <v>95.337253000000004</v>
      </c>
      <c r="Y200">
        <v>177.97</v>
      </c>
      <c r="Z200">
        <v>255.28547900000001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2.6396485729159793</v>
      </c>
    </row>
    <row r="201" spans="1:40" x14ac:dyDescent="0.3">
      <c r="A201">
        <v>32</v>
      </c>
      <c r="B201">
        <v>14</v>
      </c>
      <c r="C201">
        <v>7.6430355866999093</v>
      </c>
      <c r="D201">
        <v>13</v>
      </c>
      <c r="E201">
        <v>11</v>
      </c>
      <c r="F201">
        <v>0.30065037792941773</v>
      </c>
      <c r="G201">
        <v>16</v>
      </c>
      <c r="H201">
        <v>7</v>
      </c>
      <c r="I201">
        <v>0.86843788431606317</v>
      </c>
      <c r="J201">
        <v>327193999.35982823</v>
      </c>
      <c r="K201">
        <v>165430000</v>
      </c>
      <c r="L201">
        <v>79925722.972669199</v>
      </c>
      <c r="M201">
        <v>77595700</v>
      </c>
      <c r="N201">
        <v>15760185.359999999</v>
      </c>
      <c r="O201">
        <v>232.41834700000001</v>
      </c>
      <c r="P201">
        <v>2.6239229717215271</v>
      </c>
      <c r="Q201">
        <v>43.702526499999998</v>
      </c>
      <c r="R201">
        <v>801.76808899999992</v>
      </c>
      <c r="S201">
        <v>2.4313416599999998E-12</v>
      </c>
      <c r="T201">
        <v>21.233287248252296</v>
      </c>
      <c r="U201">
        <v>100.934</v>
      </c>
      <c r="V201">
        <v>-616.66275339125082</v>
      </c>
      <c r="W201">
        <v>69.220056999999997</v>
      </c>
      <c r="X201">
        <v>94.849404800000002</v>
      </c>
      <c r="Y201">
        <v>121.52199999999999</v>
      </c>
      <c r="Z201">
        <v>254.43373600000001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2.6239229717215271</v>
      </c>
    </row>
    <row r="202" spans="1:40" x14ac:dyDescent="0.3">
      <c r="A202">
        <v>39</v>
      </c>
      <c r="B202">
        <v>16</v>
      </c>
      <c r="C202">
        <v>3.9103742793818488</v>
      </c>
      <c r="D202">
        <v>11</v>
      </c>
      <c r="E202">
        <v>9</v>
      </c>
      <c r="F202">
        <v>0.31772850059079383</v>
      </c>
      <c r="G202">
        <v>25</v>
      </c>
      <c r="H202">
        <v>8</v>
      </c>
      <c r="I202">
        <v>0.52616658032573649</v>
      </c>
      <c r="J202">
        <v>327195034.83393902</v>
      </c>
      <c r="K202">
        <v>165430000</v>
      </c>
      <c r="L202">
        <v>79925724.285850435</v>
      </c>
      <c r="M202">
        <v>77595700</v>
      </c>
      <c r="N202">
        <v>15760496.4</v>
      </c>
      <c r="O202">
        <v>232.250269</v>
      </c>
      <c r="P202">
        <v>2.6258249142426209</v>
      </c>
      <c r="Q202">
        <v>43.715585900000001</v>
      </c>
      <c r="R202">
        <v>801.87886900000001</v>
      </c>
      <c r="S202">
        <v>5.5564385599999998E-11</v>
      </c>
      <c r="T202">
        <v>21.272004551380157</v>
      </c>
      <c r="U202">
        <v>100.934</v>
      </c>
      <c r="V202">
        <v>-618.06979622206052</v>
      </c>
      <c r="W202">
        <v>69.220517299999997</v>
      </c>
      <c r="X202">
        <v>94.852631799999997</v>
      </c>
      <c r="Y202">
        <v>121.52199999999999</v>
      </c>
      <c r="Z202">
        <v>254.25447399999999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2.6258249142426209</v>
      </c>
    </row>
    <row r="203" spans="1:40" x14ac:dyDescent="0.3">
      <c r="A203">
        <v>39</v>
      </c>
      <c r="B203">
        <v>18</v>
      </c>
      <c r="C203">
        <v>14.688641968791766</v>
      </c>
      <c r="D203">
        <v>12</v>
      </c>
      <c r="E203">
        <v>9</v>
      </c>
      <c r="F203">
        <v>0.32756796586409243</v>
      </c>
      <c r="G203">
        <v>11</v>
      </c>
      <c r="H203">
        <v>7</v>
      </c>
      <c r="I203">
        <v>0.72940331803669045</v>
      </c>
      <c r="J203">
        <v>327193148.10561121</v>
      </c>
      <c r="K203">
        <v>165430000</v>
      </c>
      <c r="L203">
        <v>79925727.931407571</v>
      </c>
      <c r="M203">
        <v>77595700</v>
      </c>
      <c r="N203">
        <v>15761238.48</v>
      </c>
      <c r="O203">
        <v>231.76996500000001</v>
      </c>
      <c r="P203">
        <v>2.6312609654342332</v>
      </c>
      <c r="Q203">
        <v>43.774906399999999</v>
      </c>
      <c r="R203">
        <v>801.34107399999994</v>
      </c>
      <c r="S203">
        <v>3.2448491200000003E-11</v>
      </c>
      <c r="T203">
        <v>21.445504640663287</v>
      </c>
      <c r="U203">
        <v>100.934</v>
      </c>
      <c r="V203">
        <v>-618.86815883608745</v>
      </c>
      <c r="W203">
        <v>69.218589699999995</v>
      </c>
      <c r="X203">
        <v>94.827012800000006</v>
      </c>
      <c r="Y203">
        <v>121.52199999999999</v>
      </c>
      <c r="Z203">
        <v>255.35069200000001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2.6312609654342332</v>
      </c>
    </row>
    <row r="204" spans="1:40" x14ac:dyDescent="0.3">
      <c r="A204">
        <v>37</v>
      </c>
      <c r="B204">
        <v>10</v>
      </c>
      <c r="C204">
        <v>3.2174343889203278</v>
      </c>
      <c r="D204">
        <v>10</v>
      </c>
      <c r="E204">
        <v>5</v>
      </c>
      <c r="F204">
        <v>0.30268982058153782</v>
      </c>
      <c r="G204">
        <v>24</v>
      </c>
      <c r="H204">
        <v>12</v>
      </c>
      <c r="I204">
        <v>0.57530178115477915</v>
      </c>
      <c r="J204">
        <v>327193016.7478894</v>
      </c>
      <c r="K204">
        <v>165430000</v>
      </c>
      <c r="L204">
        <v>79925721.274285376</v>
      </c>
      <c r="M204">
        <v>77595700</v>
      </c>
      <c r="N204">
        <v>15759796.08</v>
      </c>
      <c r="O204">
        <v>231.70969500000001</v>
      </c>
      <c r="P204">
        <v>2.6319449977770497</v>
      </c>
      <c r="Q204">
        <v>43.776385099999999</v>
      </c>
      <c r="R204">
        <v>800.91841399999998</v>
      </c>
      <c r="S204">
        <v>6.2274889399999995E-8</v>
      </c>
      <c r="T204">
        <v>21.6421313481261</v>
      </c>
      <c r="U204">
        <v>100.934</v>
      </c>
      <c r="V204">
        <v>-603.33512263975229</v>
      </c>
      <c r="W204">
        <v>69.240600299999997</v>
      </c>
      <c r="X204">
        <v>94.929655199999999</v>
      </c>
      <c r="Y204">
        <v>144.29</v>
      </c>
      <c r="Z204">
        <v>254.30637100000001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2.6319449977770497</v>
      </c>
    </row>
    <row r="205" spans="1:40" x14ac:dyDescent="0.3">
      <c r="A205">
        <v>32</v>
      </c>
      <c r="B205">
        <v>10</v>
      </c>
      <c r="C205">
        <v>11.186320248425236</v>
      </c>
      <c r="D205">
        <v>28</v>
      </c>
      <c r="E205">
        <v>14</v>
      </c>
      <c r="F205">
        <v>0.30820764830216657</v>
      </c>
      <c r="G205">
        <v>29</v>
      </c>
      <c r="H205">
        <v>9</v>
      </c>
      <c r="I205">
        <v>1.1913917584264615</v>
      </c>
      <c r="J205">
        <v>327192745.06692517</v>
      </c>
      <c r="K205">
        <v>165430000</v>
      </c>
      <c r="L205">
        <v>79925720.860321015</v>
      </c>
      <c r="M205">
        <v>77595700</v>
      </c>
      <c r="N205">
        <v>15759697.039999999</v>
      </c>
      <c r="O205">
        <v>231.94251</v>
      </c>
      <c r="P205">
        <v>2.6293023571215186</v>
      </c>
      <c r="Q205">
        <v>43.816017899999999</v>
      </c>
      <c r="R205">
        <v>800.01531999999997</v>
      </c>
      <c r="S205">
        <v>5.5211946000000001E-8</v>
      </c>
      <c r="T205">
        <v>21.749937016570328</v>
      </c>
      <c r="U205">
        <v>100.934</v>
      </c>
      <c r="V205">
        <v>-594.67518456832659</v>
      </c>
      <c r="W205">
        <v>69.221435999999997</v>
      </c>
      <c r="X205">
        <v>94.856664300000006</v>
      </c>
      <c r="Y205">
        <v>177.97</v>
      </c>
      <c r="Z205">
        <v>254.368933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2.6293023571215186</v>
      </c>
    </row>
    <row r="206" spans="1:40" x14ac:dyDescent="0.3">
      <c r="A206">
        <v>39</v>
      </c>
      <c r="B206">
        <v>19</v>
      </c>
      <c r="C206">
        <v>14.369780038898536</v>
      </c>
      <c r="D206">
        <v>29</v>
      </c>
      <c r="E206">
        <v>7</v>
      </c>
      <c r="F206">
        <v>0.42667996493754068</v>
      </c>
      <c r="G206">
        <v>28</v>
      </c>
      <c r="H206">
        <v>8</v>
      </c>
      <c r="I206">
        <v>0.69849149442700498</v>
      </c>
      <c r="J206">
        <v>327194111.23807001</v>
      </c>
      <c r="K206">
        <v>165430000</v>
      </c>
      <c r="L206">
        <v>79925722.889259994</v>
      </c>
      <c r="M206">
        <v>77595700</v>
      </c>
      <c r="N206">
        <v>15760171.120000001</v>
      </c>
      <c r="O206">
        <v>230.60962900000001</v>
      </c>
      <c r="P206">
        <v>2.6445032600610219</v>
      </c>
      <c r="Q206">
        <v>43.937200199999999</v>
      </c>
      <c r="R206">
        <v>800.86767199999997</v>
      </c>
      <c r="S206">
        <v>2.6705932100000002E-10</v>
      </c>
      <c r="T206">
        <v>21.871672055281909</v>
      </c>
      <c r="U206">
        <v>100.934</v>
      </c>
      <c r="V206">
        <v>-610.56916061516574</v>
      </c>
      <c r="W206">
        <v>69.218580299999999</v>
      </c>
      <c r="X206">
        <v>94.825856999999999</v>
      </c>
      <c r="Y206">
        <v>177.97</v>
      </c>
      <c r="Z206">
        <v>253.87962999999999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2.6445032600610219</v>
      </c>
    </row>
    <row r="207" spans="1:40" x14ac:dyDescent="0.3">
      <c r="A207">
        <v>34</v>
      </c>
      <c r="B207">
        <v>10</v>
      </c>
      <c r="C207">
        <v>14.16659237130159</v>
      </c>
      <c r="D207">
        <v>21</v>
      </c>
      <c r="E207">
        <v>5</v>
      </c>
      <c r="F207">
        <v>0.31117829636757988</v>
      </c>
      <c r="G207">
        <v>15</v>
      </c>
      <c r="H207">
        <v>13</v>
      </c>
      <c r="I207">
        <v>0.33642358103050629</v>
      </c>
      <c r="J207">
        <v>327194106.88101631</v>
      </c>
      <c r="K207">
        <v>165430000</v>
      </c>
      <c r="L207">
        <v>79925773.730041623</v>
      </c>
      <c r="M207">
        <v>77595700</v>
      </c>
      <c r="N207">
        <v>15771250.08</v>
      </c>
      <c r="O207">
        <v>231.86977300000001</v>
      </c>
      <c r="P207">
        <v>2.6301311501010289</v>
      </c>
      <c r="Q207">
        <v>43.815884699999998</v>
      </c>
      <c r="R207">
        <v>800.14552800000001</v>
      </c>
      <c r="S207">
        <v>5.3879594900000002E-8</v>
      </c>
      <c r="T207">
        <v>21.733864766183604</v>
      </c>
      <c r="U207">
        <v>100.934</v>
      </c>
      <c r="V207">
        <v>-598.64912258816514</v>
      </c>
      <c r="W207">
        <v>69.220510000000004</v>
      </c>
      <c r="X207">
        <v>94.850816399999999</v>
      </c>
      <c r="Y207">
        <v>170.55</v>
      </c>
      <c r="Z207">
        <v>274.87228900000002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2.6301311501010289</v>
      </c>
    </row>
    <row r="208" spans="1:40" x14ac:dyDescent="0.3">
      <c r="A208">
        <v>39</v>
      </c>
      <c r="B208">
        <v>16</v>
      </c>
      <c r="C208">
        <v>9.9676956653737285</v>
      </c>
      <c r="D208">
        <v>15</v>
      </c>
      <c r="E208">
        <v>13</v>
      </c>
      <c r="F208">
        <v>0.3053832336438787</v>
      </c>
      <c r="G208">
        <v>25</v>
      </c>
      <c r="H208">
        <v>10</v>
      </c>
      <c r="I208">
        <v>0.46438379393158513</v>
      </c>
      <c r="J208">
        <v>327194584.68176955</v>
      </c>
      <c r="K208">
        <v>165430000</v>
      </c>
      <c r="L208">
        <v>79925723.624329224</v>
      </c>
      <c r="M208">
        <v>77595700</v>
      </c>
      <c r="N208">
        <v>15760343.6</v>
      </c>
      <c r="O208">
        <v>232.393112</v>
      </c>
      <c r="P208">
        <v>2.6242096069165934</v>
      </c>
      <c r="Q208">
        <v>43.707115600000002</v>
      </c>
      <c r="R208">
        <v>801.72067599999991</v>
      </c>
      <c r="S208">
        <v>6.6312852300000004E-14</v>
      </c>
      <c r="T208">
        <v>21.23063010032671</v>
      </c>
      <c r="U208">
        <v>100.934</v>
      </c>
      <c r="V208">
        <v>-617.45627000191234</v>
      </c>
      <c r="W208">
        <v>69.218812700000001</v>
      </c>
      <c r="X208">
        <v>94.834087400000001</v>
      </c>
      <c r="Y208">
        <v>121.52199999999999</v>
      </c>
      <c r="Z208">
        <v>254.18836099999999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2.6242096069165934</v>
      </c>
    </row>
    <row r="209" spans="1:40" x14ac:dyDescent="0.3">
      <c r="A209">
        <v>32</v>
      </c>
      <c r="B209">
        <v>11</v>
      </c>
      <c r="C209">
        <v>13.888644790495599</v>
      </c>
      <c r="D209">
        <v>11</v>
      </c>
      <c r="E209">
        <v>9</v>
      </c>
      <c r="F209">
        <v>0.30036951890705932</v>
      </c>
      <c r="G209">
        <v>27</v>
      </c>
      <c r="H209">
        <v>10</v>
      </c>
      <c r="I209">
        <v>1.324257059422336</v>
      </c>
      <c r="J209">
        <v>327192468.61526769</v>
      </c>
      <c r="K209">
        <v>165430000</v>
      </c>
      <c r="L209">
        <v>79925720.445534885</v>
      </c>
      <c r="M209">
        <v>77595700</v>
      </c>
      <c r="N209">
        <v>15759600.399999999</v>
      </c>
      <c r="O209">
        <v>232.406429</v>
      </c>
      <c r="P209">
        <v>2.6240530574524565</v>
      </c>
      <c r="Q209">
        <v>43.701732300000003</v>
      </c>
      <c r="R209">
        <v>801.84625399999993</v>
      </c>
      <c r="S209">
        <v>7.8676112200000005E-11</v>
      </c>
      <c r="T209">
        <v>21.250095880327834</v>
      </c>
      <c r="U209">
        <v>100.934</v>
      </c>
      <c r="V209">
        <v>-616.60051365348636</v>
      </c>
      <c r="W209">
        <v>69.220115100000001</v>
      </c>
      <c r="X209">
        <v>94.848990900000004</v>
      </c>
      <c r="Y209">
        <v>121.52199999999999</v>
      </c>
      <c r="Z209">
        <v>254.52814799999999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2.6240530574524565</v>
      </c>
    </row>
    <row r="210" spans="1:40" x14ac:dyDescent="0.3">
      <c r="A210">
        <v>31</v>
      </c>
      <c r="B210">
        <v>11</v>
      </c>
      <c r="C210">
        <v>9.2888833852432775</v>
      </c>
      <c r="D210">
        <v>14</v>
      </c>
      <c r="E210">
        <v>12</v>
      </c>
      <c r="F210">
        <v>0.30893224227982535</v>
      </c>
      <c r="G210">
        <v>15</v>
      </c>
      <c r="H210">
        <v>13</v>
      </c>
      <c r="I210">
        <v>0.51153581691594763</v>
      </c>
      <c r="J210">
        <v>327187795.93296003</v>
      </c>
      <c r="K210">
        <v>165430000</v>
      </c>
      <c r="L210">
        <v>79925749.788315088</v>
      </c>
      <c r="M210">
        <v>77595700</v>
      </c>
      <c r="N210">
        <v>15765905.360000001</v>
      </c>
      <c r="O210">
        <v>232.340521</v>
      </c>
      <c r="P210">
        <v>2.6247837694860463</v>
      </c>
      <c r="Q210">
        <v>43.709244400000003</v>
      </c>
      <c r="R210">
        <v>801.75653599999998</v>
      </c>
      <c r="S210">
        <v>3.4100779400000001E-13</v>
      </c>
      <c r="T210">
        <v>21.239655359059437</v>
      </c>
      <c r="U210">
        <v>100.934</v>
      </c>
      <c r="V210">
        <v>-616.94200018726622</v>
      </c>
      <c r="W210">
        <v>69.221398600000001</v>
      </c>
      <c r="X210">
        <v>94.857174400000005</v>
      </c>
      <c r="Y210">
        <v>121.52199999999999</v>
      </c>
      <c r="Z210">
        <v>263.620925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2.6247837694860463</v>
      </c>
    </row>
    <row r="211" spans="1:40" x14ac:dyDescent="0.3">
      <c r="A211">
        <v>36</v>
      </c>
      <c r="B211">
        <v>17</v>
      </c>
      <c r="C211">
        <v>9.6414502659760544</v>
      </c>
      <c r="D211">
        <v>10</v>
      </c>
      <c r="E211">
        <v>8</v>
      </c>
      <c r="F211">
        <v>0.3076090536184039</v>
      </c>
      <c r="G211">
        <v>28</v>
      </c>
      <c r="H211">
        <v>9</v>
      </c>
      <c r="I211">
        <v>0.52257238143132112</v>
      </c>
      <c r="J211">
        <v>327194362.76365584</v>
      </c>
      <c r="K211">
        <v>165430000</v>
      </c>
      <c r="L211">
        <v>79925723.262957856</v>
      </c>
      <c r="M211">
        <v>77595700</v>
      </c>
      <c r="N211">
        <v>15760259.040000001</v>
      </c>
      <c r="O211">
        <v>232.34363400000001</v>
      </c>
      <c r="P211">
        <v>2.6247677887374152</v>
      </c>
      <c r="Q211">
        <v>43.707192300000003</v>
      </c>
      <c r="R211">
        <v>801.910437</v>
      </c>
      <c r="S211">
        <v>3.9349403800000002E-10</v>
      </c>
      <c r="T211">
        <v>21.272329036653705</v>
      </c>
      <c r="U211">
        <v>100.934</v>
      </c>
      <c r="V211">
        <v>-617.67611182248993</v>
      </c>
      <c r="W211">
        <v>69.218874900000003</v>
      </c>
      <c r="X211">
        <v>94.834864100000004</v>
      </c>
      <c r="Y211">
        <v>121.52199999999999</v>
      </c>
      <c r="Z211">
        <v>254.32914099999999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2.6247677887374152</v>
      </c>
    </row>
    <row r="212" spans="1:40" x14ac:dyDescent="0.3">
      <c r="A212">
        <v>39</v>
      </c>
      <c r="B212">
        <v>19</v>
      </c>
      <c r="C212">
        <v>3.5763350612464566</v>
      </c>
      <c r="D212">
        <v>27</v>
      </c>
      <c r="E212">
        <v>14</v>
      </c>
      <c r="F212">
        <v>0.31252300005735273</v>
      </c>
      <c r="G212">
        <v>11</v>
      </c>
      <c r="H212">
        <v>8</v>
      </c>
      <c r="I212">
        <v>1.0201420718544609</v>
      </c>
      <c r="J212">
        <v>327190541.99732846</v>
      </c>
      <c r="K212">
        <v>165430000</v>
      </c>
      <c r="L212">
        <v>79925725.917260379</v>
      </c>
      <c r="M212">
        <v>77595700</v>
      </c>
      <c r="N212">
        <v>15760746.639999999</v>
      </c>
      <c r="O212">
        <v>231.77202600000001</v>
      </c>
      <c r="P212">
        <v>2.6312299340844434</v>
      </c>
      <c r="Q212">
        <v>43.8336811</v>
      </c>
      <c r="R212">
        <v>799.94192199999998</v>
      </c>
      <c r="S212">
        <v>1.8598554199999999E-10</v>
      </c>
      <c r="T212">
        <v>21.685993531953692</v>
      </c>
      <c r="U212">
        <v>100.934</v>
      </c>
      <c r="V212">
        <v>-599.43496728281116</v>
      </c>
      <c r="W212">
        <v>69.219753800000007</v>
      </c>
      <c r="X212">
        <v>94.847580100000002</v>
      </c>
      <c r="Y212">
        <v>177.97</v>
      </c>
      <c r="Z212">
        <v>256.01731799999999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2.6312299340844434</v>
      </c>
    </row>
    <row r="213" spans="1:40" x14ac:dyDescent="0.3">
      <c r="A213">
        <v>38</v>
      </c>
      <c r="B213">
        <v>10</v>
      </c>
      <c r="C213">
        <v>9.5736581310548381</v>
      </c>
      <c r="D213">
        <v>28</v>
      </c>
      <c r="E213">
        <v>14</v>
      </c>
      <c r="F213">
        <v>0.36326398192258069</v>
      </c>
      <c r="G213">
        <v>29</v>
      </c>
      <c r="H213">
        <v>10</v>
      </c>
      <c r="I213">
        <v>0.7120867035225612</v>
      </c>
      <c r="J213">
        <v>327193117.31755579</v>
      </c>
      <c r="K213">
        <v>165430000</v>
      </c>
      <c r="L213">
        <v>79925721.375157088</v>
      </c>
      <c r="M213">
        <v>77595700</v>
      </c>
      <c r="N213">
        <v>15759819.279999999</v>
      </c>
      <c r="O213">
        <v>231.07496900000001</v>
      </c>
      <c r="P213">
        <v>2.6391748253958616</v>
      </c>
      <c r="Q213">
        <v>43.887213500000001</v>
      </c>
      <c r="R213">
        <v>800.42048899999998</v>
      </c>
      <c r="S213">
        <v>4.9678225000000005E-16</v>
      </c>
      <c r="T213">
        <v>21.732541190247154</v>
      </c>
      <c r="U213">
        <v>100.934</v>
      </c>
      <c r="V213">
        <v>-609.21675709285591</v>
      </c>
      <c r="W213">
        <v>69.221609700000002</v>
      </c>
      <c r="X213">
        <v>94.855531799999994</v>
      </c>
      <c r="Y213">
        <v>170.55</v>
      </c>
      <c r="Z213">
        <v>253.99272099999999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2.6391748253958616</v>
      </c>
    </row>
    <row r="214" spans="1:40" x14ac:dyDescent="0.3">
      <c r="A214">
        <v>34</v>
      </c>
      <c r="B214">
        <v>19</v>
      </c>
      <c r="C214">
        <v>5.2502608671777136</v>
      </c>
      <c r="D214">
        <v>23</v>
      </c>
      <c r="E214">
        <v>14</v>
      </c>
      <c r="F214">
        <v>0.30707736181516371</v>
      </c>
      <c r="G214">
        <v>17</v>
      </c>
      <c r="H214">
        <v>8</v>
      </c>
      <c r="I214">
        <v>0.53733858313856364</v>
      </c>
      <c r="J214">
        <v>327195253.52657729</v>
      </c>
      <c r="K214">
        <v>165430000</v>
      </c>
      <c r="L214">
        <v>79925725.228620902</v>
      </c>
      <c r="M214">
        <v>77595700</v>
      </c>
      <c r="N214">
        <v>15760704.719999999</v>
      </c>
      <c r="O214">
        <v>231.73305999999999</v>
      </c>
      <c r="P214">
        <v>2.6316861786590509</v>
      </c>
      <c r="Q214">
        <v>43.822093799999998</v>
      </c>
      <c r="R214">
        <v>800.040344</v>
      </c>
      <c r="S214">
        <v>3.36877288E-15</v>
      </c>
      <c r="T214">
        <v>21.605322859533167</v>
      </c>
      <c r="U214">
        <v>100.934</v>
      </c>
      <c r="V214">
        <v>-607.3513881207499</v>
      </c>
      <c r="W214">
        <v>69.219532999999998</v>
      </c>
      <c r="X214">
        <v>94.844782300000006</v>
      </c>
      <c r="Y214">
        <v>144.29</v>
      </c>
      <c r="Z214">
        <v>254.059135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2.6316861786590509</v>
      </c>
    </row>
    <row r="215" spans="1:40" x14ac:dyDescent="0.3">
      <c r="A215">
        <v>32</v>
      </c>
      <c r="B215">
        <v>17</v>
      </c>
      <c r="C215">
        <v>14.690066037357751</v>
      </c>
      <c r="D215">
        <v>13</v>
      </c>
      <c r="E215">
        <v>10</v>
      </c>
      <c r="F215">
        <v>0.30127143019007541</v>
      </c>
      <c r="G215">
        <v>28</v>
      </c>
      <c r="H215">
        <v>14</v>
      </c>
      <c r="I215">
        <v>0.96399327295561421</v>
      </c>
      <c r="J215">
        <v>327192273.33948606</v>
      </c>
      <c r="K215">
        <v>165430000</v>
      </c>
      <c r="L215">
        <v>79925720.103475004</v>
      </c>
      <c r="M215">
        <v>77595700</v>
      </c>
      <c r="N215">
        <v>15759522.559999999</v>
      </c>
      <c r="O215">
        <v>232.03661700000001</v>
      </c>
      <c r="P215">
        <v>2.6282346118892623</v>
      </c>
      <c r="Q215">
        <v>43.7523579</v>
      </c>
      <c r="R215">
        <v>801.18008100000009</v>
      </c>
      <c r="S215">
        <v>9.3107099500000008E-12</v>
      </c>
      <c r="T215">
        <v>21.396821577545893</v>
      </c>
      <c r="U215">
        <v>100.934</v>
      </c>
      <c r="V215">
        <v>-615.95235941129624</v>
      </c>
      <c r="W215">
        <v>69.219016999999994</v>
      </c>
      <c r="X215">
        <v>94.837499600000001</v>
      </c>
      <c r="Y215">
        <v>121.52199999999999</v>
      </c>
      <c r="Z215">
        <v>254.28729200000001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2.6282346118892623</v>
      </c>
    </row>
    <row r="216" spans="1:40" x14ac:dyDescent="0.3">
      <c r="A216">
        <v>29</v>
      </c>
      <c r="B216">
        <v>10</v>
      </c>
      <c r="C216">
        <v>10.913632047721329</v>
      </c>
      <c r="D216">
        <v>29</v>
      </c>
      <c r="E216">
        <v>14</v>
      </c>
      <c r="F216">
        <v>0.38546707395660729</v>
      </c>
      <c r="G216">
        <v>28</v>
      </c>
      <c r="H216">
        <v>7</v>
      </c>
      <c r="I216">
        <v>0.41815660888803474</v>
      </c>
      <c r="J216">
        <v>327199562.07771236</v>
      </c>
      <c r="K216">
        <v>165430000</v>
      </c>
      <c r="L216">
        <v>79925730.95714809</v>
      </c>
      <c r="M216">
        <v>77595700</v>
      </c>
      <c r="N216">
        <v>15762050.560000001</v>
      </c>
      <c r="O216">
        <v>230.79865799999999</v>
      </c>
      <c r="P216">
        <v>2.6423533884775967</v>
      </c>
      <c r="Q216">
        <v>43.910519200000003</v>
      </c>
      <c r="R216">
        <v>800.67133200000001</v>
      </c>
      <c r="S216">
        <v>2.6315943500000002E-16</v>
      </c>
      <c r="T216">
        <v>21.78592135789528</v>
      </c>
      <c r="U216">
        <v>100.934</v>
      </c>
      <c r="V216">
        <v>-611.20957290816261</v>
      </c>
      <c r="W216">
        <v>69.222318099999995</v>
      </c>
      <c r="X216">
        <v>94.863105500000003</v>
      </c>
      <c r="Y216">
        <v>177.97</v>
      </c>
      <c r="Z216">
        <v>253.338739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2.6423533884775967</v>
      </c>
    </row>
    <row r="217" spans="1:40" x14ac:dyDescent="0.3">
      <c r="A217">
        <v>39</v>
      </c>
      <c r="B217">
        <v>14</v>
      </c>
      <c r="C217">
        <v>6.3831339244423493</v>
      </c>
      <c r="D217">
        <v>11</v>
      </c>
      <c r="E217">
        <v>9</v>
      </c>
      <c r="F217">
        <v>0.33767309498641285</v>
      </c>
      <c r="G217">
        <v>29</v>
      </c>
      <c r="H217">
        <v>8</v>
      </c>
      <c r="I217">
        <v>1.0674353820547564</v>
      </c>
      <c r="J217">
        <v>327193079.92418528</v>
      </c>
      <c r="K217">
        <v>165430000</v>
      </c>
      <c r="L217">
        <v>79925721.380293131</v>
      </c>
      <c r="M217">
        <v>77595700</v>
      </c>
      <c r="N217">
        <v>15759817.76</v>
      </c>
      <c r="O217">
        <v>232.075354</v>
      </c>
      <c r="P217">
        <v>2.6277982778785209</v>
      </c>
      <c r="Q217">
        <v>43.731649099999998</v>
      </c>
      <c r="R217">
        <v>801.93431599999997</v>
      </c>
      <c r="S217">
        <v>3.8446408499999998E-11</v>
      </c>
      <c r="T217">
        <v>21.299615409242982</v>
      </c>
      <c r="U217">
        <v>100.934</v>
      </c>
      <c r="V217">
        <v>-620.12870689848603</v>
      </c>
      <c r="W217">
        <v>69.219811699999994</v>
      </c>
      <c r="X217">
        <v>94.846208200000007</v>
      </c>
      <c r="Y217">
        <v>121.52199999999999</v>
      </c>
      <c r="Z217">
        <v>254.24082799999999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2.6277982778785209</v>
      </c>
    </row>
    <row r="218" spans="1:40" x14ac:dyDescent="0.3">
      <c r="A218">
        <v>29</v>
      </c>
      <c r="B218">
        <v>19</v>
      </c>
      <c r="C218">
        <v>14.261648254896238</v>
      </c>
      <c r="D218">
        <v>10</v>
      </c>
      <c r="E218">
        <v>8</v>
      </c>
      <c r="F218">
        <v>0.38012651115410095</v>
      </c>
      <c r="G218">
        <v>23</v>
      </c>
      <c r="H218">
        <v>7</v>
      </c>
      <c r="I218">
        <v>0.30264150054510386</v>
      </c>
      <c r="J218">
        <v>327204413.21184313</v>
      </c>
      <c r="K218">
        <v>165430000</v>
      </c>
      <c r="L218">
        <v>79925738.091716036</v>
      </c>
      <c r="M218">
        <v>77595700</v>
      </c>
      <c r="N218">
        <v>15763709.92</v>
      </c>
      <c r="O218">
        <v>231.69501700000001</v>
      </c>
      <c r="P218">
        <v>2.632145123948185</v>
      </c>
      <c r="Q218">
        <v>43.762721599999999</v>
      </c>
      <c r="R218">
        <v>802.172686</v>
      </c>
      <c r="S218">
        <v>1.30562681E-10</v>
      </c>
      <c r="T218">
        <v>21.377851169379372</v>
      </c>
      <c r="U218">
        <v>100.934</v>
      </c>
      <c r="V218">
        <v>-624.12269049924578</v>
      </c>
      <c r="W218">
        <v>69.219811699999994</v>
      </c>
      <c r="X218">
        <v>94.846336699999995</v>
      </c>
      <c r="Y218">
        <v>121.52199999999999</v>
      </c>
      <c r="Z218">
        <v>253.13998000000001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2.632145123948185</v>
      </c>
    </row>
    <row r="219" spans="1:40" x14ac:dyDescent="0.3">
      <c r="A219">
        <v>34</v>
      </c>
      <c r="B219">
        <v>15</v>
      </c>
      <c r="C219">
        <v>5.3869031472040714</v>
      </c>
      <c r="D219">
        <v>10</v>
      </c>
      <c r="E219">
        <v>8</v>
      </c>
      <c r="F219">
        <v>0.32779725803594206</v>
      </c>
      <c r="G219">
        <v>28</v>
      </c>
      <c r="H219">
        <v>14</v>
      </c>
      <c r="I219">
        <v>0.88312815890159091</v>
      </c>
      <c r="J219">
        <v>327192290.87552404</v>
      </c>
      <c r="K219">
        <v>165430000</v>
      </c>
      <c r="L219">
        <v>79925720.127511635</v>
      </c>
      <c r="M219">
        <v>77595700</v>
      </c>
      <c r="N219">
        <v>15759528.24</v>
      </c>
      <c r="O219">
        <v>232.164107</v>
      </c>
      <c r="P219">
        <v>2.6267914011769333</v>
      </c>
      <c r="Q219">
        <v>43.722443300000002</v>
      </c>
      <c r="R219">
        <v>801.951685</v>
      </c>
      <c r="S219">
        <v>2.7878789899999998E-10</v>
      </c>
      <c r="T219">
        <v>21.29699638638035</v>
      </c>
      <c r="U219">
        <v>100.934</v>
      </c>
      <c r="V219">
        <v>-618.96674013335962</v>
      </c>
      <c r="W219">
        <v>69.220270900000003</v>
      </c>
      <c r="X219">
        <v>94.851166500000005</v>
      </c>
      <c r="Y219">
        <v>121.52199999999999</v>
      </c>
      <c r="Z219">
        <v>254.477272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2.6267914011769333</v>
      </c>
    </row>
    <row r="220" spans="1:40" x14ac:dyDescent="0.3">
      <c r="A220">
        <v>35</v>
      </c>
      <c r="B220">
        <v>15</v>
      </c>
      <c r="C220">
        <v>14.326343455713406</v>
      </c>
      <c r="D220">
        <v>10</v>
      </c>
      <c r="E220">
        <v>8</v>
      </c>
      <c r="F220">
        <v>0.30908677476440699</v>
      </c>
      <c r="G220">
        <v>20</v>
      </c>
      <c r="H220">
        <v>7</v>
      </c>
      <c r="I220">
        <v>0.34784878552521653</v>
      </c>
      <c r="J220">
        <v>327201113.96109772</v>
      </c>
      <c r="K220">
        <v>165430000</v>
      </c>
      <c r="L220">
        <v>79925733.454287961</v>
      </c>
      <c r="M220">
        <v>77595700</v>
      </c>
      <c r="N220">
        <v>15762626.959999999</v>
      </c>
      <c r="O220">
        <v>232.335555</v>
      </c>
      <c r="P220">
        <v>2.6248787858852225</v>
      </c>
      <c r="Q220">
        <v>43.708140499999999</v>
      </c>
      <c r="R220">
        <v>801.90491699999995</v>
      </c>
      <c r="S220">
        <v>3.8140080299999997E-10</v>
      </c>
      <c r="T220">
        <v>21.273031537528464</v>
      </c>
      <c r="U220">
        <v>100.934</v>
      </c>
      <c r="V220">
        <v>-617.72312193458242</v>
      </c>
      <c r="W220">
        <v>69.218887499999994</v>
      </c>
      <c r="X220">
        <v>94.835420299999996</v>
      </c>
      <c r="Y220">
        <v>121.52199999999999</v>
      </c>
      <c r="Z220">
        <v>253.764263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2.6248787858852225</v>
      </c>
    </row>
    <row r="221" spans="1:40" x14ac:dyDescent="0.3">
      <c r="A221">
        <v>31</v>
      </c>
      <c r="B221">
        <v>18</v>
      </c>
      <c r="C221">
        <v>9.1164265714038031</v>
      </c>
      <c r="D221">
        <v>12</v>
      </c>
      <c r="E221">
        <v>10</v>
      </c>
      <c r="F221">
        <v>0.30321564479278346</v>
      </c>
      <c r="G221">
        <v>14</v>
      </c>
      <c r="H221">
        <v>10</v>
      </c>
      <c r="I221">
        <v>0.33085995635730159</v>
      </c>
      <c r="J221">
        <v>327197346.82403839</v>
      </c>
      <c r="K221">
        <v>165430000</v>
      </c>
      <c r="L221">
        <v>79925744.545656726</v>
      </c>
      <c r="M221">
        <v>77595700</v>
      </c>
      <c r="N221">
        <v>15764933.360000001</v>
      </c>
      <c r="O221">
        <v>232.394869</v>
      </c>
      <c r="P221">
        <v>2.6241978353922919</v>
      </c>
      <c r="Q221">
        <v>43.704495399999999</v>
      </c>
      <c r="R221">
        <v>801.80074100000002</v>
      </c>
      <c r="S221">
        <v>1.2972567500000001E-11</v>
      </c>
      <c r="T221">
        <v>21.242824625594974</v>
      </c>
      <c r="U221">
        <v>100.934</v>
      </c>
      <c r="V221">
        <v>-617.16337795107643</v>
      </c>
      <c r="W221">
        <v>69.219495699999996</v>
      </c>
      <c r="X221">
        <v>94.844081399999993</v>
      </c>
      <c r="Y221">
        <v>121.52199999999999</v>
      </c>
      <c r="Z221">
        <v>257.55826400000001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2.6241978353922919</v>
      </c>
    </row>
    <row r="222" spans="1:40" x14ac:dyDescent="0.3">
      <c r="A222">
        <v>28</v>
      </c>
      <c r="B222">
        <v>14</v>
      </c>
      <c r="C222">
        <v>2.551428767973388</v>
      </c>
      <c r="D222">
        <v>22</v>
      </c>
      <c r="E222">
        <v>6</v>
      </c>
      <c r="F222">
        <v>0.31790019337679992</v>
      </c>
      <c r="G222">
        <v>27</v>
      </c>
      <c r="H222">
        <v>7</v>
      </c>
      <c r="I222">
        <v>0.40445958983472263</v>
      </c>
      <c r="J222">
        <v>327199851.87194091</v>
      </c>
      <c r="K222">
        <v>165430000</v>
      </c>
      <c r="L222">
        <v>79925731.391245708</v>
      </c>
      <c r="M222">
        <v>77595700</v>
      </c>
      <c r="N222">
        <v>15762151.359999999</v>
      </c>
      <c r="O222">
        <v>231.54315099999999</v>
      </c>
      <c r="P222">
        <v>2.6338581388256173</v>
      </c>
      <c r="Q222">
        <v>43.824139199999998</v>
      </c>
      <c r="R222">
        <v>800.24963000000002</v>
      </c>
      <c r="S222">
        <v>7.3890892000000003E-9</v>
      </c>
      <c r="T222">
        <v>21.732662323263497</v>
      </c>
      <c r="U222">
        <v>100.934</v>
      </c>
      <c r="V222">
        <v>-591.24198421803146</v>
      </c>
      <c r="W222">
        <v>69.247580999999997</v>
      </c>
      <c r="X222">
        <v>94.961427900000004</v>
      </c>
      <c r="Y222">
        <v>170.55</v>
      </c>
      <c r="Z222">
        <v>253.68793700000001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2.6338581388256173</v>
      </c>
    </row>
    <row r="223" spans="1:40" x14ac:dyDescent="0.3">
      <c r="A223">
        <v>31</v>
      </c>
      <c r="B223">
        <v>19</v>
      </c>
      <c r="C223">
        <v>1.1901639829650774</v>
      </c>
      <c r="D223">
        <v>29</v>
      </c>
      <c r="E223">
        <v>6</v>
      </c>
      <c r="F223">
        <v>0.3701385403073757</v>
      </c>
      <c r="G223">
        <v>29</v>
      </c>
      <c r="H223">
        <v>7</v>
      </c>
      <c r="I223">
        <v>0.8516590890776099</v>
      </c>
      <c r="J223">
        <v>327194203.30835342</v>
      </c>
      <c r="K223">
        <v>165430000</v>
      </c>
      <c r="L223">
        <v>79925723.044779122</v>
      </c>
      <c r="M223">
        <v>77595700</v>
      </c>
      <c r="N223">
        <v>15760206</v>
      </c>
      <c r="O223">
        <v>229.30837</v>
      </c>
      <c r="P223">
        <v>2.6595103274875944</v>
      </c>
      <c r="Q223">
        <v>43.818716899999998</v>
      </c>
      <c r="R223">
        <v>801.75351499999999</v>
      </c>
      <c r="S223">
        <v>3.5855257299999999E-9</v>
      </c>
      <c r="T223">
        <v>21.975908621783642</v>
      </c>
      <c r="U223">
        <v>80.72</v>
      </c>
      <c r="V223">
        <v>-507.52824751904706</v>
      </c>
      <c r="W223">
        <v>69.518094199999993</v>
      </c>
      <c r="X223">
        <v>96.317465900000002</v>
      </c>
      <c r="Y223">
        <v>177.97</v>
      </c>
      <c r="Z223">
        <v>254.04175699999999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2.6595103274875944</v>
      </c>
    </row>
    <row r="224" spans="1:40" x14ac:dyDescent="0.3">
      <c r="A224">
        <v>36</v>
      </c>
      <c r="B224">
        <v>11</v>
      </c>
      <c r="C224">
        <v>4.9297737369017867</v>
      </c>
      <c r="D224">
        <v>20</v>
      </c>
      <c r="E224">
        <v>5</v>
      </c>
      <c r="F224">
        <v>0.30341187810687037</v>
      </c>
      <c r="G224">
        <v>23</v>
      </c>
      <c r="H224">
        <v>14</v>
      </c>
      <c r="I224">
        <v>0.74495598512332895</v>
      </c>
      <c r="J224">
        <v>327192255.65351564</v>
      </c>
      <c r="K224">
        <v>165430000</v>
      </c>
      <c r="L224">
        <v>79925720.313025206</v>
      </c>
      <c r="M224">
        <v>77595700</v>
      </c>
      <c r="N224">
        <v>15759568.24</v>
      </c>
      <c r="O224">
        <v>231.89821900000001</v>
      </c>
      <c r="P224">
        <v>2.6298031034851577</v>
      </c>
      <c r="Q224">
        <v>43.807676600000001</v>
      </c>
      <c r="R224">
        <v>800.15369199999998</v>
      </c>
      <c r="S224">
        <v>5.8275575799999999E-8</v>
      </c>
      <c r="T224">
        <v>21.726721248826564</v>
      </c>
      <c r="U224">
        <v>100.934</v>
      </c>
      <c r="V224">
        <v>-597.09224569379865</v>
      </c>
      <c r="W224">
        <v>69.224996599999997</v>
      </c>
      <c r="X224">
        <v>94.8716601</v>
      </c>
      <c r="Y224">
        <v>170.55</v>
      </c>
      <c r="Z224">
        <v>254.44423499999999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2.6298031034851577</v>
      </c>
    </row>
    <row r="225" spans="1:40" x14ac:dyDescent="0.3">
      <c r="A225">
        <v>31</v>
      </c>
      <c r="B225">
        <v>19</v>
      </c>
      <c r="C225">
        <v>7.7748001898321704</v>
      </c>
      <c r="D225">
        <v>13</v>
      </c>
      <c r="E225">
        <v>11</v>
      </c>
      <c r="F225">
        <v>0.32878557543459896</v>
      </c>
      <c r="G225">
        <v>16</v>
      </c>
      <c r="H225">
        <v>14</v>
      </c>
      <c r="I225">
        <v>0.5987421858468045</v>
      </c>
      <c r="J225">
        <v>327185586.45338631</v>
      </c>
      <c r="K225">
        <v>165430000</v>
      </c>
      <c r="L225">
        <v>79925741.054591507</v>
      </c>
      <c r="M225">
        <v>77595700</v>
      </c>
      <c r="N225">
        <v>15763955.92</v>
      </c>
      <c r="O225">
        <v>232.17068900000001</v>
      </c>
      <c r="P225">
        <v>2.6266973286976913</v>
      </c>
      <c r="Q225">
        <v>43.725596600000003</v>
      </c>
      <c r="R225">
        <v>801.81632999999999</v>
      </c>
      <c r="S225">
        <v>1.2235891699999999E-12</v>
      </c>
      <c r="T225">
        <v>21.270159991457767</v>
      </c>
      <c r="U225">
        <v>100.934</v>
      </c>
      <c r="V225">
        <v>-619.53903177223583</v>
      </c>
      <c r="W225">
        <v>69.219702600000005</v>
      </c>
      <c r="X225">
        <v>94.845987600000001</v>
      </c>
      <c r="Y225">
        <v>121.52199999999999</v>
      </c>
      <c r="Z225">
        <v>262.32306699999998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2.6266973286976913</v>
      </c>
    </row>
    <row r="226" spans="1:40" x14ac:dyDescent="0.3">
      <c r="A226">
        <v>31</v>
      </c>
      <c r="B226">
        <v>14</v>
      </c>
      <c r="C226">
        <v>6.2583264736407571</v>
      </c>
      <c r="D226">
        <v>10</v>
      </c>
      <c r="E226">
        <v>8</v>
      </c>
      <c r="F226">
        <v>0.31781302034055403</v>
      </c>
      <c r="G226">
        <v>23</v>
      </c>
      <c r="H226">
        <v>7</v>
      </c>
      <c r="I226">
        <v>0.34704977183180247</v>
      </c>
      <c r="J226">
        <v>327201233.82652646</v>
      </c>
      <c r="K226">
        <v>165430000</v>
      </c>
      <c r="L226">
        <v>79925733.467436209</v>
      </c>
      <c r="M226">
        <v>77595700</v>
      </c>
      <c r="N226">
        <v>15762633.359999999</v>
      </c>
      <c r="O226">
        <v>232.246523</v>
      </c>
      <c r="P226">
        <v>2.6258853868724215</v>
      </c>
      <c r="Q226">
        <v>43.714413</v>
      </c>
      <c r="R226">
        <v>801.930881</v>
      </c>
      <c r="S226">
        <v>3.28348806E-10</v>
      </c>
      <c r="T226">
        <v>21.284780180477185</v>
      </c>
      <c r="U226">
        <v>100.934</v>
      </c>
      <c r="V226">
        <v>-617.84592589687634</v>
      </c>
      <c r="W226">
        <v>69.220950500000001</v>
      </c>
      <c r="X226">
        <v>94.855806299999998</v>
      </c>
      <c r="Y226">
        <v>121.52199999999999</v>
      </c>
      <c r="Z226">
        <v>253.71408500000001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2.6258853868724215</v>
      </c>
    </row>
    <row r="227" spans="1:40" x14ac:dyDescent="0.3">
      <c r="A227">
        <v>37</v>
      </c>
      <c r="B227">
        <v>11</v>
      </c>
      <c r="C227">
        <v>14.541469576575041</v>
      </c>
      <c r="D227">
        <v>15</v>
      </c>
      <c r="E227">
        <v>13</v>
      </c>
      <c r="F227">
        <v>0.30256036342392462</v>
      </c>
      <c r="G227">
        <v>26</v>
      </c>
      <c r="H227">
        <v>10</v>
      </c>
      <c r="I227">
        <v>1.1124400071104152</v>
      </c>
      <c r="J227">
        <v>327192590.73527521</v>
      </c>
      <c r="K227">
        <v>165430000</v>
      </c>
      <c r="L227">
        <v>79925720.614613131</v>
      </c>
      <c r="M227">
        <v>77595700</v>
      </c>
      <c r="N227">
        <v>15759640.48</v>
      </c>
      <c r="O227">
        <v>231.74947700000001</v>
      </c>
      <c r="P227">
        <v>2.631491951504382</v>
      </c>
      <c r="Q227">
        <v>43.808276599999999</v>
      </c>
      <c r="R227">
        <v>800.33421400000009</v>
      </c>
      <c r="S227">
        <v>2.40074845E-10</v>
      </c>
      <c r="T227">
        <v>21.612045823986932</v>
      </c>
      <c r="U227">
        <v>100.934</v>
      </c>
      <c r="V227">
        <v>-608.98656515803827</v>
      </c>
      <c r="W227">
        <v>69.219702299999994</v>
      </c>
      <c r="X227">
        <v>94.844590400000001</v>
      </c>
      <c r="Y227">
        <v>144.29</v>
      </c>
      <c r="Z227">
        <v>254.338178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2.631491951504382</v>
      </c>
    </row>
    <row r="228" spans="1:40" x14ac:dyDescent="0.3">
      <c r="A228">
        <v>28</v>
      </c>
      <c r="B228">
        <v>12</v>
      </c>
      <c r="C228">
        <v>13.64810213103376</v>
      </c>
      <c r="D228">
        <v>13</v>
      </c>
      <c r="E228">
        <v>11</v>
      </c>
      <c r="F228">
        <v>0.30050013374360984</v>
      </c>
      <c r="G228">
        <v>24</v>
      </c>
      <c r="H228">
        <v>8</v>
      </c>
      <c r="I228">
        <v>0.3875559132751597</v>
      </c>
      <c r="J228">
        <v>327198186.20201325</v>
      </c>
      <c r="K228">
        <v>165430000</v>
      </c>
      <c r="L228">
        <v>79925729.031135231</v>
      </c>
      <c r="M228">
        <v>77595700</v>
      </c>
      <c r="N228">
        <v>15761600.959999999</v>
      </c>
      <c r="O228">
        <v>232.41481899999999</v>
      </c>
      <c r="P228">
        <v>2.6239750314807342</v>
      </c>
      <c r="Q228">
        <v>43.702198000000003</v>
      </c>
      <c r="R228">
        <v>801.77037900000005</v>
      </c>
      <c r="S228">
        <v>2.4395347699999999E-12</v>
      </c>
      <c r="T228">
        <v>21.233511500452458</v>
      </c>
      <c r="U228">
        <v>100.934</v>
      </c>
      <c r="V228">
        <v>-616.38722086077439</v>
      </c>
      <c r="W228">
        <v>69.220797899999994</v>
      </c>
      <c r="X228">
        <v>94.854743400000004</v>
      </c>
      <c r="Y228">
        <v>121.52199999999999</v>
      </c>
      <c r="Z228">
        <v>254.022751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2.6239750314807342</v>
      </c>
    </row>
    <row r="229" spans="1:40" x14ac:dyDescent="0.3">
      <c r="A229">
        <v>33</v>
      </c>
      <c r="B229">
        <v>16</v>
      </c>
      <c r="C229">
        <v>10.012595918499477</v>
      </c>
      <c r="D229">
        <v>29</v>
      </c>
      <c r="E229">
        <v>8</v>
      </c>
      <c r="F229">
        <v>0.3045869930055764</v>
      </c>
      <c r="G229">
        <v>10</v>
      </c>
      <c r="H229">
        <v>8</v>
      </c>
      <c r="I229">
        <v>0.97621387774982482</v>
      </c>
      <c r="J229">
        <v>327187052.33972895</v>
      </c>
      <c r="K229">
        <v>165430000</v>
      </c>
      <c r="L229">
        <v>79925731.801512137</v>
      </c>
      <c r="M229">
        <v>77595700</v>
      </c>
      <c r="N229">
        <v>15761962.879999999</v>
      </c>
      <c r="O229">
        <v>231.878581</v>
      </c>
      <c r="P229">
        <v>2.6300105904247233</v>
      </c>
      <c r="Q229">
        <v>43.826528099999997</v>
      </c>
      <c r="R229">
        <v>799.85098400000004</v>
      </c>
      <c r="S229">
        <v>2.1590339300000001E-10</v>
      </c>
      <c r="T229">
        <v>21.678776278549226</v>
      </c>
      <c r="U229">
        <v>100.934</v>
      </c>
      <c r="V229">
        <v>-597.84356813318743</v>
      </c>
      <c r="W229">
        <v>69.219167600000006</v>
      </c>
      <c r="X229">
        <v>94.840115600000004</v>
      </c>
      <c r="Y229">
        <v>177.97</v>
      </c>
      <c r="Z229">
        <v>258.99837300000002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2.6300105904247233</v>
      </c>
    </row>
    <row r="230" spans="1:40" x14ac:dyDescent="0.3">
      <c r="A230">
        <v>27</v>
      </c>
      <c r="B230">
        <v>15</v>
      </c>
      <c r="C230">
        <v>7.3413538580375937</v>
      </c>
      <c r="D230">
        <v>10</v>
      </c>
      <c r="E230">
        <v>6</v>
      </c>
      <c r="F230">
        <v>0.30106476596819032</v>
      </c>
      <c r="G230">
        <v>14</v>
      </c>
      <c r="H230">
        <v>7</v>
      </c>
      <c r="I230">
        <v>0.62246541993246418</v>
      </c>
      <c r="J230">
        <v>327195101.7442835</v>
      </c>
      <c r="K230">
        <v>165430000</v>
      </c>
      <c r="L230">
        <v>79925725.737910047</v>
      </c>
      <c r="M230">
        <v>77595700</v>
      </c>
      <c r="N230">
        <v>15760809.520000001</v>
      </c>
      <c r="O230">
        <v>231.85800800000001</v>
      </c>
      <c r="P230">
        <v>2.6302675217591829</v>
      </c>
      <c r="Q230">
        <v>43.771487700000002</v>
      </c>
      <c r="R230">
        <v>801.01985200000001</v>
      </c>
      <c r="S230">
        <v>1.07069285E-8</v>
      </c>
      <c r="T230">
        <v>21.551163846687015</v>
      </c>
      <c r="U230">
        <v>100.934</v>
      </c>
      <c r="V230">
        <v>-612.38295681891668</v>
      </c>
      <c r="W230">
        <v>69.222704199999995</v>
      </c>
      <c r="X230">
        <v>94.866592499999996</v>
      </c>
      <c r="Y230">
        <v>121.52199999999999</v>
      </c>
      <c r="Z230">
        <v>254.354626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2.6302675217591829</v>
      </c>
    </row>
    <row r="231" spans="1:40" x14ac:dyDescent="0.3">
      <c r="A231">
        <v>39</v>
      </c>
      <c r="B231">
        <v>13</v>
      </c>
      <c r="C231">
        <v>5.9911637797352206</v>
      </c>
      <c r="D231">
        <v>12</v>
      </c>
      <c r="E231">
        <v>10</v>
      </c>
      <c r="F231">
        <v>0.31310815065706366</v>
      </c>
      <c r="G231">
        <v>23</v>
      </c>
      <c r="H231">
        <v>12</v>
      </c>
      <c r="I231">
        <v>0.67869801935044771</v>
      </c>
      <c r="J231">
        <v>327192601.32396412</v>
      </c>
      <c r="K231">
        <v>165430000</v>
      </c>
      <c r="L231">
        <v>79925720.67932716</v>
      </c>
      <c r="M231">
        <v>77595700</v>
      </c>
      <c r="N231">
        <v>15759656.08</v>
      </c>
      <c r="O231">
        <v>232.297078</v>
      </c>
      <c r="P231">
        <v>2.6252886860636093</v>
      </c>
      <c r="Q231">
        <v>43.712380600000003</v>
      </c>
      <c r="R231">
        <v>801.82360300000005</v>
      </c>
      <c r="S231">
        <v>1.03842158E-11</v>
      </c>
      <c r="T231">
        <v>21.256270118692616</v>
      </c>
      <c r="U231">
        <v>100.934</v>
      </c>
      <c r="V231">
        <v>-617.5858424803049</v>
      </c>
      <c r="W231">
        <v>69.220597799999993</v>
      </c>
      <c r="X231">
        <v>94.851403399999995</v>
      </c>
      <c r="Y231">
        <v>121.52199999999999</v>
      </c>
      <c r="Z231">
        <v>254.35306800000001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2.6252886860636093</v>
      </c>
    </row>
    <row r="232" spans="1:40" x14ac:dyDescent="0.3">
      <c r="A232">
        <v>31</v>
      </c>
      <c r="B232">
        <v>10</v>
      </c>
      <c r="C232">
        <v>2.2920989496702036</v>
      </c>
      <c r="D232">
        <v>24</v>
      </c>
      <c r="E232">
        <v>6</v>
      </c>
      <c r="F232">
        <v>0.32629899853642785</v>
      </c>
      <c r="G232">
        <v>20</v>
      </c>
      <c r="H232">
        <v>7</v>
      </c>
      <c r="I232">
        <v>0.57425425678884146</v>
      </c>
      <c r="J232">
        <v>327195914.67069721</v>
      </c>
      <c r="K232">
        <v>165430000</v>
      </c>
      <c r="L232">
        <v>79925725.658198804</v>
      </c>
      <c r="M232">
        <v>77595700</v>
      </c>
      <c r="N232">
        <v>15760814.16</v>
      </c>
      <c r="O232">
        <v>231.28313199999999</v>
      </c>
      <c r="P232">
        <v>2.6368076854019851</v>
      </c>
      <c r="Q232">
        <v>43.827584799999997</v>
      </c>
      <c r="R232">
        <v>800.402332</v>
      </c>
      <c r="S232">
        <v>6.5519740499999997E-9</v>
      </c>
      <c r="T232">
        <v>21.757542014154023</v>
      </c>
      <c r="U232">
        <v>100.934</v>
      </c>
      <c r="V232">
        <v>-581.1706807158215</v>
      </c>
      <c r="W232">
        <v>69.274834100000007</v>
      </c>
      <c r="X232">
        <v>95.045776399999994</v>
      </c>
      <c r="Y232">
        <v>177.97</v>
      </c>
      <c r="Z232">
        <v>254.023943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2.6368076854019851</v>
      </c>
    </row>
    <row r="233" spans="1:40" x14ac:dyDescent="0.3">
      <c r="A233">
        <v>39</v>
      </c>
      <c r="B233">
        <v>19</v>
      </c>
      <c r="C233">
        <v>14.422924615632684</v>
      </c>
      <c r="D233">
        <v>23</v>
      </c>
      <c r="E233">
        <v>8</v>
      </c>
      <c r="F233">
        <v>0.33411239934298392</v>
      </c>
      <c r="G233">
        <v>11</v>
      </c>
      <c r="H233">
        <v>8</v>
      </c>
      <c r="I233">
        <v>0.82867059265490761</v>
      </c>
      <c r="J233">
        <v>327190163.72420049</v>
      </c>
      <c r="K233">
        <v>165430000</v>
      </c>
      <c r="L233">
        <v>79925727.903056666</v>
      </c>
      <c r="M233">
        <v>77595700</v>
      </c>
      <c r="N233">
        <v>15761169.359999999</v>
      </c>
      <c r="O233">
        <v>231.492998</v>
      </c>
      <c r="P233">
        <v>2.6344003540960101</v>
      </c>
      <c r="Q233">
        <v>43.853401099999999</v>
      </c>
      <c r="R233">
        <v>800.20191299999999</v>
      </c>
      <c r="S233">
        <v>1.27038951E-10</v>
      </c>
      <c r="T233">
        <v>21.70757656767146</v>
      </c>
      <c r="U233">
        <v>100.934</v>
      </c>
      <c r="V233">
        <v>-604.83611308683646</v>
      </c>
      <c r="W233">
        <v>69.218579700000006</v>
      </c>
      <c r="X233">
        <v>94.825830600000003</v>
      </c>
      <c r="Y233">
        <v>170.55</v>
      </c>
      <c r="Z233">
        <v>256.51662800000003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2.6344003540960101</v>
      </c>
    </row>
    <row r="234" spans="1:40" x14ac:dyDescent="0.3">
      <c r="A234">
        <v>38</v>
      </c>
      <c r="B234">
        <v>15</v>
      </c>
      <c r="C234">
        <v>7.8298366210186572</v>
      </c>
      <c r="D234">
        <v>21</v>
      </c>
      <c r="E234">
        <v>7</v>
      </c>
      <c r="F234">
        <v>0.3052459959716613</v>
      </c>
      <c r="G234">
        <v>29</v>
      </c>
      <c r="H234">
        <v>7</v>
      </c>
      <c r="I234">
        <v>0.36905150464690406</v>
      </c>
      <c r="J234">
        <v>327201523.68065941</v>
      </c>
      <c r="K234">
        <v>165430000</v>
      </c>
      <c r="L234">
        <v>79925733.833327293</v>
      </c>
      <c r="M234">
        <v>77595700</v>
      </c>
      <c r="N234">
        <v>15762720.16</v>
      </c>
      <c r="O234">
        <v>231.81779399999999</v>
      </c>
      <c r="P234">
        <v>2.6307426066982287</v>
      </c>
      <c r="Q234">
        <v>43.821577300000001</v>
      </c>
      <c r="R234">
        <v>800.04943399999991</v>
      </c>
      <c r="S234">
        <v>1.37939238E-9</v>
      </c>
      <c r="T234">
        <v>21.673254997992547</v>
      </c>
      <c r="U234">
        <v>100.934</v>
      </c>
      <c r="V234">
        <v>-601.68216276529506</v>
      </c>
      <c r="W234">
        <v>69.219182599999996</v>
      </c>
      <c r="X234">
        <v>94.840119200000004</v>
      </c>
      <c r="Y234">
        <v>170.55</v>
      </c>
      <c r="Z234">
        <v>253.57356100000001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2.6307426066982287</v>
      </c>
    </row>
    <row r="235" spans="1:40" x14ac:dyDescent="0.3">
      <c r="A235">
        <v>39</v>
      </c>
      <c r="B235">
        <v>19</v>
      </c>
      <c r="C235">
        <v>10.083150188896324</v>
      </c>
      <c r="D235">
        <v>29</v>
      </c>
      <c r="E235">
        <v>13</v>
      </c>
      <c r="F235">
        <v>0.3024344222927447</v>
      </c>
      <c r="G235">
        <v>17</v>
      </c>
      <c r="H235">
        <v>13</v>
      </c>
      <c r="I235">
        <v>0.37886438740183426</v>
      </c>
      <c r="J235">
        <v>327195550.21772945</v>
      </c>
      <c r="K235">
        <v>165430000</v>
      </c>
      <c r="L235">
        <v>79925741.112115085</v>
      </c>
      <c r="M235">
        <v>77595700</v>
      </c>
      <c r="N235">
        <v>15764151.92</v>
      </c>
      <c r="O235">
        <v>231.88212300000001</v>
      </c>
      <c r="P235">
        <v>2.6299952952849117</v>
      </c>
      <c r="Q235">
        <v>43.824712499999997</v>
      </c>
      <c r="R235">
        <v>799.76487199999997</v>
      </c>
      <c r="S235">
        <v>2.3420764600000001E-14</v>
      </c>
      <c r="T235">
        <v>21.63106999125435</v>
      </c>
      <c r="U235">
        <v>100.934</v>
      </c>
      <c r="V235">
        <v>-600.47312741642088</v>
      </c>
      <c r="W235">
        <v>69.218663100000001</v>
      </c>
      <c r="X235">
        <v>94.828811400000006</v>
      </c>
      <c r="Y235">
        <v>170.55</v>
      </c>
      <c r="Z235">
        <v>257.16971599999999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2.6299952952849117</v>
      </c>
    </row>
    <row r="236" spans="1:40" x14ac:dyDescent="0.3">
      <c r="A236">
        <v>34</v>
      </c>
      <c r="B236">
        <v>18</v>
      </c>
      <c r="C236">
        <v>1.715063910300711</v>
      </c>
      <c r="D236">
        <v>11</v>
      </c>
      <c r="E236">
        <v>9</v>
      </c>
      <c r="F236">
        <v>0.31793371671725562</v>
      </c>
      <c r="G236">
        <v>24</v>
      </c>
      <c r="H236">
        <v>7</v>
      </c>
      <c r="I236">
        <v>0.40490590352408962</v>
      </c>
      <c r="J236">
        <v>327198713.96446216</v>
      </c>
      <c r="K236">
        <v>165430000</v>
      </c>
      <c r="L236">
        <v>79925729.739086211</v>
      </c>
      <c r="M236">
        <v>77595700</v>
      </c>
      <c r="N236">
        <v>15761765.92</v>
      </c>
      <c r="O236">
        <v>231.80430699999999</v>
      </c>
      <c r="P236">
        <v>2.6308874419505788</v>
      </c>
      <c r="Q236">
        <v>43.698968499999999</v>
      </c>
      <c r="R236">
        <v>802.12384400000008</v>
      </c>
      <c r="S236">
        <v>5.3126287700000001E-11</v>
      </c>
      <c r="T236">
        <v>21.311972006793319</v>
      </c>
      <c r="U236">
        <v>100.934</v>
      </c>
      <c r="V236">
        <v>-594.70102198127722</v>
      </c>
      <c r="W236">
        <v>69.286275399999994</v>
      </c>
      <c r="X236">
        <v>95.103912199999996</v>
      </c>
      <c r="Y236">
        <v>121.52199999999999</v>
      </c>
      <c r="Z236">
        <v>253.92870099999999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2.6308874419505788</v>
      </c>
    </row>
    <row r="237" spans="1:40" x14ac:dyDescent="0.3">
      <c r="A237">
        <v>36</v>
      </c>
      <c r="B237">
        <v>19</v>
      </c>
      <c r="C237">
        <v>14.816084134830364</v>
      </c>
      <c r="D237">
        <v>10</v>
      </c>
      <c r="E237">
        <v>5</v>
      </c>
      <c r="F237">
        <v>0.36928660542222613</v>
      </c>
      <c r="G237">
        <v>21</v>
      </c>
      <c r="H237">
        <v>14</v>
      </c>
      <c r="I237">
        <v>1.0265912516189759</v>
      </c>
      <c r="J237">
        <v>327192021.86121637</v>
      </c>
      <c r="K237">
        <v>165430000</v>
      </c>
      <c r="L237">
        <v>79925720.165107414</v>
      </c>
      <c r="M237">
        <v>77595700</v>
      </c>
      <c r="N237">
        <v>15759530.479999999</v>
      </c>
      <c r="O237">
        <v>231.295354</v>
      </c>
      <c r="P237">
        <v>2.6366569270033011</v>
      </c>
      <c r="Q237">
        <v>43.830660600000002</v>
      </c>
      <c r="R237">
        <v>801.13471600000003</v>
      </c>
      <c r="S237">
        <v>3.4541253400000003E-8</v>
      </c>
      <c r="T237">
        <v>21.694538696970771</v>
      </c>
      <c r="U237">
        <v>100.934</v>
      </c>
      <c r="V237">
        <v>-617.45538523246501</v>
      </c>
      <c r="W237">
        <v>69.218684600000003</v>
      </c>
      <c r="X237">
        <v>94.828828900000005</v>
      </c>
      <c r="Y237">
        <v>144.29</v>
      </c>
      <c r="Z237">
        <v>254.31463400000001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2.6366569270033011</v>
      </c>
    </row>
    <row r="238" spans="1:40" x14ac:dyDescent="0.3">
      <c r="A238">
        <v>27</v>
      </c>
      <c r="B238">
        <v>10</v>
      </c>
      <c r="C238">
        <v>13.938929676391751</v>
      </c>
      <c r="D238">
        <v>29</v>
      </c>
      <c r="E238">
        <v>13</v>
      </c>
      <c r="F238">
        <v>0.42561873874842132</v>
      </c>
      <c r="G238">
        <v>11</v>
      </c>
      <c r="H238">
        <v>9</v>
      </c>
      <c r="I238">
        <v>0.89167310761945062</v>
      </c>
      <c r="J238">
        <v>327185613.86067146</v>
      </c>
      <c r="K238">
        <v>165430000</v>
      </c>
      <c r="L238">
        <v>79925731.360224068</v>
      </c>
      <c r="M238">
        <v>77595700</v>
      </c>
      <c r="N238">
        <v>15761838.16</v>
      </c>
      <c r="O238">
        <v>230.976563</v>
      </c>
      <c r="P238">
        <v>2.6402771748048681</v>
      </c>
      <c r="Q238">
        <v>43.906054300000001</v>
      </c>
      <c r="R238">
        <v>800.60237899999993</v>
      </c>
      <c r="S238">
        <v>2.0845895E-8</v>
      </c>
      <c r="T238">
        <v>21.855443914067855</v>
      </c>
      <c r="U238">
        <v>100.934</v>
      </c>
      <c r="V238">
        <v>-603.14340710508304</v>
      </c>
      <c r="W238">
        <v>69.222415499999997</v>
      </c>
      <c r="X238">
        <v>94.864117300000004</v>
      </c>
      <c r="Y238">
        <v>177.97</v>
      </c>
      <c r="Z238">
        <v>259.41448200000002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2.6402771748048681</v>
      </c>
    </row>
    <row r="239" spans="1:40" x14ac:dyDescent="0.3">
      <c r="A239">
        <v>31</v>
      </c>
      <c r="B239">
        <v>11</v>
      </c>
      <c r="C239">
        <v>5.1546291189072129</v>
      </c>
      <c r="D239">
        <v>12</v>
      </c>
      <c r="E239">
        <v>10</v>
      </c>
      <c r="F239">
        <v>0.31454292529380262</v>
      </c>
      <c r="G239">
        <v>24</v>
      </c>
      <c r="H239">
        <v>13</v>
      </c>
      <c r="I239">
        <v>0.31910879665106884</v>
      </c>
      <c r="J239">
        <v>327201530.04106891</v>
      </c>
      <c r="K239">
        <v>165430000</v>
      </c>
      <c r="L239">
        <v>79925734.137996852</v>
      </c>
      <c r="M239">
        <v>77595700</v>
      </c>
      <c r="N239">
        <v>15762787.52</v>
      </c>
      <c r="O239">
        <v>232.25002599999999</v>
      </c>
      <c r="P239">
        <v>2.6258466467701909</v>
      </c>
      <c r="Q239">
        <v>43.712277200000003</v>
      </c>
      <c r="R239">
        <v>801.84875799999998</v>
      </c>
      <c r="S239">
        <v>1.0025694400000001E-11</v>
      </c>
      <c r="T239">
        <v>21.260792910978576</v>
      </c>
      <c r="U239">
        <v>100.934</v>
      </c>
      <c r="V239">
        <v>-615.9895842723289</v>
      </c>
      <c r="W239">
        <v>69.225714800000006</v>
      </c>
      <c r="X239">
        <v>94.876230399999997</v>
      </c>
      <c r="Y239">
        <v>121.52199999999999</v>
      </c>
      <c r="Z239">
        <v>253.70947699999999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2.6258466467701909</v>
      </c>
    </row>
    <row r="240" spans="1:40" x14ac:dyDescent="0.3">
      <c r="A240">
        <v>38</v>
      </c>
      <c r="B240">
        <v>17</v>
      </c>
      <c r="C240">
        <v>5.0655556170490907</v>
      </c>
      <c r="D240">
        <v>29</v>
      </c>
      <c r="E240">
        <v>5</v>
      </c>
      <c r="F240">
        <v>0.33704662618985581</v>
      </c>
      <c r="G240">
        <v>28</v>
      </c>
      <c r="H240">
        <v>13</v>
      </c>
      <c r="I240">
        <v>0.82038099965647215</v>
      </c>
      <c r="J240">
        <v>327192422.02066809</v>
      </c>
      <c r="K240">
        <v>165430000</v>
      </c>
      <c r="L240">
        <v>79925720.312819764</v>
      </c>
      <c r="M240">
        <v>77595700</v>
      </c>
      <c r="N240">
        <v>15759572</v>
      </c>
      <c r="O240">
        <v>231.71169900000001</v>
      </c>
      <c r="P240">
        <v>2.6319204925344515</v>
      </c>
      <c r="Q240">
        <v>43.840928900000002</v>
      </c>
      <c r="R240">
        <v>800.12594200000001</v>
      </c>
      <c r="S240">
        <v>4.1847807299999998E-8</v>
      </c>
      <c r="T240">
        <v>21.776753258482859</v>
      </c>
      <c r="U240">
        <v>100.934</v>
      </c>
      <c r="V240">
        <v>-597.22473949689447</v>
      </c>
      <c r="W240">
        <v>69.219394899999998</v>
      </c>
      <c r="X240">
        <v>94.843179699999993</v>
      </c>
      <c r="Y240">
        <v>177.97</v>
      </c>
      <c r="Z240">
        <v>254.32827499999999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2.6319204925344515</v>
      </c>
    </row>
    <row r="241" spans="1:40" x14ac:dyDescent="0.3">
      <c r="A241">
        <v>35</v>
      </c>
      <c r="B241">
        <v>19</v>
      </c>
      <c r="C241">
        <v>1.2291728452258284</v>
      </c>
      <c r="D241">
        <v>29</v>
      </c>
      <c r="E241">
        <v>13</v>
      </c>
      <c r="F241">
        <v>0.34166507695714043</v>
      </c>
      <c r="G241">
        <v>20</v>
      </c>
      <c r="H241">
        <v>10</v>
      </c>
      <c r="I241">
        <v>0.49609737278281024</v>
      </c>
      <c r="J241">
        <v>327194556.41781682</v>
      </c>
      <c r="K241">
        <v>165430000</v>
      </c>
      <c r="L241">
        <v>79925723.976044849</v>
      </c>
      <c r="M241">
        <v>77595700</v>
      </c>
      <c r="N241">
        <v>15760418.32</v>
      </c>
      <c r="O241">
        <v>229.67738800000001</v>
      </c>
      <c r="P241">
        <v>2.6552383898780438</v>
      </c>
      <c r="Q241">
        <v>43.812517499999998</v>
      </c>
      <c r="R241">
        <v>801.34366399999999</v>
      </c>
      <c r="S241">
        <v>3.9866351599999999E-14</v>
      </c>
      <c r="T241">
        <v>21.860687741045645</v>
      </c>
      <c r="U241">
        <v>91.850000000000009</v>
      </c>
      <c r="V241">
        <v>-521.45884397003613</v>
      </c>
      <c r="W241">
        <v>69.467187100000004</v>
      </c>
      <c r="X241">
        <v>96.130375700000002</v>
      </c>
      <c r="Y241">
        <v>177.97</v>
      </c>
      <c r="Z241">
        <v>253.98646500000001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2.6552383898780438</v>
      </c>
    </row>
    <row r="242" spans="1:40" x14ac:dyDescent="0.3">
      <c r="A242">
        <v>39</v>
      </c>
      <c r="B242">
        <v>10</v>
      </c>
      <c r="C242">
        <v>7.0760022228237283</v>
      </c>
      <c r="D242">
        <v>29</v>
      </c>
      <c r="E242">
        <v>12</v>
      </c>
      <c r="F242">
        <v>0.3094198136695529</v>
      </c>
      <c r="G242">
        <v>11</v>
      </c>
      <c r="H242">
        <v>8</v>
      </c>
      <c r="I242">
        <v>0.51704059318113704</v>
      </c>
      <c r="J242">
        <v>327191767.98037291</v>
      </c>
      <c r="K242">
        <v>165430000</v>
      </c>
      <c r="L242">
        <v>79925738.829866886</v>
      </c>
      <c r="M242">
        <v>77595700</v>
      </c>
      <c r="N242">
        <v>15763578.4</v>
      </c>
      <c r="O242">
        <v>231.76893999999999</v>
      </c>
      <c r="P242">
        <v>2.6312685597969652</v>
      </c>
      <c r="Q242">
        <v>43.831636799999998</v>
      </c>
      <c r="R242">
        <v>799.84099700000002</v>
      </c>
      <c r="S242">
        <v>1.16702901E-13</v>
      </c>
      <c r="T242">
        <v>21.650921951734983</v>
      </c>
      <c r="U242">
        <v>100.934</v>
      </c>
      <c r="V242">
        <v>-599.07035074570376</v>
      </c>
      <c r="W242">
        <v>69.223394900000002</v>
      </c>
      <c r="X242">
        <v>94.863551000000001</v>
      </c>
      <c r="Y242">
        <v>177.97</v>
      </c>
      <c r="Z242">
        <v>258.507363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2.6312685597969652</v>
      </c>
    </row>
    <row r="243" spans="1:40" x14ac:dyDescent="0.3">
      <c r="A243">
        <v>32</v>
      </c>
      <c r="B243">
        <v>10</v>
      </c>
      <c r="C243">
        <v>14.65951141415084</v>
      </c>
      <c r="D243">
        <v>18</v>
      </c>
      <c r="E243">
        <v>6</v>
      </c>
      <c r="F243">
        <v>0.3109411046427451</v>
      </c>
      <c r="G243">
        <v>19</v>
      </c>
      <c r="H243">
        <v>7</v>
      </c>
      <c r="I243">
        <v>0.97147287797747262</v>
      </c>
      <c r="J243">
        <v>327193893.68841559</v>
      </c>
      <c r="K243">
        <v>165430000</v>
      </c>
      <c r="L243">
        <v>79925722.620131806</v>
      </c>
      <c r="M243">
        <v>77595700</v>
      </c>
      <c r="N243">
        <v>15760106.560000001</v>
      </c>
      <c r="O243">
        <v>231.74531500000001</v>
      </c>
      <c r="P243">
        <v>2.6315430282043253</v>
      </c>
      <c r="Q243">
        <v>43.821100000000001</v>
      </c>
      <c r="R243">
        <v>800.21813600000007</v>
      </c>
      <c r="S243">
        <v>8.2409620499999995E-9</v>
      </c>
      <c r="T243">
        <v>21.692860839482716</v>
      </c>
      <c r="U243">
        <v>100.934</v>
      </c>
      <c r="V243">
        <v>-603.10271120123423</v>
      </c>
      <c r="W243">
        <v>69.220613700000001</v>
      </c>
      <c r="X243">
        <v>94.852049800000003</v>
      </c>
      <c r="Y243">
        <v>170.55</v>
      </c>
      <c r="Z243">
        <v>254.224108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2.6315430282043253</v>
      </c>
    </row>
    <row r="244" spans="1:40" x14ac:dyDescent="0.3">
      <c r="A244">
        <v>27</v>
      </c>
      <c r="B244">
        <v>12</v>
      </c>
      <c r="C244">
        <v>9.8219616241592398</v>
      </c>
      <c r="D244">
        <v>16</v>
      </c>
      <c r="E244">
        <v>5</v>
      </c>
      <c r="F244">
        <v>0.31096993002492529</v>
      </c>
      <c r="G244">
        <v>26</v>
      </c>
      <c r="H244">
        <v>8</v>
      </c>
      <c r="I244">
        <v>0.83682392761909252</v>
      </c>
      <c r="J244">
        <v>327193563.42751205</v>
      </c>
      <c r="K244">
        <v>165430000</v>
      </c>
      <c r="L244">
        <v>79925722.078382909</v>
      </c>
      <c r="M244">
        <v>77595700</v>
      </c>
      <c r="N244">
        <v>15759981.439999999</v>
      </c>
      <c r="O244">
        <v>231.79673099999999</v>
      </c>
      <c r="P244">
        <v>2.6309583451716523</v>
      </c>
      <c r="Q244">
        <v>43.810776199999999</v>
      </c>
      <c r="R244">
        <v>800.30963099999997</v>
      </c>
      <c r="S244">
        <v>5.4277614100000002E-8</v>
      </c>
      <c r="T244">
        <v>21.715972333682551</v>
      </c>
      <c r="U244">
        <v>100.934</v>
      </c>
      <c r="V244">
        <v>-602.26094418829507</v>
      </c>
      <c r="W244">
        <v>69.222441200000006</v>
      </c>
      <c r="X244">
        <v>94.864787899999996</v>
      </c>
      <c r="Y244">
        <v>165.7</v>
      </c>
      <c r="Z244">
        <v>254.24852300000001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2.6309583451716523</v>
      </c>
    </row>
    <row r="245" spans="1:40" x14ac:dyDescent="0.3">
      <c r="A245">
        <v>27</v>
      </c>
      <c r="B245">
        <v>16</v>
      </c>
      <c r="C245">
        <v>6.8290240399620767</v>
      </c>
      <c r="D245">
        <v>28</v>
      </c>
      <c r="E245">
        <v>14</v>
      </c>
      <c r="F245">
        <v>0.34531262757770326</v>
      </c>
      <c r="G245">
        <v>22</v>
      </c>
      <c r="H245">
        <v>7</v>
      </c>
      <c r="I245">
        <v>1.1601276068762456</v>
      </c>
      <c r="J245">
        <v>327193576.22510892</v>
      </c>
      <c r="K245">
        <v>165430000</v>
      </c>
      <c r="L245">
        <v>79925722.112691611</v>
      </c>
      <c r="M245">
        <v>77595700</v>
      </c>
      <c r="N245">
        <v>15759981.439999999</v>
      </c>
      <c r="O245">
        <v>231.30681999999999</v>
      </c>
      <c r="P245">
        <v>2.6365307883947091</v>
      </c>
      <c r="Q245">
        <v>43.867704000000003</v>
      </c>
      <c r="R245">
        <v>800.203036</v>
      </c>
      <c r="S245">
        <v>8.6644065299999994E-14</v>
      </c>
      <c r="T245">
        <v>21.697055241680712</v>
      </c>
      <c r="U245">
        <v>100.934</v>
      </c>
      <c r="V245">
        <v>-606.36059621697382</v>
      </c>
      <c r="W245">
        <v>69.223016200000004</v>
      </c>
      <c r="X245">
        <v>94.867976999999996</v>
      </c>
      <c r="Y245">
        <v>170.55</v>
      </c>
      <c r="Z245">
        <v>254.03005400000001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2.6365307883947091</v>
      </c>
    </row>
    <row r="246" spans="1:40" x14ac:dyDescent="0.3">
      <c r="A246">
        <v>39</v>
      </c>
      <c r="B246">
        <v>10</v>
      </c>
      <c r="C246">
        <v>2.6276394998990007</v>
      </c>
      <c r="D246">
        <v>10</v>
      </c>
      <c r="E246">
        <v>5</v>
      </c>
      <c r="F246">
        <v>0.42053790273744157</v>
      </c>
      <c r="G246">
        <v>29</v>
      </c>
      <c r="H246">
        <v>7</v>
      </c>
      <c r="I246">
        <v>0.57725915689844176</v>
      </c>
      <c r="J246">
        <v>327195880.02740961</v>
      </c>
      <c r="K246">
        <v>165430000</v>
      </c>
      <c r="L246">
        <v>79925725.516855136</v>
      </c>
      <c r="M246">
        <v>77595700</v>
      </c>
      <c r="N246">
        <v>15760782.960000001</v>
      </c>
      <c r="O246">
        <v>230.65443099999999</v>
      </c>
      <c r="P246">
        <v>2.6439948012256851</v>
      </c>
      <c r="Q246">
        <v>43.8561908</v>
      </c>
      <c r="R246">
        <v>801.56666700000005</v>
      </c>
      <c r="S246">
        <v>2.3500758799999999E-8</v>
      </c>
      <c r="T246">
        <v>21.763796230336606</v>
      </c>
      <c r="U246">
        <v>100.934</v>
      </c>
      <c r="V246">
        <v>-609.59983825435199</v>
      </c>
      <c r="W246">
        <v>69.254033399999997</v>
      </c>
      <c r="X246">
        <v>94.968453100000005</v>
      </c>
      <c r="Y246">
        <v>144.29</v>
      </c>
      <c r="Z246">
        <v>253.783085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2.6439948012256851</v>
      </c>
    </row>
    <row r="247" spans="1:40" x14ac:dyDescent="0.3">
      <c r="A247">
        <v>31</v>
      </c>
      <c r="B247">
        <v>16</v>
      </c>
      <c r="C247">
        <v>11.352686603459405</v>
      </c>
      <c r="D247">
        <v>29</v>
      </c>
      <c r="E247">
        <v>14</v>
      </c>
      <c r="F247">
        <v>0.30302476620860286</v>
      </c>
      <c r="G247">
        <v>15</v>
      </c>
      <c r="H247">
        <v>7</v>
      </c>
      <c r="I247">
        <v>1.1572166619619388</v>
      </c>
      <c r="J247">
        <v>327193680.33596873</v>
      </c>
      <c r="K247">
        <v>165430000</v>
      </c>
      <c r="L247">
        <v>79925722.52645053</v>
      </c>
      <c r="M247">
        <v>77595700</v>
      </c>
      <c r="N247">
        <v>15760081.280000001</v>
      </c>
      <c r="O247">
        <v>232.008307</v>
      </c>
      <c r="P247">
        <v>2.6285594298649984</v>
      </c>
      <c r="Q247">
        <v>43.8122051</v>
      </c>
      <c r="R247">
        <v>799.97208599999999</v>
      </c>
      <c r="S247">
        <v>5.8228944E-8</v>
      </c>
      <c r="T247">
        <v>21.746512273318842</v>
      </c>
      <c r="U247">
        <v>100.934</v>
      </c>
      <c r="V247">
        <v>-594.73160402994972</v>
      </c>
      <c r="W247">
        <v>69.219375400000004</v>
      </c>
      <c r="X247">
        <v>94.842949700000005</v>
      </c>
      <c r="Y247">
        <v>177.97</v>
      </c>
      <c r="Z247">
        <v>254.342051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2.6285594298649984</v>
      </c>
    </row>
    <row r="248" spans="1:40" x14ac:dyDescent="0.3">
      <c r="A248">
        <v>30</v>
      </c>
      <c r="B248">
        <v>19</v>
      </c>
      <c r="C248">
        <v>10.03668680903999</v>
      </c>
      <c r="D248">
        <v>15</v>
      </c>
      <c r="E248">
        <v>13</v>
      </c>
      <c r="F248">
        <v>0.30887077589741535</v>
      </c>
      <c r="G248">
        <v>19</v>
      </c>
      <c r="H248">
        <v>9</v>
      </c>
      <c r="I248">
        <v>0.39574324166318953</v>
      </c>
      <c r="J248">
        <v>327196984.88484931</v>
      </c>
      <c r="K248">
        <v>165430000</v>
      </c>
      <c r="L248">
        <v>79925727.843684107</v>
      </c>
      <c r="M248">
        <v>77595700</v>
      </c>
      <c r="N248">
        <v>15761313.760000002</v>
      </c>
      <c r="O248">
        <v>232.35858999999999</v>
      </c>
      <c r="P248">
        <v>2.6246065036020503</v>
      </c>
      <c r="Q248">
        <v>43.709748599999998</v>
      </c>
      <c r="R248">
        <v>801.72533399999998</v>
      </c>
      <c r="S248">
        <v>1.00352526E-13</v>
      </c>
      <c r="T248">
        <v>21.235390148196561</v>
      </c>
      <c r="U248">
        <v>100.934</v>
      </c>
      <c r="V248">
        <v>-617.65250849822792</v>
      </c>
      <c r="W248">
        <v>69.219726300000005</v>
      </c>
      <c r="X248">
        <v>94.845987300000004</v>
      </c>
      <c r="Y248">
        <v>121.52199999999999</v>
      </c>
      <c r="Z248">
        <v>254.05432500000001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2.6246065036020503</v>
      </c>
    </row>
    <row r="249" spans="1:40" x14ac:dyDescent="0.3">
      <c r="A249">
        <v>39</v>
      </c>
      <c r="B249">
        <v>19</v>
      </c>
      <c r="C249">
        <v>14.607885078977615</v>
      </c>
      <c r="D249">
        <v>24</v>
      </c>
      <c r="E249">
        <v>14</v>
      </c>
      <c r="F249">
        <v>0.3153832049074986</v>
      </c>
      <c r="G249">
        <v>15</v>
      </c>
      <c r="H249">
        <v>7</v>
      </c>
      <c r="I249">
        <v>0.57381026294373538</v>
      </c>
      <c r="J249">
        <v>327195810.94141954</v>
      </c>
      <c r="K249">
        <v>165430000</v>
      </c>
      <c r="L249">
        <v>79925726.392651707</v>
      </c>
      <c r="M249">
        <v>77595700</v>
      </c>
      <c r="N249">
        <v>15760968.800000001</v>
      </c>
      <c r="O249">
        <v>231.647876</v>
      </c>
      <c r="P249">
        <v>2.6326555635860442</v>
      </c>
      <c r="Q249">
        <v>43.833225400000003</v>
      </c>
      <c r="R249">
        <v>800.05374799999993</v>
      </c>
      <c r="S249">
        <v>2.4706965499999999E-15</v>
      </c>
      <c r="T249">
        <v>21.624892691966838</v>
      </c>
      <c r="U249">
        <v>100.934</v>
      </c>
      <c r="V249">
        <v>-607.53767198870321</v>
      </c>
      <c r="W249">
        <v>69.218577400000001</v>
      </c>
      <c r="X249">
        <v>94.825740100000004</v>
      </c>
      <c r="Y249">
        <v>165.7</v>
      </c>
      <c r="Z249">
        <v>254.04781600000001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2.6326555635860442</v>
      </c>
    </row>
    <row r="250" spans="1:40" x14ac:dyDescent="0.3">
      <c r="A250">
        <v>35</v>
      </c>
      <c r="B250">
        <v>12</v>
      </c>
      <c r="C250">
        <v>5.3740744200648649</v>
      </c>
      <c r="D250">
        <v>15</v>
      </c>
      <c r="E250">
        <v>5</v>
      </c>
      <c r="F250">
        <v>0.30506791415758944</v>
      </c>
      <c r="G250">
        <v>21</v>
      </c>
      <c r="H250">
        <v>7</v>
      </c>
      <c r="I250">
        <v>1.3541629934715773</v>
      </c>
      <c r="J250">
        <v>327193358.05189753</v>
      </c>
      <c r="K250">
        <v>165430000</v>
      </c>
      <c r="L250">
        <v>79925721.791997626</v>
      </c>
      <c r="M250">
        <v>77595700</v>
      </c>
      <c r="N250">
        <v>15759913.84</v>
      </c>
      <c r="O250">
        <v>231.82782399999999</v>
      </c>
      <c r="P250">
        <v>2.6306048767798917</v>
      </c>
      <c r="Q250">
        <v>43.804952</v>
      </c>
      <c r="R250">
        <v>800.33573699999999</v>
      </c>
      <c r="S250">
        <v>5.7903139400000001E-8</v>
      </c>
      <c r="T250">
        <v>21.706956960787437</v>
      </c>
      <c r="U250">
        <v>100.934</v>
      </c>
      <c r="V250">
        <v>-602.78461192533052</v>
      </c>
      <c r="W250">
        <v>69.222541100000001</v>
      </c>
      <c r="X250">
        <v>94.863158600000006</v>
      </c>
      <c r="Y250">
        <v>165.7</v>
      </c>
      <c r="Z250">
        <v>254.276995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2.6306048767798917</v>
      </c>
    </row>
    <row r="251" spans="1:40" x14ac:dyDescent="0.3">
      <c r="A251">
        <v>36</v>
      </c>
      <c r="B251">
        <v>13</v>
      </c>
      <c r="C251">
        <v>4.2096471499915626</v>
      </c>
      <c r="D251">
        <v>27</v>
      </c>
      <c r="E251">
        <v>14</v>
      </c>
      <c r="F251">
        <v>0.31206829248219525</v>
      </c>
      <c r="G251">
        <v>29</v>
      </c>
      <c r="H251">
        <v>14</v>
      </c>
      <c r="I251">
        <v>1.3728958492953658</v>
      </c>
      <c r="J251">
        <v>327192218.44484246</v>
      </c>
      <c r="K251">
        <v>165430000</v>
      </c>
      <c r="L251">
        <v>79925720.030954197</v>
      </c>
      <c r="M251">
        <v>77595700</v>
      </c>
      <c r="N251">
        <v>15759504.960000001</v>
      </c>
      <c r="O251">
        <v>231.697406</v>
      </c>
      <c r="P251">
        <v>2.632082254557405</v>
      </c>
      <c r="Q251">
        <v>43.8323295</v>
      </c>
      <c r="R251">
        <v>799.93011200000001</v>
      </c>
      <c r="S251">
        <v>2.6567767E-15</v>
      </c>
      <c r="T251">
        <v>21.635994498247907</v>
      </c>
      <c r="U251">
        <v>100.934</v>
      </c>
      <c r="V251">
        <v>-602.58377940891319</v>
      </c>
      <c r="W251">
        <v>69.223104500000005</v>
      </c>
      <c r="X251">
        <v>94.865823000000006</v>
      </c>
      <c r="Y251">
        <v>170.55</v>
      </c>
      <c r="Z251">
        <v>254.24955199999999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2.632082254557405</v>
      </c>
    </row>
    <row r="252" spans="1:40" x14ac:dyDescent="0.3">
      <c r="A252">
        <v>36</v>
      </c>
      <c r="B252">
        <v>11</v>
      </c>
      <c r="C252">
        <v>13.256870293847953</v>
      </c>
      <c r="D252">
        <v>10</v>
      </c>
      <c r="E252">
        <v>8</v>
      </c>
      <c r="F252">
        <v>0.3517276518995397</v>
      </c>
      <c r="G252">
        <v>29</v>
      </c>
      <c r="H252">
        <v>14</v>
      </c>
      <c r="I252">
        <v>1.28444565021374</v>
      </c>
      <c r="J252">
        <v>327192218.44484246</v>
      </c>
      <c r="K252">
        <v>165430000</v>
      </c>
      <c r="L252">
        <v>79925720.030954197</v>
      </c>
      <c r="M252">
        <v>77595700</v>
      </c>
      <c r="N252">
        <v>15759504.960000001</v>
      </c>
      <c r="O252">
        <v>231.95393799999999</v>
      </c>
      <c r="P252">
        <v>2.629171274339746</v>
      </c>
      <c r="Q252">
        <v>43.741089199999998</v>
      </c>
      <c r="R252">
        <v>802.03116</v>
      </c>
      <c r="S252">
        <v>1.9311687499999999E-10</v>
      </c>
      <c r="T252">
        <v>21.330970446481473</v>
      </c>
      <c r="U252">
        <v>100.934</v>
      </c>
      <c r="V252">
        <v>-621.19792488922246</v>
      </c>
      <c r="W252">
        <v>69.219896700000007</v>
      </c>
      <c r="X252">
        <v>94.846365899999995</v>
      </c>
      <c r="Y252">
        <v>121.52199999999999</v>
      </c>
      <c r="Z252">
        <v>254.276295</v>
      </c>
      <c r="AA252">
        <v>99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101.62917127433974</v>
      </c>
    </row>
    <row r="253" spans="1:40" x14ac:dyDescent="0.3">
      <c r="A253">
        <v>39</v>
      </c>
      <c r="B253">
        <v>10</v>
      </c>
      <c r="C253">
        <v>1</v>
      </c>
      <c r="D253">
        <v>18</v>
      </c>
      <c r="E253">
        <v>5</v>
      </c>
      <c r="F253">
        <v>1.2</v>
      </c>
      <c r="G253">
        <v>10</v>
      </c>
      <c r="H253">
        <v>7</v>
      </c>
      <c r="I253">
        <v>0.3</v>
      </c>
      <c r="J253">
        <v>327199472.45160002</v>
      </c>
      <c r="K253">
        <v>165430000</v>
      </c>
      <c r="L253">
        <v>79925764.140654728</v>
      </c>
      <c r="M253">
        <v>77595700</v>
      </c>
      <c r="N253">
        <v>15769240.16</v>
      </c>
      <c r="O253">
        <v>225.43578400000001</v>
      </c>
      <c r="P253">
        <v>2.7052118539407934</v>
      </c>
      <c r="Q253">
        <v>44.078078599999998</v>
      </c>
      <c r="R253">
        <v>805.02759199999991</v>
      </c>
      <c r="S253">
        <v>1.4449481000000001E-9</v>
      </c>
      <c r="T253">
        <v>22.038509533017603</v>
      </c>
      <c r="U253">
        <v>100.934</v>
      </c>
      <c r="V253">
        <v>-520.06425437753398</v>
      </c>
      <c r="W253">
        <v>69.580995900000005</v>
      </c>
      <c r="X253">
        <v>96.873567499999993</v>
      </c>
      <c r="Y253">
        <v>177.97</v>
      </c>
      <c r="Z253">
        <v>259.95594699999998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2.7052118539407934</v>
      </c>
    </row>
    <row r="254" spans="1:40" x14ac:dyDescent="0.3">
      <c r="A254">
        <v>39</v>
      </c>
      <c r="B254">
        <v>10</v>
      </c>
      <c r="C254">
        <v>1</v>
      </c>
      <c r="D254">
        <v>21</v>
      </c>
      <c r="E254">
        <v>14</v>
      </c>
      <c r="F254">
        <v>0.3</v>
      </c>
      <c r="G254">
        <v>10</v>
      </c>
      <c r="H254">
        <v>7</v>
      </c>
      <c r="I254">
        <v>1.4</v>
      </c>
      <c r="J254">
        <v>327192359.27630669</v>
      </c>
      <c r="K254">
        <v>165430000</v>
      </c>
      <c r="L254">
        <v>79925726.24740465</v>
      </c>
      <c r="M254">
        <v>77595700</v>
      </c>
      <c r="N254">
        <v>15760859.52</v>
      </c>
      <c r="O254">
        <v>229.24270000000001</v>
      </c>
      <c r="P254">
        <v>2.6602667232751283</v>
      </c>
      <c r="Q254">
        <v>43.745027700000001</v>
      </c>
      <c r="R254">
        <v>801.81037499999991</v>
      </c>
      <c r="S254">
        <v>2.9528288400000001E-15</v>
      </c>
      <c r="T254">
        <v>21.440727085904065</v>
      </c>
      <c r="U254">
        <v>100.934</v>
      </c>
      <c r="V254">
        <v>-481.08718493491159</v>
      </c>
      <c r="W254">
        <v>69.580995900000005</v>
      </c>
      <c r="X254">
        <v>96.873567499999993</v>
      </c>
      <c r="Y254">
        <v>144.29</v>
      </c>
      <c r="Z254">
        <v>255.34037900000001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2.6602667232751283</v>
      </c>
    </row>
    <row r="255" spans="1:40" x14ac:dyDescent="0.3">
      <c r="A255">
        <v>27</v>
      </c>
      <c r="B255">
        <v>10</v>
      </c>
      <c r="C255">
        <v>1</v>
      </c>
      <c r="D255">
        <v>29</v>
      </c>
      <c r="E255">
        <v>5</v>
      </c>
      <c r="F255">
        <v>1.2</v>
      </c>
      <c r="G255">
        <v>29</v>
      </c>
      <c r="H255">
        <v>14</v>
      </c>
      <c r="I255">
        <v>1.4</v>
      </c>
      <c r="J255">
        <v>327193374.28181934</v>
      </c>
      <c r="K255">
        <v>165430000</v>
      </c>
      <c r="L255">
        <v>79925721.815007061</v>
      </c>
      <c r="M255">
        <v>77595700</v>
      </c>
      <c r="N255">
        <v>15759918.960000001</v>
      </c>
      <c r="O255">
        <v>225.46513899999999</v>
      </c>
      <c r="P255">
        <v>2.7048412810524831</v>
      </c>
      <c r="Q255">
        <v>44.082218599999997</v>
      </c>
      <c r="R255">
        <v>804.85024699999997</v>
      </c>
      <c r="S255">
        <v>1.4264710199999999E-9</v>
      </c>
      <c r="T255">
        <v>22.003220485709392</v>
      </c>
      <c r="U255">
        <v>91.850000000000009</v>
      </c>
      <c r="V255">
        <v>-515.87994081852764</v>
      </c>
      <c r="W255">
        <v>69.595135200000001</v>
      </c>
      <c r="X255">
        <v>97.136021</v>
      </c>
      <c r="Y255">
        <v>177.97</v>
      </c>
      <c r="Z255">
        <v>252.96165999999999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2.7048412810524831</v>
      </c>
    </row>
    <row r="256" spans="1:40" x14ac:dyDescent="0.3">
      <c r="A256">
        <v>30</v>
      </c>
      <c r="B256">
        <v>11</v>
      </c>
      <c r="C256">
        <v>11.840690575580702</v>
      </c>
      <c r="D256">
        <v>12</v>
      </c>
      <c r="E256">
        <v>10</v>
      </c>
      <c r="F256">
        <v>0.67561513101529114</v>
      </c>
      <c r="G256">
        <v>28</v>
      </c>
      <c r="H256">
        <v>14</v>
      </c>
      <c r="I256">
        <v>0.78901661845887405</v>
      </c>
      <c r="J256">
        <v>327192376.60370469</v>
      </c>
      <c r="K256">
        <v>165430000</v>
      </c>
      <c r="L256">
        <v>79925720.223452762</v>
      </c>
      <c r="M256">
        <v>77595700</v>
      </c>
      <c r="N256">
        <v>15759552</v>
      </c>
      <c r="O256">
        <v>229.025533</v>
      </c>
      <c r="P256">
        <v>2.6627892974995779</v>
      </c>
      <c r="Q256">
        <v>43.969918100000001</v>
      </c>
      <c r="R256">
        <v>804.44069400000001</v>
      </c>
      <c r="S256">
        <v>8.1939118499999994E-14</v>
      </c>
      <c r="T256">
        <v>21.960956756435586</v>
      </c>
      <c r="U256">
        <v>100.934</v>
      </c>
      <c r="V256">
        <v>-650.89006531006441</v>
      </c>
      <c r="W256">
        <v>69.220847899999995</v>
      </c>
      <c r="X256">
        <v>94.854338100000007</v>
      </c>
      <c r="Y256">
        <v>121.52199999999999</v>
      </c>
      <c r="Z256">
        <v>253.56813700000001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2.6627892974995779</v>
      </c>
    </row>
    <row r="257" spans="1:40" x14ac:dyDescent="0.3">
      <c r="A257">
        <v>27</v>
      </c>
      <c r="B257">
        <v>19</v>
      </c>
      <c r="C257">
        <v>1</v>
      </c>
      <c r="D257">
        <v>21</v>
      </c>
      <c r="E257">
        <v>14</v>
      </c>
      <c r="F257">
        <v>1.2</v>
      </c>
      <c r="G257">
        <v>29</v>
      </c>
      <c r="H257">
        <v>14</v>
      </c>
      <c r="I257">
        <v>1.4</v>
      </c>
      <c r="J257">
        <v>327192250.92343229</v>
      </c>
      <c r="K257">
        <v>165430000</v>
      </c>
      <c r="L257">
        <v>79925720.042458922</v>
      </c>
      <c r="M257">
        <v>77595700</v>
      </c>
      <c r="N257">
        <v>15759508.959999999</v>
      </c>
      <c r="O257">
        <v>223.64102700000001</v>
      </c>
      <c r="P257">
        <v>2.7268997150859957</v>
      </c>
      <c r="Q257">
        <v>44.166834899999998</v>
      </c>
      <c r="R257">
        <v>806.93581599999993</v>
      </c>
      <c r="S257">
        <v>1.1872740100000001E-9</v>
      </c>
      <c r="T257">
        <v>22.685967541917869</v>
      </c>
      <c r="U257">
        <v>68.709999999999994</v>
      </c>
      <c r="V257">
        <v>-543.45845099043265</v>
      </c>
      <c r="W257">
        <v>69.729894400000006</v>
      </c>
      <c r="X257">
        <v>98.485040699999999</v>
      </c>
      <c r="Y257">
        <v>177.97</v>
      </c>
      <c r="Z257">
        <v>252.58092600000001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2.7268997150859957</v>
      </c>
    </row>
    <row r="258" spans="1:40" x14ac:dyDescent="0.3">
      <c r="A258">
        <v>39</v>
      </c>
      <c r="B258">
        <v>10</v>
      </c>
      <c r="C258">
        <v>1</v>
      </c>
      <c r="D258">
        <v>29</v>
      </c>
      <c r="E258">
        <v>5</v>
      </c>
      <c r="F258">
        <v>1.2</v>
      </c>
      <c r="G258">
        <v>18</v>
      </c>
      <c r="H258">
        <v>14</v>
      </c>
      <c r="I258">
        <v>1.4</v>
      </c>
      <c r="J258">
        <v>327190876.27618182</v>
      </c>
      <c r="K258">
        <v>165430000</v>
      </c>
      <c r="L258">
        <v>79925720.28097634</v>
      </c>
      <c r="M258">
        <v>77595700</v>
      </c>
      <c r="N258">
        <v>15759530.24</v>
      </c>
      <c r="O258">
        <v>225.50438</v>
      </c>
      <c r="P258">
        <v>2.7043630798723748</v>
      </c>
      <c r="Q258">
        <v>44.082748700000003</v>
      </c>
      <c r="R258">
        <v>804.85340299999996</v>
      </c>
      <c r="S258">
        <v>1.4311569900000001E-9</v>
      </c>
      <c r="T258">
        <v>22.014522383510005</v>
      </c>
      <c r="U258">
        <v>100.934</v>
      </c>
      <c r="V258">
        <v>-516.51694242819337</v>
      </c>
      <c r="W258">
        <v>69.580995900000005</v>
      </c>
      <c r="X258">
        <v>96.873567499999993</v>
      </c>
      <c r="Y258">
        <v>177.97</v>
      </c>
      <c r="Z258">
        <v>253.57000099999999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2.7043630798723748</v>
      </c>
    </row>
    <row r="259" spans="1:40" x14ac:dyDescent="0.3">
      <c r="A259">
        <v>39</v>
      </c>
      <c r="B259">
        <v>19</v>
      </c>
      <c r="C259">
        <v>1</v>
      </c>
      <c r="D259">
        <v>15</v>
      </c>
      <c r="E259">
        <v>5</v>
      </c>
      <c r="F259">
        <v>1.2</v>
      </c>
      <c r="G259">
        <v>16</v>
      </c>
      <c r="H259">
        <v>14</v>
      </c>
      <c r="I259">
        <v>0.3</v>
      </c>
      <c r="J259">
        <v>327196104.84260941</v>
      </c>
      <c r="K259">
        <v>165430000</v>
      </c>
      <c r="L259">
        <v>79925781.227419034</v>
      </c>
      <c r="M259">
        <v>77595700</v>
      </c>
      <c r="N259">
        <v>15772929.359999999</v>
      </c>
      <c r="O259">
        <v>225.377534</v>
      </c>
      <c r="P259">
        <v>2.7059008865569485</v>
      </c>
      <c r="Q259">
        <v>44.058748999999999</v>
      </c>
      <c r="R259">
        <v>805.47585000000004</v>
      </c>
      <c r="S259">
        <v>1.4748785400000001E-9</v>
      </c>
      <c r="T259">
        <v>22.388435019151004</v>
      </c>
      <c r="U259">
        <v>91.850000000000009</v>
      </c>
      <c r="V259">
        <v>-526.53738217105365</v>
      </c>
      <c r="W259">
        <v>69.590642799999998</v>
      </c>
      <c r="X259">
        <v>96.618687899999998</v>
      </c>
      <c r="Y259">
        <v>177.97</v>
      </c>
      <c r="Z259">
        <v>274.81081999999998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2.7059008865569485</v>
      </c>
    </row>
    <row r="260" spans="1:40" x14ac:dyDescent="0.3">
      <c r="A260">
        <v>39</v>
      </c>
      <c r="B260">
        <v>10</v>
      </c>
      <c r="C260">
        <v>1</v>
      </c>
      <c r="D260">
        <v>22</v>
      </c>
      <c r="E260">
        <v>5</v>
      </c>
      <c r="F260">
        <v>0.3</v>
      </c>
      <c r="G260">
        <v>29</v>
      </c>
      <c r="H260">
        <v>7</v>
      </c>
      <c r="I260">
        <v>1.4</v>
      </c>
      <c r="J260">
        <v>327193290.54011905</v>
      </c>
      <c r="K260">
        <v>165430000</v>
      </c>
      <c r="L260">
        <v>79925721.70673947</v>
      </c>
      <c r="M260">
        <v>77595700</v>
      </c>
      <c r="N260">
        <v>15759893.120000001</v>
      </c>
      <c r="O260">
        <v>229.45763299999999</v>
      </c>
      <c r="P260">
        <v>2.6577776061908298</v>
      </c>
      <c r="Q260">
        <v>43.743516200000002</v>
      </c>
      <c r="R260">
        <v>801.69443100000001</v>
      </c>
      <c r="S260">
        <v>5.2399254999999997E-8</v>
      </c>
      <c r="T260">
        <v>21.58725068693338</v>
      </c>
      <c r="U260">
        <v>100.934</v>
      </c>
      <c r="V260">
        <v>-468.49878278649777</v>
      </c>
      <c r="W260">
        <v>69.580995900000005</v>
      </c>
      <c r="X260">
        <v>96.873567499999993</v>
      </c>
      <c r="Y260">
        <v>177.97</v>
      </c>
      <c r="Z260">
        <v>254.30141599999999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2.6577776061908298</v>
      </c>
    </row>
    <row r="261" spans="1:40" x14ac:dyDescent="0.3">
      <c r="A261">
        <v>39</v>
      </c>
      <c r="B261">
        <v>10</v>
      </c>
      <c r="C261">
        <v>1</v>
      </c>
      <c r="D261">
        <v>29</v>
      </c>
      <c r="E261">
        <v>14</v>
      </c>
      <c r="F261">
        <v>0.3</v>
      </c>
      <c r="G261">
        <v>16</v>
      </c>
      <c r="H261">
        <v>14</v>
      </c>
      <c r="I261">
        <v>1.4</v>
      </c>
      <c r="J261">
        <v>327184844.49370086</v>
      </c>
      <c r="K261">
        <v>165430000</v>
      </c>
      <c r="L261">
        <v>79925720.967355967</v>
      </c>
      <c r="M261">
        <v>77595700</v>
      </c>
      <c r="N261">
        <v>15759553.92</v>
      </c>
      <c r="O261">
        <v>229.33910700000001</v>
      </c>
      <c r="P261">
        <v>2.6591261860763615</v>
      </c>
      <c r="Q261">
        <v>43.759503899999999</v>
      </c>
      <c r="R261">
        <v>801.42464099999995</v>
      </c>
      <c r="S261">
        <v>2.6447209699999999E-15</v>
      </c>
      <c r="T261">
        <v>21.490907495153916</v>
      </c>
      <c r="U261">
        <v>100.934</v>
      </c>
      <c r="V261">
        <v>-472.3159749552845</v>
      </c>
      <c r="W261">
        <v>69.580995900000005</v>
      </c>
      <c r="X261">
        <v>96.873567499999993</v>
      </c>
      <c r="Y261">
        <v>170.55</v>
      </c>
      <c r="Z261">
        <v>257.51998200000003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2.6591261860763615</v>
      </c>
    </row>
    <row r="262" spans="1:40" x14ac:dyDescent="0.3">
      <c r="A262">
        <v>27</v>
      </c>
      <c r="B262">
        <v>19</v>
      </c>
      <c r="C262">
        <v>1</v>
      </c>
      <c r="D262">
        <v>29</v>
      </c>
      <c r="E262">
        <v>5</v>
      </c>
      <c r="F262">
        <v>1.2</v>
      </c>
      <c r="G262">
        <v>29</v>
      </c>
      <c r="H262">
        <v>14</v>
      </c>
      <c r="I262">
        <v>1.4</v>
      </c>
      <c r="J262">
        <v>327192240.08896744</v>
      </c>
      <c r="K262">
        <v>165430000</v>
      </c>
      <c r="L262">
        <v>79925720.03835009</v>
      </c>
      <c r="M262">
        <v>77595700</v>
      </c>
      <c r="N262">
        <v>15759507.68</v>
      </c>
      <c r="O262">
        <v>225.167337</v>
      </c>
      <c r="P262">
        <v>2.7084152327688957</v>
      </c>
      <c r="Q262">
        <v>44.062285099999997</v>
      </c>
      <c r="R262">
        <v>805.24077</v>
      </c>
      <c r="S262">
        <v>2.5958907E-9</v>
      </c>
      <c r="T262">
        <v>22.36375697591804</v>
      </c>
      <c r="U262">
        <v>68.709999999999994</v>
      </c>
      <c r="V262">
        <v>-518.95241746991042</v>
      </c>
      <c r="W262">
        <v>69.729894400000006</v>
      </c>
      <c r="X262">
        <v>98.485040699999999</v>
      </c>
      <c r="Y262">
        <v>177.97</v>
      </c>
      <c r="Z262">
        <v>253.061961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2.7084152327688957</v>
      </c>
    </row>
    <row r="263" spans="1:40" x14ac:dyDescent="0.3">
      <c r="A263">
        <v>39</v>
      </c>
      <c r="B263">
        <v>10</v>
      </c>
      <c r="C263">
        <v>1</v>
      </c>
      <c r="D263">
        <v>20</v>
      </c>
      <c r="E263">
        <v>14</v>
      </c>
      <c r="F263">
        <v>0.3</v>
      </c>
      <c r="G263">
        <v>20</v>
      </c>
      <c r="H263">
        <v>7</v>
      </c>
      <c r="I263">
        <v>1.4</v>
      </c>
      <c r="J263">
        <v>327193325.58584142</v>
      </c>
      <c r="K263">
        <v>165430000</v>
      </c>
      <c r="L263">
        <v>79925721.744129792</v>
      </c>
      <c r="M263">
        <v>77595700</v>
      </c>
      <c r="N263">
        <v>15759902.720000001</v>
      </c>
      <c r="O263">
        <v>229.24707799999999</v>
      </c>
      <c r="P263">
        <v>2.6602187808383841</v>
      </c>
      <c r="Q263">
        <v>43.738978799999998</v>
      </c>
      <c r="R263">
        <v>801.92661399999997</v>
      </c>
      <c r="S263">
        <v>3.1344767800000002E-15</v>
      </c>
      <c r="T263">
        <v>21.422276650922143</v>
      </c>
      <c r="U263">
        <v>100.934</v>
      </c>
      <c r="V263">
        <v>-482.65995154263533</v>
      </c>
      <c r="W263">
        <v>69.580995900000005</v>
      </c>
      <c r="X263">
        <v>96.873567499999993</v>
      </c>
      <c r="Y263">
        <v>144.29</v>
      </c>
      <c r="Z263">
        <v>254.126329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2.6602187808383841</v>
      </c>
    </row>
    <row r="264" spans="1:40" x14ac:dyDescent="0.3">
      <c r="A264">
        <v>27</v>
      </c>
      <c r="B264">
        <v>10</v>
      </c>
      <c r="C264">
        <v>1</v>
      </c>
      <c r="D264">
        <v>20</v>
      </c>
      <c r="E264">
        <v>14</v>
      </c>
      <c r="F264">
        <v>1.2</v>
      </c>
      <c r="G264">
        <v>10</v>
      </c>
      <c r="H264">
        <v>7</v>
      </c>
      <c r="I264">
        <v>1.4</v>
      </c>
      <c r="J264">
        <v>327192500.6593138</v>
      </c>
      <c r="K264">
        <v>165430000</v>
      </c>
      <c r="L264">
        <v>79925726.628703848</v>
      </c>
      <c r="M264">
        <v>77595700</v>
      </c>
      <c r="N264">
        <v>15760946.640000001</v>
      </c>
      <c r="O264">
        <v>223.62008399999999</v>
      </c>
      <c r="P264">
        <v>2.7271558593204102</v>
      </c>
      <c r="Q264">
        <v>44.193437099999997</v>
      </c>
      <c r="R264">
        <v>807.1175310000001</v>
      </c>
      <c r="S264">
        <v>3.4229093400000002E-14</v>
      </c>
      <c r="T264">
        <v>22.494633770726455</v>
      </c>
      <c r="U264">
        <v>91.850000000000009</v>
      </c>
      <c r="V264">
        <v>-547.68882721518048</v>
      </c>
      <c r="W264">
        <v>69.595135200000001</v>
      </c>
      <c r="X264">
        <v>97.136021</v>
      </c>
      <c r="Y264">
        <v>144.29</v>
      </c>
      <c r="Z264">
        <v>253.464033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2.7271558593204102</v>
      </c>
    </row>
    <row r="265" spans="1:40" x14ac:dyDescent="0.3">
      <c r="A265">
        <v>27</v>
      </c>
      <c r="B265">
        <v>10</v>
      </c>
      <c r="C265">
        <v>1</v>
      </c>
      <c r="D265">
        <v>22</v>
      </c>
      <c r="E265">
        <v>14</v>
      </c>
      <c r="F265">
        <v>1.2</v>
      </c>
      <c r="G265">
        <v>29</v>
      </c>
      <c r="H265">
        <v>14</v>
      </c>
      <c r="I265">
        <v>1.4</v>
      </c>
      <c r="J265">
        <v>327193411.04855669</v>
      </c>
      <c r="K265">
        <v>165430000</v>
      </c>
      <c r="L265">
        <v>79925721.861436814</v>
      </c>
      <c r="M265">
        <v>77595700</v>
      </c>
      <c r="N265">
        <v>15759930.08</v>
      </c>
      <c r="O265">
        <v>223.643517</v>
      </c>
      <c r="P265">
        <v>2.7268728758398311</v>
      </c>
      <c r="Q265">
        <v>44.202151000000001</v>
      </c>
      <c r="R265">
        <v>806.915885</v>
      </c>
      <c r="S265">
        <v>3.4234058799999998E-14</v>
      </c>
      <c r="T265">
        <v>22.464780378853508</v>
      </c>
      <c r="U265">
        <v>91.850000000000009</v>
      </c>
      <c r="V265">
        <v>-545.74459111651117</v>
      </c>
      <c r="W265">
        <v>69.595135200000001</v>
      </c>
      <c r="X265">
        <v>97.136021</v>
      </c>
      <c r="Y265">
        <v>165.7</v>
      </c>
      <c r="Z265">
        <v>252.389062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2.7268728758398311</v>
      </c>
    </row>
    <row r="266" spans="1:40" x14ac:dyDescent="0.3">
      <c r="A266">
        <v>27</v>
      </c>
      <c r="B266">
        <v>19</v>
      </c>
      <c r="C266">
        <v>8.18045111055301</v>
      </c>
      <c r="D266">
        <v>21</v>
      </c>
      <c r="E266">
        <v>5</v>
      </c>
      <c r="F266">
        <v>1.2</v>
      </c>
      <c r="G266">
        <v>29</v>
      </c>
      <c r="H266">
        <v>14</v>
      </c>
      <c r="I266">
        <v>1.4</v>
      </c>
      <c r="J266">
        <v>327192240.34547925</v>
      </c>
      <c r="K266">
        <v>165430000</v>
      </c>
      <c r="L266">
        <v>79925720.038555533</v>
      </c>
      <c r="M266">
        <v>77595700</v>
      </c>
      <c r="N266">
        <v>15759507.68</v>
      </c>
      <c r="O266">
        <v>227.88502099999999</v>
      </c>
      <c r="P266">
        <v>2.6761155382254889</v>
      </c>
      <c r="Q266">
        <v>44.152223200000002</v>
      </c>
      <c r="R266">
        <v>803.29224299999998</v>
      </c>
      <c r="S266">
        <v>1.57425807E-9</v>
      </c>
      <c r="T266">
        <v>22.17420332863108</v>
      </c>
      <c r="U266">
        <v>100.934</v>
      </c>
      <c r="V266">
        <v>-647.98213144831755</v>
      </c>
      <c r="W266">
        <v>69.223072900000005</v>
      </c>
      <c r="X266">
        <v>94.865485300000003</v>
      </c>
      <c r="Y266">
        <v>177.97</v>
      </c>
      <c r="Z266">
        <v>253.045951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2.6761155382254889</v>
      </c>
    </row>
    <row r="267" spans="1:40" x14ac:dyDescent="0.3">
      <c r="A267">
        <v>39</v>
      </c>
      <c r="B267">
        <v>10</v>
      </c>
      <c r="C267">
        <v>1</v>
      </c>
      <c r="D267">
        <v>10</v>
      </c>
      <c r="E267">
        <v>8</v>
      </c>
      <c r="F267">
        <v>1.2</v>
      </c>
      <c r="G267">
        <v>15</v>
      </c>
      <c r="H267">
        <v>7</v>
      </c>
      <c r="I267">
        <v>1.4</v>
      </c>
      <c r="J267">
        <v>327193542.60994524</v>
      </c>
      <c r="K267">
        <v>165430000</v>
      </c>
      <c r="L267">
        <v>79925722.214795977</v>
      </c>
      <c r="M267">
        <v>77595700</v>
      </c>
      <c r="N267">
        <v>15760011.119999999</v>
      </c>
      <c r="O267">
        <v>225.12692899999999</v>
      </c>
      <c r="P267">
        <v>2.7089052934926627</v>
      </c>
      <c r="Q267">
        <v>44.028055799999997</v>
      </c>
      <c r="R267">
        <v>806.960463</v>
      </c>
      <c r="S267">
        <v>8.3381909599999999E-13</v>
      </c>
      <c r="T267">
        <v>22.134475313902325</v>
      </c>
      <c r="U267">
        <v>100.934</v>
      </c>
      <c r="V267">
        <v>-537.34835786897327</v>
      </c>
      <c r="W267">
        <v>69.580995900000005</v>
      </c>
      <c r="X267">
        <v>96.873567499999993</v>
      </c>
      <c r="Y267">
        <v>121.52199999999999</v>
      </c>
      <c r="Z267">
        <v>252.88088300000001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2.7089052934926627</v>
      </c>
    </row>
    <row r="268" spans="1:40" x14ac:dyDescent="0.3">
      <c r="A268">
        <v>27</v>
      </c>
      <c r="B268">
        <v>19</v>
      </c>
      <c r="C268">
        <v>1</v>
      </c>
      <c r="D268">
        <v>10</v>
      </c>
      <c r="E268">
        <v>5</v>
      </c>
      <c r="F268">
        <v>1.2</v>
      </c>
      <c r="G268">
        <v>29</v>
      </c>
      <c r="H268">
        <v>14</v>
      </c>
      <c r="I268">
        <v>1.4</v>
      </c>
      <c r="J268">
        <v>327192237.74736536</v>
      </c>
      <c r="K268">
        <v>165430000</v>
      </c>
      <c r="L268">
        <v>79925720.037117437</v>
      </c>
      <c r="M268">
        <v>77595700</v>
      </c>
      <c r="N268">
        <v>15759507.279999999</v>
      </c>
      <c r="O268">
        <v>225.33517699999999</v>
      </c>
      <c r="P268">
        <v>2.7063978735250864</v>
      </c>
      <c r="Q268">
        <v>44.003743900000003</v>
      </c>
      <c r="R268">
        <v>805.68340499999999</v>
      </c>
      <c r="S268">
        <v>2.8706034999999999E-9</v>
      </c>
      <c r="T268">
        <v>22.36860089718116</v>
      </c>
      <c r="U268">
        <v>68.709999999999994</v>
      </c>
      <c r="V268">
        <v>-527.28230091258058</v>
      </c>
      <c r="W268">
        <v>69.729894400000006</v>
      </c>
      <c r="X268">
        <v>98.485040699999999</v>
      </c>
      <c r="Y268">
        <v>144.29</v>
      </c>
      <c r="Z268">
        <v>253.14541700000001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2.7063978735250864</v>
      </c>
    </row>
    <row r="269" spans="1:40" x14ac:dyDescent="0.3">
      <c r="A269">
        <v>27</v>
      </c>
      <c r="B269">
        <v>19</v>
      </c>
      <c r="C269">
        <v>1</v>
      </c>
      <c r="D269">
        <v>29</v>
      </c>
      <c r="E269">
        <v>14</v>
      </c>
      <c r="F269">
        <v>1.2</v>
      </c>
      <c r="G269">
        <v>18</v>
      </c>
      <c r="H269">
        <v>14</v>
      </c>
      <c r="I269">
        <v>0.3</v>
      </c>
      <c r="J269">
        <v>327200807.84043872</v>
      </c>
      <c r="K269">
        <v>165430000</v>
      </c>
      <c r="L269">
        <v>79925754.23653166</v>
      </c>
      <c r="M269">
        <v>77595700</v>
      </c>
      <c r="N269">
        <v>15767110.32</v>
      </c>
      <c r="O269">
        <v>225.167337</v>
      </c>
      <c r="P269">
        <v>2.7084410636112439</v>
      </c>
      <c r="Q269">
        <v>44.062285099999997</v>
      </c>
      <c r="R269">
        <v>805.24077</v>
      </c>
      <c r="S269">
        <v>2.5958907E-9</v>
      </c>
      <c r="T269">
        <v>22.36375697591804</v>
      </c>
      <c r="U269">
        <v>68.709999999999994</v>
      </c>
      <c r="V269">
        <v>-518.95241746991042</v>
      </c>
      <c r="W269">
        <v>69.729894400000006</v>
      </c>
      <c r="X269">
        <v>98.485040699999999</v>
      </c>
      <c r="Y269">
        <v>177.97</v>
      </c>
      <c r="Z269">
        <v>256.41841899999997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2.7084410636112439</v>
      </c>
    </row>
    <row r="270" spans="1:40" x14ac:dyDescent="0.3">
      <c r="A270">
        <v>39</v>
      </c>
      <c r="B270">
        <v>19</v>
      </c>
      <c r="C270">
        <v>1</v>
      </c>
      <c r="D270">
        <v>20</v>
      </c>
      <c r="E270">
        <v>5</v>
      </c>
      <c r="F270">
        <v>0.3</v>
      </c>
      <c r="G270">
        <v>29</v>
      </c>
      <c r="H270">
        <v>14</v>
      </c>
      <c r="I270">
        <v>1.4</v>
      </c>
      <c r="J270">
        <v>327192219.74891424</v>
      </c>
      <c r="K270">
        <v>165430000</v>
      </c>
      <c r="L270">
        <v>79925720.03033787</v>
      </c>
      <c r="M270">
        <v>77595700</v>
      </c>
      <c r="N270">
        <v>15759504.960000001</v>
      </c>
      <c r="O270">
        <v>229.403278</v>
      </c>
      <c r="P270">
        <v>2.6584041734785417</v>
      </c>
      <c r="Q270">
        <v>43.728977200000003</v>
      </c>
      <c r="R270">
        <v>802.07271900000001</v>
      </c>
      <c r="S270">
        <v>5.3000261799999999E-8</v>
      </c>
      <c r="T270">
        <v>21.912145291344643</v>
      </c>
      <c r="U270">
        <v>91.850000000000009</v>
      </c>
      <c r="V270">
        <v>-474.08114184138276</v>
      </c>
      <c r="W270">
        <v>69.590642799999998</v>
      </c>
      <c r="X270">
        <v>96.618687899999998</v>
      </c>
      <c r="Y270">
        <v>170.55</v>
      </c>
      <c r="Z270">
        <v>254.390231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2.6584041734785417</v>
      </c>
    </row>
    <row r="271" spans="1:40" x14ac:dyDescent="0.3">
      <c r="A271">
        <v>27</v>
      </c>
      <c r="B271">
        <v>10</v>
      </c>
      <c r="C271">
        <v>15</v>
      </c>
      <c r="D271">
        <v>29</v>
      </c>
      <c r="E271">
        <v>5</v>
      </c>
      <c r="F271">
        <v>0.3</v>
      </c>
      <c r="G271">
        <v>29</v>
      </c>
      <c r="H271">
        <v>14</v>
      </c>
      <c r="I271">
        <v>1.4</v>
      </c>
      <c r="J271">
        <v>327192219.74891424</v>
      </c>
      <c r="K271">
        <v>165430000</v>
      </c>
      <c r="L271">
        <v>79925720.03033787</v>
      </c>
      <c r="M271">
        <v>77595700</v>
      </c>
      <c r="N271">
        <v>15759504.960000001</v>
      </c>
      <c r="O271">
        <v>232.01577599999999</v>
      </c>
      <c r="P271">
        <v>2.6284705383346783</v>
      </c>
      <c r="Q271">
        <v>43.808899500000003</v>
      </c>
      <c r="R271">
        <v>799.97119199999997</v>
      </c>
      <c r="S271">
        <v>6.0032978000000005E-8</v>
      </c>
      <c r="T271">
        <v>21.745513784577899</v>
      </c>
      <c r="U271">
        <v>100.934</v>
      </c>
      <c r="V271">
        <v>-593.50203779913784</v>
      </c>
      <c r="W271">
        <v>69.222164800000002</v>
      </c>
      <c r="X271">
        <v>94.861836199999999</v>
      </c>
      <c r="Y271">
        <v>177.97</v>
      </c>
      <c r="Z271">
        <v>254.43526299999999</v>
      </c>
      <c r="AA271">
        <v>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101.62847053833468</v>
      </c>
    </row>
    <row r="272" spans="1:40" x14ac:dyDescent="0.3">
      <c r="A272">
        <v>39</v>
      </c>
      <c r="B272">
        <v>12</v>
      </c>
      <c r="C272">
        <v>14.064784366626384</v>
      </c>
      <c r="D272">
        <v>10</v>
      </c>
      <c r="E272">
        <v>6</v>
      </c>
      <c r="F272">
        <v>0.3</v>
      </c>
      <c r="G272">
        <v>23</v>
      </c>
      <c r="H272">
        <v>10</v>
      </c>
      <c r="I272">
        <v>0.3</v>
      </c>
      <c r="J272">
        <v>327204097.99805832</v>
      </c>
      <c r="K272">
        <v>165430000</v>
      </c>
      <c r="L272">
        <v>79925738.237373978</v>
      </c>
      <c r="M272">
        <v>77595700</v>
      </c>
      <c r="N272">
        <v>15763735.6</v>
      </c>
      <c r="O272">
        <v>231.88813300000001</v>
      </c>
      <c r="P272">
        <v>2.6299521556592498</v>
      </c>
      <c r="Q272">
        <v>43.771591200000003</v>
      </c>
      <c r="R272">
        <v>801.00464199999999</v>
      </c>
      <c r="S272">
        <v>1.0873893599999999E-8</v>
      </c>
      <c r="T272">
        <v>21.548165003313599</v>
      </c>
      <c r="U272">
        <v>100.934</v>
      </c>
      <c r="V272">
        <v>-613.28508523225707</v>
      </c>
      <c r="W272">
        <v>69.219282800000002</v>
      </c>
      <c r="X272">
        <v>94.840556699999993</v>
      </c>
      <c r="Y272">
        <v>121.52199999999999</v>
      </c>
      <c r="Z272">
        <v>253.40046599999999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2.6299521556592498</v>
      </c>
    </row>
    <row r="273" spans="1:40" x14ac:dyDescent="0.3">
      <c r="A273">
        <v>31</v>
      </c>
      <c r="B273">
        <v>10</v>
      </c>
      <c r="C273">
        <v>1</v>
      </c>
      <c r="D273">
        <v>29</v>
      </c>
      <c r="E273">
        <v>14</v>
      </c>
      <c r="F273">
        <v>1.2</v>
      </c>
      <c r="G273">
        <v>18</v>
      </c>
      <c r="H273">
        <v>7</v>
      </c>
      <c r="I273">
        <v>1.4</v>
      </c>
      <c r="J273">
        <v>327193463.08443612</v>
      </c>
      <c r="K273">
        <v>165430000</v>
      </c>
      <c r="L273">
        <v>79925721.944229692</v>
      </c>
      <c r="M273">
        <v>77595700</v>
      </c>
      <c r="N273">
        <v>15759950.16</v>
      </c>
      <c r="O273">
        <v>224.978497</v>
      </c>
      <c r="P273">
        <v>2.7106922831364968</v>
      </c>
      <c r="Q273">
        <v>44.120286100000001</v>
      </c>
      <c r="R273">
        <v>805.37005599999998</v>
      </c>
      <c r="S273">
        <v>7.5657112400000001E-11</v>
      </c>
      <c r="T273">
        <v>22.076504730958138</v>
      </c>
      <c r="U273">
        <v>91.850000000000009</v>
      </c>
      <c r="V273">
        <v>-523.43616885693973</v>
      </c>
      <c r="W273">
        <v>69.586845499999995</v>
      </c>
      <c r="X273">
        <v>96.924593299999998</v>
      </c>
      <c r="Y273">
        <v>177.97</v>
      </c>
      <c r="Z273">
        <v>252.79745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2.7106922831364968</v>
      </c>
    </row>
    <row r="274" spans="1:40" x14ac:dyDescent="0.3">
      <c r="A274">
        <v>39</v>
      </c>
      <c r="B274">
        <v>10</v>
      </c>
      <c r="C274">
        <v>9.4343679156692719</v>
      </c>
      <c r="D274">
        <v>10</v>
      </c>
      <c r="E274">
        <v>8</v>
      </c>
      <c r="F274">
        <v>0.38146466011777663</v>
      </c>
      <c r="G274">
        <v>24</v>
      </c>
      <c r="H274">
        <v>14</v>
      </c>
      <c r="I274">
        <v>1.4</v>
      </c>
      <c r="J274">
        <v>327192218.3790158</v>
      </c>
      <c r="K274">
        <v>165430000</v>
      </c>
      <c r="L274">
        <v>79925720.03341949</v>
      </c>
      <c r="M274">
        <v>77595700</v>
      </c>
      <c r="N274">
        <v>15759506.32</v>
      </c>
      <c r="O274">
        <v>231.66672399999999</v>
      </c>
      <c r="P274">
        <v>2.6324308480094687</v>
      </c>
      <c r="Q274">
        <v>43.7633984</v>
      </c>
      <c r="R274">
        <v>802.19064100000003</v>
      </c>
      <c r="S274">
        <v>1.28205197E-10</v>
      </c>
      <c r="T274">
        <v>21.381230400442909</v>
      </c>
      <c r="U274">
        <v>100.934</v>
      </c>
      <c r="V274">
        <v>-623.38154302574048</v>
      </c>
      <c r="W274">
        <v>69.221658700000006</v>
      </c>
      <c r="X274">
        <v>94.855427199999994</v>
      </c>
      <c r="Y274">
        <v>121.52199999999999</v>
      </c>
      <c r="Z274">
        <v>254.20962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2.6324308480094687</v>
      </c>
    </row>
    <row r="275" spans="1:40" x14ac:dyDescent="0.3">
      <c r="A275">
        <v>27</v>
      </c>
      <c r="B275">
        <v>19</v>
      </c>
      <c r="C275">
        <v>15</v>
      </c>
      <c r="D275">
        <v>23</v>
      </c>
      <c r="E275">
        <v>14</v>
      </c>
      <c r="F275">
        <v>1.2</v>
      </c>
      <c r="G275">
        <v>29</v>
      </c>
      <c r="H275">
        <v>14</v>
      </c>
      <c r="I275">
        <v>1.4</v>
      </c>
      <c r="J275">
        <v>327192246.04905474</v>
      </c>
      <c r="K275">
        <v>165430000</v>
      </c>
      <c r="L275">
        <v>79925720.03341949</v>
      </c>
      <c r="M275">
        <v>77595700</v>
      </c>
      <c r="N275">
        <v>15759506.32</v>
      </c>
      <c r="O275">
        <v>226.762012</v>
      </c>
      <c r="P275">
        <v>2.6893686650603681</v>
      </c>
      <c r="Q275">
        <v>44.237693700000001</v>
      </c>
      <c r="R275">
        <v>804.43089700000007</v>
      </c>
      <c r="S275">
        <v>2.3658889700000001E-12</v>
      </c>
      <c r="T275">
        <v>22.36594375660372</v>
      </c>
      <c r="U275">
        <v>100.934</v>
      </c>
      <c r="V275">
        <v>-664.99046324310507</v>
      </c>
      <c r="W275">
        <v>69.221072300000003</v>
      </c>
      <c r="X275">
        <v>94.855427199999994</v>
      </c>
      <c r="Y275">
        <v>177.97</v>
      </c>
      <c r="Z275">
        <v>252.690392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2.6893686650603681</v>
      </c>
    </row>
    <row r="276" spans="1:40" x14ac:dyDescent="0.3">
      <c r="A276">
        <v>27</v>
      </c>
      <c r="B276">
        <v>10</v>
      </c>
      <c r="C276">
        <v>1</v>
      </c>
      <c r="D276">
        <v>17</v>
      </c>
      <c r="E276">
        <v>5</v>
      </c>
      <c r="F276">
        <v>1.2</v>
      </c>
      <c r="G276">
        <v>29</v>
      </c>
      <c r="H276">
        <v>14</v>
      </c>
      <c r="I276">
        <v>0.3</v>
      </c>
      <c r="J276">
        <v>327206169.58975047</v>
      </c>
      <c r="K276">
        <v>165430000</v>
      </c>
      <c r="L276">
        <v>79925741.327417642</v>
      </c>
      <c r="M276">
        <v>77595700</v>
      </c>
      <c r="N276">
        <v>15764456.48</v>
      </c>
      <c r="O276">
        <v>225.384308</v>
      </c>
      <c r="P276">
        <v>2.7058498747205739</v>
      </c>
      <c r="Q276">
        <v>44.076229300000001</v>
      </c>
      <c r="R276">
        <v>805.06203300000004</v>
      </c>
      <c r="S276">
        <v>1.4484871300000001E-9</v>
      </c>
      <c r="T276">
        <v>22.02939220735934</v>
      </c>
      <c r="U276">
        <v>91.850000000000009</v>
      </c>
      <c r="V276">
        <v>-520.19907310982467</v>
      </c>
      <c r="W276">
        <v>69.595135200000001</v>
      </c>
      <c r="X276">
        <v>97.136021</v>
      </c>
      <c r="Y276">
        <v>177.97</v>
      </c>
      <c r="Z276">
        <v>251.862188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2.7058498747205739</v>
      </c>
    </row>
    <row r="277" spans="1:40" x14ac:dyDescent="0.3">
      <c r="A277">
        <v>30</v>
      </c>
      <c r="B277">
        <v>10</v>
      </c>
      <c r="C277">
        <v>1</v>
      </c>
      <c r="D277">
        <v>22</v>
      </c>
      <c r="E277">
        <v>14</v>
      </c>
      <c r="F277">
        <v>1.2</v>
      </c>
      <c r="G277">
        <v>16</v>
      </c>
      <c r="H277">
        <v>14</v>
      </c>
      <c r="I277">
        <v>0.3</v>
      </c>
      <c r="J277">
        <v>327196418.06625658</v>
      </c>
      <c r="K277">
        <v>165430000</v>
      </c>
      <c r="L277">
        <v>79925782.050211728</v>
      </c>
      <c r="M277">
        <v>77595700</v>
      </c>
      <c r="N277">
        <v>15773116.959999999</v>
      </c>
      <c r="O277">
        <v>223.64317800000001</v>
      </c>
      <c r="P277">
        <v>2.7268861368715496</v>
      </c>
      <c r="Q277">
        <v>44.204390500000002</v>
      </c>
      <c r="R277">
        <v>806.95030799999995</v>
      </c>
      <c r="S277">
        <v>3.5422385100000002E-21</v>
      </c>
      <c r="T277">
        <v>22.475661580263182</v>
      </c>
      <c r="U277">
        <v>91.850000000000009</v>
      </c>
      <c r="V277">
        <v>-546.85381871380537</v>
      </c>
      <c r="W277">
        <v>69.5863722</v>
      </c>
      <c r="X277">
        <v>96.889544400000005</v>
      </c>
      <c r="Y277">
        <v>165.7</v>
      </c>
      <c r="Z277">
        <v>266.90564499999999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2.7268861368715496</v>
      </c>
    </row>
    <row r="278" spans="1:40" x14ac:dyDescent="0.3">
      <c r="A278">
        <v>39</v>
      </c>
      <c r="B278">
        <v>10</v>
      </c>
      <c r="C278">
        <v>15</v>
      </c>
      <c r="D278">
        <v>21</v>
      </c>
      <c r="E278">
        <v>5</v>
      </c>
      <c r="F278">
        <v>1.2</v>
      </c>
      <c r="G278">
        <v>29</v>
      </c>
      <c r="H278">
        <v>7</v>
      </c>
      <c r="I278">
        <v>0.3</v>
      </c>
      <c r="J278">
        <v>327207639.97475624</v>
      </c>
      <c r="K278">
        <v>165430000</v>
      </c>
      <c r="L278">
        <v>79925742.613069743</v>
      </c>
      <c r="M278">
        <v>77595700</v>
      </c>
      <c r="N278">
        <v>15764766</v>
      </c>
      <c r="O278">
        <v>227.88829200000001</v>
      </c>
      <c r="P278">
        <v>2.6761230004048566</v>
      </c>
      <c r="Q278">
        <v>44.153260899999999</v>
      </c>
      <c r="R278">
        <v>803.29774899999995</v>
      </c>
      <c r="S278">
        <v>1.5666377E-9</v>
      </c>
      <c r="T278">
        <v>22.169695194380861</v>
      </c>
      <c r="U278">
        <v>100.934</v>
      </c>
      <c r="V278">
        <v>-648.44936416269991</v>
      </c>
      <c r="W278">
        <v>69.220162599999995</v>
      </c>
      <c r="X278">
        <v>94.847148799999999</v>
      </c>
      <c r="Y278">
        <v>177.97</v>
      </c>
      <c r="Z278">
        <v>251.73640800000001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2.6761230004048566</v>
      </c>
    </row>
    <row r="279" spans="1:40" x14ac:dyDescent="0.3">
      <c r="A279">
        <v>27</v>
      </c>
      <c r="B279">
        <v>19</v>
      </c>
      <c r="C279">
        <v>1</v>
      </c>
      <c r="D279">
        <v>24</v>
      </c>
      <c r="E279">
        <v>14</v>
      </c>
      <c r="F279">
        <v>1.2</v>
      </c>
      <c r="G279">
        <v>10</v>
      </c>
      <c r="H279">
        <v>7</v>
      </c>
      <c r="I279">
        <v>0.3</v>
      </c>
      <c r="J279">
        <v>327199750.82738477</v>
      </c>
      <c r="K279">
        <v>165430000</v>
      </c>
      <c r="L279">
        <v>79925764.977417439</v>
      </c>
      <c r="M279">
        <v>77595700</v>
      </c>
      <c r="N279">
        <v>15769428.560000001</v>
      </c>
      <c r="O279">
        <v>223.339035</v>
      </c>
      <c r="P279">
        <v>2.7306097393859696</v>
      </c>
      <c r="Q279">
        <v>44.189269699999997</v>
      </c>
      <c r="R279">
        <v>807.22922600000004</v>
      </c>
      <c r="S279">
        <v>1.18844675E-9</v>
      </c>
      <c r="T279">
        <v>22.803253198600029</v>
      </c>
      <c r="U279">
        <v>68.709999999999994</v>
      </c>
      <c r="V279">
        <v>-547.83303325494671</v>
      </c>
      <c r="W279">
        <v>69.729894400000006</v>
      </c>
      <c r="X279">
        <v>98.485040699999999</v>
      </c>
      <c r="Y279">
        <v>177.97</v>
      </c>
      <c r="Z279">
        <v>259.26421399999998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2.7306097393859696</v>
      </c>
    </row>
    <row r="280" spans="1:40" x14ac:dyDescent="0.3">
      <c r="A280">
        <v>27</v>
      </c>
      <c r="B280">
        <v>10</v>
      </c>
      <c r="C280">
        <v>15</v>
      </c>
      <c r="D280">
        <v>17</v>
      </c>
      <c r="E280">
        <v>5</v>
      </c>
      <c r="F280">
        <v>1.2</v>
      </c>
      <c r="G280">
        <v>10</v>
      </c>
      <c r="H280">
        <v>7</v>
      </c>
      <c r="I280">
        <v>1.4</v>
      </c>
      <c r="J280">
        <v>327192455.34167969</v>
      </c>
      <c r="K280">
        <v>165430000</v>
      </c>
      <c r="L280">
        <v>79925726.517560065</v>
      </c>
      <c r="M280">
        <v>77595700</v>
      </c>
      <c r="N280">
        <v>15760921.120000001</v>
      </c>
      <c r="O280">
        <v>227.83800600000001</v>
      </c>
      <c r="P280">
        <v>2.676668402629077</v>
      </c>
      <c r="Q280">
        <v>44.148355899999999</v>
      </c>
      <c r="R280">
        <v>803.42221199999994</v>
      </c>
      <c r="S280">
        <v>1.588692E-9</v>
      </c>
      <c r="T280">
        <v>22.187202117914744</v>
      </c>
      <c r="U280">
        <v>100.934</v>
      </c>
      <c r="V280">
        <v>-650.16589742067686</v>
      </c>
      <c r="W280">
        <v>69.222164800000002</v>
      </c>
      <c r="X280">
        <v>94.861836199999999</v>
      </c>
      <c r="Y280">
        <v>177.97</v>
      </c>
      <c r="Z280">
        <v>254.057288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2.676668402629077</v>
      </c>
    </row>
    <row r="281" spans="1:40" x14ac:dyDescent="0.3">
      <c r="A281">
        <v>27</v>
      </c>
      <c r="B281">
        <v>19</v>
      </c>
      <c r="C281">
        <v>1</v>
      </c>
      <c r="D281">
        <v>10</v>
      </c>
      <c r="E281">
        <v>5</v>
      </c>
      <c r="F281">
        <v>1.2</v>
      </c>
      <c r="G281">
        <v>10</v>
      </c>
      <c r="H281">
        <v>7</v>
      </c>
      <c r="I281">
        <v>0.3</v>
      </c>
      <c r="J281">
        <v>327199370.26502073</v>
      </c>
      <c r="K281">
        <v>165430000</v>
      </c>
      <c r="L281">
        <v>79925763.723197863</v>
      </c>
      <c r="M281">
        <v>77595700</v>
      </c>
      <c r="N281">
        <v>15769147.119999999</v>
      </c>
      <c r="O281">
        <v>225.33517699999999</v>
      </c>
      <c r="P281">
        <v>2.7064193612759957</v>
      </c>
      <c r="Q281">
        <v>44.003743900000003</v>
      </c>
      <c r="R281">
        <v>805.68340499999999</v>
      </c>
      <c r="S281">
        <v>2.8706034999999999E-9</v>
      </c>
      <c r="T281">
        <v>22.36860089718116</v>
      </c>
      <c r="U281">
        <v>68.709999999999994</v>
      </c>
      <c r="V281">
        <v>-527.28230091258058</v>
      </c>
      <c r="W281">
        <v>69.729894400000006</v>
      </c>
      <c r="X281">
        <v>98.485040699999999</v>
      </c>
      <c r="Y281">
        <v>144.29</v>
      </c>
      <c r="Z281">
        <v>260.02842199999998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2.7064193612759957</v>
      </c>
    </row>
    <row r="282" spans="1:40" x14ac:dyDescent="0.3">
      <c r="A282">
        <v>39</v>
      </c>
      <c r="B282">
        <v>19</v>
      </c>
      <c r="C282">
        <v>1</v>
      </c>
      <c r="D282">
        <v>18</v>
      </c>
      <c r="E282">
        <v>14</v>
      </c>
      <c r="F282">
        <v>1.2</v>
      </c>
      <c r="G282">
        <v>21</v>
      </c>
      <c r="H282">
        <v>7</v>
      </c>
      <c r="I282">
        <v>1.4</v>
      </c>
      <c r="J282">
        <v>327193405.39348972</v>
      </c>
      <c r="K282">
        <v>165430000</v>
      </c>
      <c r="L282">
        <v>79925721.846028715</v>
      </c>
      <c r="M282">
        <v>77595700</v>
      </c>
      <c r="N282">
        <v>15759926.960000001</v>
      </c>
      <c r="O282">
        <v>225.39511899999999</v>
      </c>
      <c r="P282">
        <v>2.7056816457758028</v>
      </c>
      <c r="Q282">
        <v>44.065422900000002</v>
      </c>
      <c r="R282">
        <v>805.36418700000002</v>
      </c>
      <c r="S282">
        <v>1.4541175300000001E-9</v>
      </c>
      <c r="T282">
        <v>22.375605010892389</v>
      </c>
      <c r="U282">
        <v>91.850000000000009</v>
      </c>
      <c r="V282">
        <v>-524.32326296464248</v>
      </c>
      <c r="W282">
        <v>69.590642799999998</v>
      </c>
      <c r="X282">
        <v>96.618687899999998</v>
      </c>
      <c r="Y282">
        <v>177.97</v>
      </c>
      <c r="Z282">
        <v>252.93696299999999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2.7056816457758028</v>
      </c>
    </row>
    <row r="283" spans="1:40" x14ac:dyDescent="0.3">
      <c r="A283">
        <v>33</v>
      </c>
      <c r="B283">
        <v>10</v>
      </c>
      <c r="C283">
        <v>1</v>
      </c>
      <c r="D283">
        <v>29</v>
      </c>
      <c r="E283">
        <v>5</v>
      </c>
      <c r="F283">
        <v>0.3</v>
      </c>
      <c r="G283">
        <v>29</v>
      </c>
      <c r="H283">
        <v>7</v>
      </c>
      <c r="I283">
        <v>0.3</v>
      </c>
      <c r="J283">
        <v>327206183.91916078</v>
      </c>
      <c r="K283">
        <v>165430000</v>
      </c>
      <c r="L283">
        <v>79925740.549616605</v>
      </c>
      <c r="M283">
        <v>77595700</v>
      </c>
      <c r="N283">
        <v>15764284.560000001</v>
      </c>
      <c r="O283">
        <v>229.49349699999999</v>
      </c>
      <c r="P283">
        <v>2.6574004024757918</v>
      </c>
      <c r="Q283">
        <v>43.746270199999998</v>
      </c>
      <c r="R283">
        <v>801.57598799999994</v>
      </c>
      <c r="S283">
        <v>5.2065651599999999E-8</v>
      </c>
      <c r="T283">
        <v>21.598693025839999</v>
      </c>
      <c r="U283">
        <v>100.934</v>
      </c>
      <c r="V283">
        <v>-464.57194148092418</v>
      </c>
      <c r="W283">
        <v>69.584751499999996</v>
      </c>
      <c r="X283">
        <v>96.888140800000002</v>
      </c>
      <c r="Y283">
        <v>177.97</v>
      </c>
      <c r="Z283">
        <v>253.187612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2.6574004024757918</v>
      </c>
    </row>
    <row r="284" spans="1:40" x14ac:dyDescent="0.3">
      <c r="A284">
        <v>31</v>
      </c>
      <c r="B284">
        <v>10</v>
      </c>
      <c r="C284">
        <v>15</v>
      </c>
      <c r="D284">
        <v>22</v>
      </c>
      <c r="E284">
        <v>14</v>
      </c>
      <c r="F284">
        <v>1.2</v>
      </c>
      <c r="G284">
        <v>16</v>
      </c>
      <c r="H284">
        <v>14</v>
      </c>
      <c r="I284">
        <v>0.3</v>
      </c>
      <c r="J284">
        <v>327196430.56808484</v>
      </c>
      <c r="K284">
        <v>165430000</v>
      </c>
      <c r="L284">
        <v>79925782.071166754</v>
      </c>
      <c r="M284">
        <v>77595700</v>
      </c>
      <c r="N284">
        <v>15773121.76</v>
      </c>
      <c r="O284">
        <v>226.000122</v>
      </c>
      <c r="P284">
        <v>2.6984476149133521</v>
      </c>
      <c r="Q284">
        <v>44.281438299999998</v>
      </c>
      <c r="R284">
        <v>805.36931300000003</v>
      </c>
      <c r="S284">
        <v>4.41781288E-21</v>
      </c>
      <c r="T284">
        <v>22.631426208193474</v>
      </c>
      <c r="U284">
        <v>100.934</v>
      </c>
      <c r="V284">
        <v>-678.16585087459509</v>
      </c>
      <c r="W284">
        <v>69.220714599999994</v>
      </c>
      <c r="X284">
        <v>94.8529616</v>
      </c>
      <c r="Y284">
        <v>165.7</v>
      </c>
      <c r="Z284">
        <v>266.86470200000002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2.6984476149133521</v>
      </c>
    </row>
    <row r="285" spans="1:40" x14ac:dyDescent="0.3">
      <c r="A285">
        <v>27</v>
      </c>
      <c r="B285">
        <v>19</v>
      </c>
      <c r="C285">
        <v>1</v>
      </c>
      <c r="D285">
        <v>17</v>
      </c>
      <c r="E285">
        <v>5</v>
      </c>
      <c r="F285">
        <v>1.2</v>
      </c>
      <c r="G285">
        <v>20</v>
      </c>
      <c r="H285">
        <v>7</v>
      </c>
      <c r="I285">
        <v>1.4</v>
      </c>
      <c r="J285">
        <v>327193416.8765313</v>
      </c>
      <c r="K285">
        <v>165430000</v>
      </c>
      <c r="L285">
        <v>79925721.862464026</v>
      </c>
      <c r="M285">
        <v>77595700</v>
      </c>
      <c r="N285">
        <v>15759930.959999999</v>
      </c>
      <c r="O285">
        <v>225.07545099999999</v>
      </c>
      <c r="P285">
        <v>2.709524479953501</v>
      </c>
      <c r="Q285">
        <v>44.057084400000001</v>
      </c>
      <c r="R285">
        <v>805.46649600000001</v>
      </c>
      <c r="S285">
        <v>2.6179553500000001E-9</v>
      </c>
      <c r="T285">
        <v>22.389100589271994</v>
      </c>
      <c r="U285">
        <v>68.709999999999994</v>
      </c>
      <c r="V285">
        <v>-523.45736683403618</v>
      </c>
      <c r="W285">
        <v>69.729894400000006</v>
      </c>
      <c r="X285">
        <v>98.485040699999999</v>
      </c>
      <c r="Y285">
        <v>177.97</v>
      </c>
      <c r="Z285">
        <v>252.930914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2.709524479953501</v>
      </c>
    </row>
    <row r="286" spans="1:40" x14ac:dyDescent="0.3">
      <c r="A286">
        <v>39</v>
      </c>
      <c r="B286">
        <v>19</v>
      </c>
      <c r="C286">
        <v>1</v>
      </c>
      <c r="D286">
        <v>18</v>
      </c>
      <c r="E286">
        <v>5</v>
      </c>
      <c r="F286">
        <v>1.2</v>
      </c>
      <c r="G286">
        <v>10</v>
      </c>
      <c r="H286">
        <v>7</v>
      </c>
      <c r="I286">
        <v>0.3</v>
      </c>
      <c r="J286">
        <v>327199471.73649168</v>
      </c>
      <c r="K286">
        <v>165430000</v>
      </c>
      <c r="L286">
        <v>79925764.138394877</v>
      </c>
      <c r="M286">
        <v>77595700</v>
      </c>
      <c r="N286">
        <v>15769239.68</v>
      </c>
      <c r="O286">
        <v>225.39511899999999</v>
      </c>
      <c r="P286">
        <v>2.705699916659603</v>
      </c>
      <c r="Q286">
        <v>44.065422900000002</v>
      </c>
      <c r="R286">
        <v>805.36418700000002</v>
      </c>
      <c r="S286">
        <v>1.4541175300000001E-9</v>
      </c>
      <c r="T286">
        <v>22.375605010892389</v>
      </c>
      <c r="U286">
        <v>91.850000000000009</v>
      </c>
      <c r="V286">
        <v>-524.32326296464248</v>
      </c>
      <c r="W286">
        <v>69.590642799999998</v>
      </c>
      <c r="X286">
        <v>96.618687899999998</v>
      </c>
      <c r="Y286">
        <v>177.97</v>
      </c>
      <c r="Z286">
        <v>259.95779399999998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2.705699916659603</v>
      </c>
    </row>
    <row r="287" spans="1:40" x14ac:dyDescent="0.3">
      <c r="A287">
        <v>39</v>
      </c>
      <c r="B287">
        <v>10</v>
      </c>
      <c r="C287">
        <v>1</v>
      </c>
      <c r="D287">
        <v>21</v>
      </c>
      <c r="E287">
        <v>5</v>
      </c>
      <c r="F287">
        <v>1.2</v>
      </c>
      <c r="G287">
        <v>19</v>
      </c>
      <c r="H287">
        <v>7</v>
      </c>
      <c r="I287">
        <v>1.4</v>
      </c>
      <c r="J287">
        <v>327193431.90916634</v>
      </c>
      <c r="K287">
        <v>165430000</v>
      </c>
      <c r="L287">
        <v>79925721.888760522</v>
      </c>
      <c r="M287">
        <v>77595700</v>
      </c>
      <c r="N287">
        <v>15759937.200000001</v>
      </c>
      <c r="O287">
        <v>225.45677499999999</v>
      </c>
      <c r="P287">
        <v>2.7049417988262094</v>
      </c>
      <c r="Q287">
        <v>44.081196900000002</v>
      </c>
      <c r="R287">
        <v>804.95542799999998</v>
      </c>
      <c r="S287">
        <v>1.44153059E-9</v>
      </c>
      <c r="T287">
        <v>22.026415836770489</v>
      </c>
      <c r="U287">
        <v>100.934</v>
      </c>
      <c r="V287">
        <v>-518.57975351654147</v>
      </c>
      <c r="W287">
        <v>69.580995900000005</v>
      </c>
      <c r="X287">
        <v>96.873567499999993</v>
      </c>
      <c r="Y287">
        <v>177.97</v>
      </c>
      <c r="Z287">
        <v>252.941024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2.7049417988262094</v>
      </c>
    </row>
    <row r="288" spans="1:40" x14ac:dyDescent="0.3">
      <c r="A288">
        <v>39</v>
      </c>
      <c r="B288">
        <v>10</v>
      </c>
      <c r="C288">
        <v>1</v>
      </c>
      <c r="D288">
        <v>29</v>
      </c>
      <c r="E288">
        <v>14</v>
      </c>
      <c r="F288">
        <v>1.2</v>
      </c>
      <c r="G288">
        <v>24</v>
      </c>
      <c r="H288">
        <v>14</v>
      </c>
      <c r="I288">
        <v>0.3</v>
      </c>
      <c r="J288">
        <v>327206331.91594988</v>
      </c>
      <c r="K288">
        <v>165430000</v>
      </c>
      <c r="L288">
        <v>79925743.019432783</v>
      </c>
      <c r="M288">
        <v>77595700</v>
      </c>
      <c r="N288">
        <v>15764819.92</v>
      </c>
      <c r="O288">
        <v>223.72901999999999</v>
      </c>
      <c r="P288">
        <v>2.7258699464278497</v>
      </c>
      <c r="Q288">
        <v>44.214479500000003</v>
      </c>
      <c r="R288">
        <v>806.66996400000005</v>
      </c>
      <c r="S288">
        <v>2.9803236499999999E-21</v>
      </c>
      <c r="T288">
        <v>22.404147596766595</v>
      </c>
      <c r="U288">
        <v>100.934</v>
      </c>
      <c r="V288">
        <v>-542.86021460785457</v>
      </c>
      <c r="W288">
        <v>69.580995900000005</v>
      </c>
      <c r="X288">
        <v>96.873567499999993</v>
      </c>
      <c r="Y288">
        <v>177.97</v>
      </c>
      <c r="Z288">
        <v>251.475548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2.7258699464278497</v>
      </c>
    </row>
    <row r="289" spans="1:40" x14ac:dyDescent="0.3">
      <c r="A289">
        <v>39</v>
      </c>
      <c r="B289">
        <v>10</v>
      </c>
      <c r="C289">
        <v>1</v>
      </c>
      <c r="D289">
        <v>17</v>
      </c>
      <c r="E289">
        <v>5</v>
      </c>
      <c r="F289">
        <v>1.2</v>
      </c>
      <c r="G289">
        <v>29</v>
      </c>
      <c r="H289">
        <v>14</v>
      </c>
      <c r="I289">
        <v>0.3</v>
      </c>
      <c r="J289">
        <v>327206167.94045329</v>
      </c>
      <c r="K289">
        <v>165430000</v>
      </c>
      <c r="L289">
        <v>79925741.325157791</v>
      </c>
      <c r="M289">
        <v>77595700</v>
      </c>
      <c r="N289">
        <v>15764455.92</v>
      </c>
      <c r="O289">
        <v>225.425622</v>
      </c>
      <c r="P289">
        <v>2.7053539656913945</v>
      </c>
      <c r="Q289">
        <v>44.076625</v>
      </c>
      <c r="R289">
        <v>805.06362300000001</v>
      </c>
      <c r="S289">
        <v>1.45271198E-9</v>
      </c>
      <c r="T289">
        <v>22.043119265315635</v>
      </c>
      <c r="U289">
        <v>100.934</v>
      </c>
      <c r="V289">
        <v>-520.75813884909167</v>
      </c>
      <c r="W289">
        <v>69.580995900000005</v>
      </c>
      <c r="X289">
        <v>96.873567499999993</v>
      </c>
      <c r="Y289">
        <v>177.97</v>
      </c>
      <c r="Z289">
        <v>251.863528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2.7053539656913945</v>
      </c>
    </row>
    <row r="290" spans="1:40" x14ac:dyDescent="0.3">
      <c r="A290">
        <v>32</v>
      </c>
      <c r="B290">
        <v>19</v>
      </c>
      <c r="C290">
        <v>15</v>
      </c>
      <c r="D290">
        <v>29</v>
      </c>
      <c r="E290">
        <v>14</v>
      </c>
      <c r="F290">
        <v>1.2</v>
      </c>
      <c r="G290">
        <v>21</v>
      </c>
      <c r="H290">
        <v>14</v>
      </c>
      <c r="I290">
        <v>0.3</v>
      </c>
      <c r="J290">
        <v>327205009.00657094</v>
      </c>
      <c r="K290">
        <v>165430000</v>
      </c>
      <c r="L290">
        <v>79925745.237377822</v>
      </c>
      <c r="M290">
        <v>77595700</v>
      </c>
      <c r="N290">
        <v>15765259.359999999</v>
      </c>
      <c r="O290">
        <v>226.092681</v>
      </c>
      <c r="P290">
        <v>2.6973686675772819</v>
      </c>
      <c r="Q290">
        <v>44.2914843</v>
      </c>
      <c r="R290">
        <v>805.06826599999999</v>
      </c>
      <c r="S290">
        <v>3.6680331900000004E-21</v>
      </c>
      <c r="T290">
        <v>22.55065552956161</v>
      </c>
      <c r="U290">
        <v>100.934</v>
      </c>
      <c r="V290">
        <v>-674.85892710945222</v>
      </c>
      <c r="W290">
        <v>69.218995699999994</v>
      </c>
      <c r="X290">
        <v>94.836473900000001</v>
      </c>
      <c r="Y290">
        <v>177.97</v>
      </c>
      <c r="Z290">
        <v>252.117706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2.6973686675772819</v>
      </c>
    </row>
    <row r="291" spans="1:40" x14ac:dyDescent="0.3">
      <c r="A291">
        <v>27</v>
      </c>
      <c r="B291">
        <v>10</v>
      </c>
      <c r="C291">
        <v>1</v>
      </c>
      <c r="D291">
        <v>17</v>
      </c>
      <c r="E291">
        <v>5</v>
      </c>
      <c r="F291">
        <v>1.2</v>
      </c>
      <c r="G291">
        <v>10</v>
      </c>
      <c r="H291">
        <v>7</v>
      </c>
      <c r="I291">
        <v>0.3</v>
      </c>
      <c r="J291">
        <v>327199472.41293037</v>
      </c>
      <c r="K291">
        <v>165430000</v>
      </c>
      <c r="L291">
        <v>79925764.135313258</v>
      </c>
      <c r="M291">
        <v>77595700</v>
      </c>
      <c r="N291">
        <v>15769239.040000001</v>
      </c>
      <c r="O291">
        <v>225.384308</v>
      </c>
      <c r="P291">
        <v>2.7058297028956662</v>
      </c>
      <c r="Q291">
        <v>44.076229300000001</v>
      </c>
      <c r="R291">
        <v>805.06203300000004</v>
      </c>
      <c r="S291">
        <v>1.4484871300000001E-9</v>
      </c>
      <c r="T291">
        <v>22.02939220735934</v>
      </c>
      <c r="U291">
        <v>91.850000000000009</v>
      </c>
      <c r="V291">
        <v>-520.19907310982467</v>
      </c>
      <c r="W291">
        <v>69.595135200000001</v>
      </c>
      <c r="X291">
        <v>97.136021</v>
      </c>
      <c r="Y291">
        <v>177.97</v>
      </c>
      <c r="Z291">
        <v>259.94750599999998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2.7058297028956662</v>
      </c>
    </row>
    <row r="292" spans="1:40" x14ac:dyDescent="0.3">
      <c r="A292">
        <v>33</v>
      </c>
      <c r="B292">
        <v>10</v>
      </c>
      <c r="C292">
        <v>15</v>
      </c>
      <c r="D292">
        <v>22</v>
      </c>
      <c r="E292">
        <v>14</v>
      </c>
      <c r="F292">
        <v>1.2</v>
      </c>
      <c r="G292">
        <v>10</v>
      </c>
      <c r="H292">
        <v>7</v>
      </c>
      <c r="I292">
        <v>0.3</v>
      </c>
      <c r="J292">
        <v>327199751.65497684</v>
      </c>
      <c r="K292">
        <v>165430000</v>
      </c>
      <c r="L292">
        <v>79925764.969816104</v>
      </c>
      <c r="M292">
        <v>77595700</v>
      </c>
      <c r="N292">
        <v>15769427.040000001</v>
      </c>
      <c r="O292">
        <v>226.001464</v>
      </c>
      <c r="P292">
        <v>2.6984415672540916</v>
      </c>
      <c r="Q292">
        <v>44.281530799999999</v>
      </c>
      <c r="R292">
        <v>805.36836599999992</v>
      </c>
      <c r="S292">
        <v>4.41850731E-21</v>
      </c>
      <c r="T292">
        <v>22.631291918760045</v>
      </c>
      <c r="U292">
        <v>100.934</v>
      </c>
      <c r="V292">
        <v>-678.24116482655518</v>
      </c>
      <c r="W292">
        <v>69.220466099999996</v>
      </c>
      <c r="X292">
        <v>94.850834000000006</v>
      </c>
      <c r="Y292">
        <v>165.7</v>
      </c>
      <c r="Z292">
        <v>259.20799899999997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2.6984415672540916</v>
      </c>
    </row>
    <row r="293" spans="1:40" x14ac:dyDescent="0.3">
      <c r="A293">
        <v>32</v>
      </c>
      <c r="B293">
        <v>10</v>
      </c>
      <c r="C293">
        <v>1</v>
      </c>
      <c r="D293">
        <v>29</v>
      </c>
      <c r="E293">
        <v>5</v>
      </c>
      <c r="F293">
        <v>0.3</v>
      </c>
      <c r="G293">
        <v>10</v>
      </c>
      <c r="H293">
        <v>7</v>
      </c>
      <c r="I293">
        <v>0.3</v>
      </c>
      <c r="J293">
        <v>327198872.77644837</v>
      </c>
      <c r="K293">
        <v>165430000</v>
      </c>
      <c r="L293">
        <v>79925761.909150556</v>
      </c>
      <c r="M293">
        <v>77595700</v>
      </c>
      <c r="N293">
        <v>15768740.239999998</v>
      </c>
      <c r="O293">
        <v>229.50302099999999</v>
      </c>
      <c r="P293">
        <v>2.6572684988172206</v>
      </c>
      <c r="Q293">
        <v>43.746358399999998</v>
      </c>
      <c r="R293">
        <v>801.5712739999999</v>
      </c>
      <c r="S293">
        <v>5.2096055699999998E-8</v>
      </c>
      <c r="T293">
        <v>21.603100396831017</v>
      </c>
      <c r="U293">
        <v>91.850000000000009</v>
      </c>
      <c r="V293">
        <v>-465.20214764964055</v>
      </c>
      <c r="W293">
        <v>69.583927799999998</v>
      </c>
      <c r="X293">
        <v>96.882309899999996</v>
      </c>
      <c r="Y293">
        <v>177.97</v>
      </c>
      <c r="Z293">
        <v>261.64503000000002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2.6572684988172206</v>
      </c>
    </row>
    <row r="294" spans="1:40" x14ac:dyDescent="0.3">
      <c r="A294">
        <v>31</v>
      </c>
      <c r="B294">
        <v>10</v>
      </c>
      <c r="C294">
        <v>14.140043583893952</v>
      </c>
      <c r="D294">
        <v>13</v>
      </c>
      <c r="E294">
        <v>11</v>
      </c>
      <c r="F294">
        <v>0.44404284901426333</v>
      </c>
      <c r="G294">
        <v>26</v>
      </c>
      <c r="H294">
        <v>14</v>
      </c>
      <c r="I294">
        <v>1.1605120613404987</v>
      </c>
      <c r="J294">
        <v>327193481.01705945</v>
      </c>
      <c r="K294">
        <v>165430000</v>
      </c>
      <c r="L294">
        <v>79925721.980592817</v>
      </c>
      <c r="M294">
        <v>77595700</v>
      </c>
      <c r="N294">
        <v>15759957.439999999</v>
      </c>
      <c r="O294">
        <v>231.04196300000001</v>
      </c>
      <c r="P294">
        <v>2.6395529190651863</v>
      </c>
      <c r="Q294">
        <v>43.816239099999997</v>
      </c>
      <c r="R294">
        <v>802.54931500000009</v>
      </c>
      <c r="S294">
        <v>1.4189847399999999E-13</v>
      </c>
      <c r="T294">
        <v>21.487423485618937</v>
      </c>
      <c r="U294">
        <v>100.934</v>
      </c>
      <c r="V294">
        <v>-630.32160698893597</v>
      </c>
      <c r="W294">
        <v>69.220866900000004</v>
      </c>
      <c r="X294">
        <v>94.853863200000006</v>
      </c>
      <c r="Y294">
        <v>121.52199999999999</v>
      </c>
      <c r="Z294">
        <v>253.94789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2.6395529190651863</v>
      </c>
    </row>
    <row r="295" spans="1:40" x14ac:dyDescent="0.3">
      <c r="A295">
        <v>39</v>
      </c>
      <c r="B295">
        <v>19</v>
      </c>
      <c r="C295">
        <v>1</v>
      </c>
      <c r="D295">
        <v>10</v>
      </c>
      <c r="E295">
        <v>5</v>
      </c>
      <c r="F295">
        <v>0.3</v>
      </c>
      <c r="G295">
        <v>19</v>
      </c>
      <c r="H295">
        <v>7</v>
      </c>
      <c r="I295">
        <v>1.4</v>
      </c>
      <c r="J295">
        <v>327193336.18762535</v>
      </c>
      <c r="K295">
        <v>165430000</v>
      </c>
      <c r="L295">
        <v>79925721.758305252</v>
      </c>
      <c r="M295">
        <v>77595700</v>
      </c>
      <c r="N295">
        <v>15759906.16</v>
      </c>
      <c r="O295">
        <v>229.32384999999999</v>
      </c>
      <c r="P295">
        <v>2.6593282362257455</v>
      </c>
      <c r="Q295">
        <v>43.699978299999998</v>
      </c>
      <c r="R295">
        <v>802.76826599999993</v>
      </c>
      <c r="S295">
        <v>5.6733091800000002E-8</v>
      </c>
      <c r="T295">
        <v>21.81736770201309</v>
      </c>
      <c r="U295">
        <v>91.850000000000009</v>
      </c>
      <c r="V295">
        <v>-486.30778255549581</v>
      </c>
      <c r="W295">
        <v>69.590642799999998</v>
      </c>
      <c r="X295">
        <v>96.618687899999998</v>
      </c>
      <c r="Y295">
        <v>144.29</v>
      </c>
      <c r="Z295">
        <v>254.26144300000001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2.6593282362257455</v>
      </c>
    </row>
    <row r="296" spans="1:40" x14ac:dyDescent="0.3">
      <c r="A296">
        <v>27</v>
      </c>
      <c r="B296">
        <v>19</v>
      </c>
      <c r="C296">
        <v>15</v>
      </c>
      <c r="D296">
        <v>20</v>
      </c>
      <c r="E296">
        <v>5</v>
      </c>
      <c r="F296">
        <v>1.2</v>
      </c>
      <c r="G296">
        <v>10</v>
      </c>
      <c r="H296">
        <v>7</v>
      </c>
      <c r="I296">
        <v>0.3</v>
      </c>
      <c r="J296">
        <v>327199472.69238138</v>
      </c>
      <c r="K296">
        <v>165430000</v>
      </c>
      <c r="L296">
        <v>79925764.142709151</v>
      </c>
      <c r="M296">
        <v>77595700</v>
      </c>
      <c r="N296">
        <v>15769240.640000001</v>
      </c>
      <c r="O296">
        <v>227.87603999999999</v>
      </c>
      <c r="P296">
        <v>2.6762425542531458</v>
      </c>
      <c r="Q296">
        <v>44.1525088</v>
      </c>
      <c r="R296">
        <v>803.32268099999999</v>
      </c>
      <c r="S296">
        <v>1.5761909600000001E-9</v>
      </c>
      <c r="T296">
        <v>22.174433616277099</v>
      </c>
      <c r="U296">
        <v>100.934</v>
      </c>
      <c r="V296">
        <v>-649.03380692272833</v>
      </c>
      <c r="W296">
        <v>69.221072300000003</v>
      </c>
      <c r="X296">
        <v>94.855332599999997</v>
      </c>
      <c r="Y296">
        <v>177.97</v>
      </c>
      <c r="Z296">
        <v>259.96408400000001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2.6762425542531458</v>
      </c>
    </row>
    <row r="297" spans="1:40" x14ac:dyDescent="0.3">
      <c r="A297">
        <v>39</v>
      </c>
      <c r="B297">
        <v>10</v>
      </c>
      <c r="C297">
        <v>15</v>
      </c>
      <c r="D297">
        <v>20</v>
      </c>
      <c r="E297">
        <v>5</v>
      </c>
      <c r="F297">
        <v>0.3</v>
      </c>
      <c r="G297">
        <v>22</v>
      </c>
      <c r="H297">
        <v>14</v>
      </c>
      <c r="I297">
        <v>1.4</v>
      </c>
      <c r="J297">
        <v>327193311.52342957</v>
      </c>
      <c r="K297">
        <v>165430000</v>
      </c>
      <c r="L297">
        <v>79925721.72358565</v>
      </c>
      <c r="M297">
        <v>77595700</v>
      </c>
      <c r="N297">
        <v>15759897.68</v>
      </c>
      <c r="O297">
        <v>231.96241499999999</v>
      </c>
      <c r="P297">
        <v>2.6290783910039122</v>
      </c>
      <c r="Q297">
        <v>43.805920800000003</v>
      </c>
      <c r="R297">
        <v>800.11510900000007</v>
      </c>
      <c r="S297">
        <v>6.0491152099999999E-8</v>
      </c>
      <c r="T297">
        <v>21.721152408592108</v>
      </c>
      <c r="U297">
        <v>100.934</v>
      </c>
      <c r="V297">
        <v>-598.42979791021753</v>
      </c>
      <c r="W297">
        <v>69.220162599999995</v>
      </c>
      <c r="X297">
        <v>94.847148799999999</v>
      </c>
      <c r="Y297">
        <v>170.55</v>
      </c>
      <c r="Z297">
        <v>254.31782100000001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2.6290783910039122</v>
      </c>
    </row>
    <row r="298" spans="1:40" x14ac:dyDescent="0.3">
      <c r="A298">
        <v>39</v>
      </c>
      <c r="B298">
        <v>19</v>
      </c>
      <c r="C298">
        <v>1</v>
      </c>
      <c r="D298">
        <v>29</v>
      </c>
      <c r="E298">
        <v>14</v>
      </c>
      <c r="F298">
        <v>1.2</v>
      </c>
      <c r="G298">
        <v>25</v>
      </c>
      <c r="H298">
        <v>14</v>
      </c>
      <c r="I298">
        <v>1.4</v>
      </c>
      <c r="J298">
        <v>327192258.58221227</v>
      </c>
      <c r="K298">
        <v>165430000</v>
      </c>
      <c r="L298">
        <v>79925720.051703781</v>
      </c>
      <c r="M298">
        <v>77595700</v>
      </c>
      <c r="N298">
        <v>15759511.84</v>
      </c>
      <c r="O298">
        <v>223.70287099999999</v>
      </c>
      <c r="P298">
        <v>2.726145870550948</v>
      </c>
      <c r="Q298">
        <v>44.200745699999999</v>
      </c>
      <c r="R298">
        <v>806.99088100000006</v>
      </c>
      <c r="S298">
        <v>3.01606197E-21</v>
      </c>
      <c r="T298">
        <v>22.744433445254696</v>
      </c>
      <c r="U298">
        <v>91.850000000000009</v>
      </c>
      <c r="V298">
        <v>-546.88763281773811</v>
      </c>
      <c r="W298">
        <v>69.590642799999998</v>
      </c>
      <c r="X298">
        <v>96.618687899999998</v>
      </c>
      <c r="Y298">
        <v>177.97</v>
      </c>
      <c r="Z298">
        <v>252.505413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2.726145870550948</v>
      </c>
    </row>
    <row r="299" spans="1:40" x14ac:dyDescent="0.3">
      <c r="A299">
        <v>39</v>
      </c>
      <c r="B299">
        <v>10</v>
      </c>
      <c r="C299">
        <v>1</v>
      </c>
      <c r="D299">
        <v>29</v>
      </c>
      <c r="E299">
        <v>14</v>
      </c>
      <c r="F299">
        <v>1.2</v>
      </c>
      <c r="G299">
        <v>29</v>
      </c>
      <c r="H299">
        <v>7</v>
      </c>
      <c r="I299">
        <v>1.4</v>
      </c>
      <c r="J299">
        <v>327193412.26418442</v>
      </c>
      <c r="K299">
        <v>165430000</v>
      </c>
      <c r="L299">
        <v>79925721.863491237</v>
      </c>
      <c r="M299">
        <v>77595700</v>
      </c>
      <c r="N299">
        <v>15759930.560000001</v>
      </c>
      <c r="O299">
        <v>223.72901999999999</v>
      </c>
      <c r="P299">
        <v>2.7258307446658425</v>
      </c>
      <c r="Q299">
        <v>44.214479500000003</v>
      </c>
      <c r="R299">
        <v>806.66996400000005</v>
      </c>
      <c r="S299">
        <v>2.9803236499999999E-21</v>
      </c>
      <c r="T299">
        <v>22.404147596766595</v>
      </c>
      <c r="U299">
        <v>100.934</v>
      </c>
      <c r="V299">
        <v>-542.86021460785457</v>
      </c>
      <c r="W299">
        <v>69.580995900000005</v>
      </c>
      <c r="X299">
        <v>96.873567499999993</v>
      </c>
      <c r="Y299">
        <v>177.97</v>
      </c>
      <c r="Z299">
        <v>252.404967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2.7258307446658425</v>
      </c>
    </row>
    <row r="300" spans="1:40" x14ac:dyDescent="0.3">
      <c r="A300">
        <v>27</v>
      </c>
      <c r="B300">
        <v>10</v>
      </c>
      <c r="C300">
        <v>15</v>
      </c>
      <c r="D300">
        <v>15</v>
      </c>
      <c r="E300">
        <v>5</v>
      </c>
      <c r="F300">
        <v>1.2</v>
      </c>
      <c r="G300">
        <v>19</v>
      </c>
      <c r="H300">
        <v>14</v>
      </c>
      <c r="I300">
        <v>0.3</v>
      </c>
      <c r="J300">
        <v>327202380.41815609</v>
      </c>
      <c r="K300">
        <v>165430000</v>
      </c>
      <c r="L300">
        <v>79925748.955455765</v>
      </c>
      <c r="M300">
        <v>77595700</v>
      </c>
      <c r="N300">
        <v>15765999.200000001</v>
      </c>
      <c r="O300">
        <v>227.82708199999999</v>
      </c>
      <c r="P300">
        <v>2.6768263189502299</v>
      </c>
      <c r="Q300">
        <v>44.143369200000002</v>
      </c>
      <c r="R300">
        <v>803.50112300000001</v>
      </c>
      <c r="S300">
        <v>1.60529107E-9</v>
      </c>
      <c r="T300">
        <v>22.195477236206067</v>
      </c>
      <c r="U300">
        <v>100.934</v>
      </c>
      <c r="V300">
        <v>-651.74227053414882</v>
      </c>
      <c r="W300">
        <v>69.222164800000002</v>
      </c>
      <c r="X300">
        <v>94.861836199999999</v>
      </c>
      <c r="Y300">
        <v>177.97</v>
      </c>
      <c r="Z300">
        <v>254.43973199999999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2.6768263189502299</v>
      </c>
    </row>
    <row r="301" spans="1:40" x14ac:dyDescent="0.3">
      <c r="A301">
        <v>39</v>
      </c>
      <c r="B301">
        <v>10</v>
      </c>
      <c r="C301">
        <v>15</v>
      </c>
      <c r="D301">
        <v>22</v>
      </c>
      <c r="E301">
        <v>14</v>
      </c>
      <c r="F301">
        <v>1.2</v>
      </c>
      <c r="G301">
        <v>21</v>
      </c>
      <c r="H301">
        <v>7</v>
      </c>
      <c r="I301">
        <v>0.3</v>
      </c>
      <c r="J301">
        <v>327208078.42035538</v>
      </c>
      <c r="K301">
        <v>165430000</v>
      </c>
      <c r="L301">
        <v>79925743.570837423</v>
      </c>
      <c r="M301">
        <v>77595700</v>
      </c>
      <c r="N301">
        <v>15764981.84</v>
      </c>
      <c r="O301">
        <v>226.002726</v>
      </c>
      <c r="P301">
        <v>2.6984515106477938</v>
      </c>
      <c r="Q301">
        <v>44.281680000000001</v>
      </c>
      <c r="R301">
        <v>805.3668550000001</v>
      </c>
      <c r="S301">
        <v>4.41933244E-21</v>
      </c>
      <c r="T301">
        <v>22.631165579403302</v>
      </c>
      <c r="U301">
        <v>100.934</v>
      </c>
      <c r="V301">
        <v>-678.30128448512596</v>
      </c>
      <c r="W301">
        <v>69.220162599999995</v>
      </c>
      <c r="X301">
        <v>94.847148799999999</v>
      </c>
      <c r="Y301">
        <v>165.7</v>
      </c>
      <c r="Z301">
        <v>251.169555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2.6984515106477938</v>
      </c>
    </row>
    <row r="302" spans="1:40" x14ac:dyDescent="0.3">
      <c r="A302">
        <v>32</v>
      </c>
      <c r="B302">
        <v>10</v>
      </c>
      <c r="C302">
        <v>1</v>
      </c>
      <c r="D302">
        <v>17</v>
      </c>
      <c r="E302">
        <v>5</v>
      </c>
      <c r="F302">
        <v>1.2</v>
      </c>
      <c r="G302">
        <v>29</v>
      </c>
      <c r="H302">
        <v>7</v>
      </c>
      <c r="I302">
        <v>1.4</v>
      </c>
      <c r="J302">
        <v>327193374.33931202</v>
      </c>
      <c r="K302">
        <v>165430000</v>
      </c>
      <c r="L302">
        <v>79925721.814596191</v>
      </c>
      <c r="M302">
        <v>77595700</v>
      </c>
      <c r="N302">
        <v>15759918.960000001</v>
      </c>
      <c r="O302">
        <v>225.42227600000001</v>
      </c>
      <c r="P302">
        <v>2.705355594246885</v>
      </c>
      <c r="Q302">
        <v>44.076372900000003</v>
      </c>
      <c r="R302">
        <v>805.05725199999995</v>
      </c>
      <c r="S302">
        <v>1.44984538E-9</v>
      </c>
      <c r="T302">
        <v>22.041569730815532</v>
      </c>
      <c r="U302">
        <v>91.850000000000009</v>
      </c>
      <c r="V302">
        <v>-520.79039610782013</v>
      </c>
      <c r="W302">
        <v>69.583927799999998</v>
      </c>
      <c r="X302">
        <v>96.882309899999996</v>
      </c>
      <c r="Y302">
        <v>177.97</v>
      </c>
      <c r="Z302">
        <v>252.936443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2.705355594246885</v>
      </c>
    </row>
    <row r="303" spans="1:40" x14ac:dyDescent="0.3">
      <c r="A303">
        <v>39</v>
      </c>
      <c r="B303">
        <v>19</v>
      </c>
      <c r="C303">
        <v>1</v>
      </c>
      <c r="D303">
        <v>29</v>
      </c>
      <c r="E303">
        <v>5</v>
      </c>
      <c r="F303">
        <v>1.2</v>
      </c>
      <c r="G303">
        <v>21</v>
      </c>
      <c r="H303">
        <v>14</v>
      </c>
      <c r="I303">
        <v>1.4</v>
      </c>
      <c r="J303">
        <v>327192128.87062901</v>
      </c>
      <c r="K303">
        <v>165430000</v>
      </c>
      <c r="L303">
        <v>79925720.09464103</v>
      </c>
      <c r="M303">
        <v>77595700</v>
      </c>
      <c r="N303">
        <v>15759518.640000001</v>
      </c>
      <c r="O303">
        <v>225.474897</v>
      </c>
      <c r="P303">
        <v>2.7047204725041682</v>
      </c>
      <c r="Q303">
        <v>44.069383999999999</v>
      </c>
      <c r="R303">
        <v>805.17706499999997</v>
      </c>
      <c r="S303">
        <v>1.4387772600000001E-9</v>
      </c>
      <c r="T303">
        <v>22.35588170704834</v>
      </c>
      <c r="U303">
        <v>91.850000000000009</v>
      </c>
      <c r="V303">
        <v>-520.51220613271732</v>
      </c>
      <c r="W303">
        <v>69.590642799999998</v>
      </c>
      <c r="X303">
        <v>96.618687899999998</v>
      </c>
      <c r="Y303">
        <v>177.97</v>
      </c>
      <c r="Z303">
        <v>253.10889900000001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2.7047204725041682</v>
      </c>
    </row>
    <row r="304" spans="1:40" x14ac:dyDescent="0.3">
      <c r="A304">
        <v>39</v>
      </c>
      <c r="B304">
        <v>19</v>
      </c>
      <c r="C304">
        <v>15</v>
      </c>
      <c r="D304">
        <v>20</v>
      </c>
      <c r="E304">
        <v>5</v>
      </c>
      <c r="F304">
        <v>1.2</v>
      </c>
      <c r="G304">
        <v>29</v>
      </c>
      <c r="H304">
        <v>7</v>
      </c>
      <c r="I304">
        <v>1.4</v>
      </c>
      <c r="J304">
        <v>327193374.31056565</v>
      </c>
      <c r="K304">
        <v>165430000</v>
      </c>
      <c r="L304">
        <v>79925721.814801618</v>
      </c>
      <c r="M304">
        <v>77595700</v>
      </c>
      <c r="N304">
        <v>15759918.960000001</v>
      </c>
      <c r="O304">
        <v>227.89895000000001</v>
      </c>
      <c r="P304">
        <v>2.6759553540064607</v>
      </c>
      <c r="Q304">
        <v>44.152417800000002</v>
      </c>
      <c r="R304">
        <v>803.303586</v>
      </c>
      <c r="S304">
        <v>1.57564599E-9</v>
      </c>
      <c r="T304">
        <v>22.174551152683954</v>
      </c>
      <c r="U304">
        <v>100.934</v>
      </c>
      <c r="V304">
        <v>-649.32539247486693</v>
      </c>
      <c r="W304">
        <v>69.218572699999996</v>
      </c>
      <c r="X304">
        <v>94.8255549</v>
      </c>
      <c r="Y304">
        <v>177.97</v>
      </c>
      <c r="Z304">
        <v>252.94834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2.6759553540064607</v>
      </c>
    </row>
    <row r="305" spans="1:40" x14ac:dyDescent="0.3">
      <c r="A305">
        <v>27</v>
      </c>
      <c r="B305">
        <v>19</v>
      </c>
      <c r="C305">
        <v>7.5409162938688494</v>
      </c>
      <c r="D305">
        <v>29</v>
      </c>
      <c r="E305">
        <v>14</v>
      </c>
      <c r="F305">
        <v>1.2</v>
      </c>
      <c r="G305">
        <v>29</v>
      </c>
      <c r="H305">
        <v>14</v>
      </c>
      <c r="I305">
        <v>1.4</v>
      </c>
      <c r="J305">
        <v>327192251.49700844</v>
      </c>
      <c r="K305">
        <v>165430000</v>
      </c>
      <c r="L305">
        <v>79925720.043486118</v>
      </c>
      <c r="M305">
        <v>77595700</v>
      </c>
      <c r="N305">
        <v>15759509.279999999</v>
      </c>
      <c r="O305">
        <v>226.06430800000001</v>
      </c>
      <c r="P305">
        <v>2.697668900467094</v>
      </c>
      <c r="Q305">
        <v>44.290950500000001</v>
      </c>
      <c r="R305">
        <v>805.08498900000006</v>
      </c>
      <c r="S305">
        <v>6.2279155599999999E-12</v>
      </c>
      <c r="T305">
        <v>22.550192874735892</v>
      </c>
      <c r="U305">
        <v>100.934</v>
      </c>
      <c r="V305">
        <v>-674.08468920163432</v>
      </c>
      <c r="W305">
        <v>69.223576399999999</v>
      </c>
      <c r="X305">
        <v>94.868946199999996</v>
      </c>
      <c r="Y305">
        <v>177.97</v>
      </c>
      <c r="Z305">
        <v>252.47560799999999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2.697668900467094</v>
      </c>
    </row>
    <row r="306" spans="1:40" x14ac:dyDescent="0.3">
      <c r="A306">
        <v>33</v>
      </c>
      <c r="B306">
        <v>19</v>
      </c>
      <c r="C306">
        <v>1</v>
      </c>
      <c r="D306">
        <v>29</v>
      </c>
      <c r="E306">
        <v>14</v>
      </c>
      <c r="F306">
        <v>1.2</v>
      </c>
      <c r="G306">
        <v>10</v>
      </c>
      <c r="H306">
        <v>7</v>
      </c>
      <c r="I306">
        <v>0.3</v>
      </c>
      <c r="J306">
        <v>327199755.86036146</v>
      </c>
      <c r="K306">
        <v>165430000</v>
      </c>
      <c r="L306">
        <v>79925765.012137026</v>
      </c>
      <c r="M306">
        <v>77595700</v>
      </c>
      <c r="N306">
        <v>15769436.16</v>
      </c>
      <c r="O306">
        <v>223.63345699999999</v>
      </c>
      <c r="P306">
        <v>2.7270148024976697</v>
      </c>
      <c r="Q306">
        <v>44.201456499999999</v>
      </c>
      <c r="R306">
        <v>807.02582400000006</v>
      </c>
      <c r="S306">
        <v>1.06632406E-12</v>
      </c>
      <c r="T306">
        <v>22.746784223247115</v>
      </c>
      <c r="U306">
        <v>80.72</v>
      </c>
      <c r="V306">
        <v>-547.47700179161825</v>
      </c>
      <c r="W306">
        <v>69.611101700000006</v>
      </c>
      <c r="X306">
        <v>96.784026299999994</v>
      </c>
      <c r="Y306">
        <v>177.97</v>
      </c>
      <c r="Z306">
        <v>259.28770400000002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2.7270148024976697</v>
      </c>
    </row>
    <row r="307" spans="1:40" x14ac:dyDescent="0.3">
      <c r="A307">
        <v>39</v>
      </c>
      <c r="B307">
        <v>19</v>
      </c>
      <c r="C307">
        <v>15</v>
      </c>
      <c r="D307">
        <v>17</v>
      </c>
      <c r="E307">
        <v>14</v>
      </c>
      <c r="F307">
        <v>1.2</v>
      </c>
      <c r="G307">
        <v>16</v>
      </c>
      <c r="H307">
        <v>14</v>
      </c>
      <c r="I307">
        <v>0.31776219495305197</v>
      </c>
      <c r="J307">
        <v>327205500.03686291</v>
      </c>
      <c r="K307">
        <v>165430000</v>
      </c>
      <c r="L307">
        <v>79925741.693103284</v>
      </c>
      <c r="M307">
        <v>77595700</v>
      </c>
      <c r="N307">
        <v>15764507.84</v>
      </c>
      <c r="O307">
        <v>226.11077399999999</v>
      </c>
      <c r="P307">
        <v>2.6971543029452238</v>
      </c>
      <c r="Q307">
        <v>44.232383499999997</v>
      </c>
      <c r="R307">
        <v>806.19492100000002</v>
      </c>
      <c r="S307">
        <v>1.8015298499999999E-20</v>
      </c>
      <c r="T307">
        <v>22.687568392619227</v>
      </c>
      <c r="U307">
        <v>100.934</v>
      </c>
      <c r="V307">
        <v>-682.4316764321602</v>
      </c>
      <c r="W307">
        <v>69.218572699999996</v>
      </c>
      <c r="X307">
        <v>94.8255549</v>
      </c>
      <c r="Y307">
        <v>121.52199999999999</v>
      </c>
      <c r="Z307">
        <v>251.57428899999999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2.6971543029452238</v>
      </c>
    </row>
    <row r="308" spans="1:40" x14ac:dyDescent="0.3">
      <c r="A308">
        <v>27</v>
      </c>
      <c r="B308">
        <v>10</v>
      </c>
      <c r="C308">
        <v>1</v>
      </c>
      <c r="D308">
        <v>19</v>
      </c>
      <c r="E308">
        <v>5</v>
      </c>
      <c r="F308">
        <v>1.2</v>
      </c>
      <c r="G308">
        <v>20</v>
      </c>
      <c r="H308">
        <v>14</v>
      </c>
      <c r="I308">
        <v>1.4</v>
      </c>
      <c r="J308">
        <v>327191972.70635277</v>
      </c>
      <c r="K308">
        <v>165430000</v>
      </c>
      <c r="L308">
        <v>79925720.128949732</v>
      </c>
      <c r="M308">
        <v>77595700</v>
      </c>
      <c r="N308">
        <v>15759522.48</v>
      </c>
      <c r="O308">
        <v>225.409423</v>
      </c>
      <c r="P308">
        <v>2.7055056342464865</v>
      </c>
      <c r="Q308">
        <v>44.078529699999997</v>
      </c>
      <c r="R308">
        <v>804.98924599999998</v>
      </c>
      <c r="S308">
        <v>1.4369661699999999E-9</v>
      </c>
      <c r="T308">
        <v>22.023361538051134</v>
      </c>
      <c r="U308">
        <v>91.850000000000009</v>
      </c>
      <c r="V308">
        <v>-518.75045914915142</v>
      </c>
      <c r="W308">
        <v>69.595135200000001</v>
      </c>
      <c r="X308">
        <v>97.136021</v>
      </c>
      <c r="Y308">
        <v>177.97</v>
      </c>
      <c r="Z308">
        <v>253.14049199999999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2.7055056342464865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AA57-186C-42F1-82FD-F6854AB7C3D6}">
  <dimension ref="A1:AT13"/>
  <sheetViews>
    <sheetView topLeftCell="R1" workbookViewId="0">
      <selection activeCell="V15" sqref="V15"/>
    </sheetView>
  </sheetViews>
  <sheetFormatPr defaultRowHeight="16.5" x14ac:dyDescent="0.3"/>
  <sheetData>
    <row r="1" spans="1:46" x14ac:dyDescent="0.3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 x14ac:dyDescent="0.3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427361737.06816566</v>
      </c>
      <c r="R2">
        <v>179051000</v>
      </c>
      <c r="S2">
        <v>79966127.197776437</v>
      </c>
      <c r="T2">
        <v>77196800</v>
      </c>
      <c r="U2">
        <v>15761599.68</v>
      </c>
      <c r="V2">
        <v>233.882384</v>
      </c>
      <c r="W2">
        <v>3.1628540075595133</v>
      </c>
      <c r="X2">
        <v>43.435541800000003</v>
      </c>
      <c r="Y2">
        <v>786.175927</v>
      </c>
      <c r="Z2">
        <v>4.1393855999999997E-12</v>
      </c>
      <c r="AA2">
        <v>24.225895207967255</v>
      </c>
      <c r="AB2">
        <v>100.934</v>
      </c>
      <c r="AC2">
        <v>-51.369137722222227</v>
      </c>
      <c r="AD2">
        <v>65.711820000000003</v>
      </c>
      <c r="AE2">
        <v>94.099566800000005</v>
      </c>
      <c r="AF2">
        <v>177.97</v>
      </c>
      <c r="AG2">
        <v>265.57842799999997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3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427165240.52480757</v>
      </c>
      <c r="R3">
        <v>179010000</v>
      </c>
      <c r="S3">
        <v>79925721.486506313</v>
      </c>
      <c r="T3">
        <v>77595500</v>
      </c>
      <c r="U3">
        <v>15759839.84</v>
      </c>
      <c r="V3">
        <v>230.15139600000001</v>
      </c>
      <c r="W3">
        <v>3.2051139819434518</v>
      </c>
      <c r="X3">
        <v>43.944394500000001</v>
      </c>
      <c r="Y3">
        <v>801.47763099999997</v>
      </c>
      <c r="Z3">
        <v>4.2499805199999998E-13</v>
      </c>
      <c r="AA3">
        <v>21.87160506412182</v>
      </c>
      <c r="AB3">
        <v>100.934</v>
      </c>
      <c r="AC3" s="18">
        <v>-1.2403163333333329</v>
      </c>
      <c r="AD3">
        <v>69.225417100000001</v>
      </c>
      <c r="AE3">
        <v>94.879481699999999</v>
      </c>
      <c r="AF3">
        <v>165.7</v>
      </c>
      <c r="AG3">
        <v>253.660753</v>
      </c>
      <c r="AH3">
        <v>0</v>
      </c>
      <c r="AI3">
        <v>0</v>
      </c>
      <c r="AJ3">
        <v>0</v>
      </c>
      <c r="AK3">
        <v>0</v>
      </c>
      <c r="AL3">
        <v>9.6899209166666669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3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427543862.21939456</v>
      </c>
      <c r="R4">
        <v>179046000</v>
      </c>
      <c r="S4">
        <v>79960329.824960694</v>
      </c>
      <c r="T4">
        <v>75965600</v>
      </c>
      <c r="U4">
        <v>15763006</v>
      </c>
      <c r="V4">
        <v>235.59803299999999</v>
      </c>
      <c r="W4">
        <v>3.1633215569842279</v>
      </c>
      <c r="X4">
        <v>43.426742400000002</v>
      </c>
      <c r="Y4">
        <v>794.97339899999997</v>
      </c>
      <c r="Z4">
        <v>2.7070619700000001E-12</v>
      </c>
      <c r="AA4">
        <v>23.343694743543406</v>
      </c>
      <c r="AB4">
        <v>100.934</v>
      </c>
      <c r="AC4" s="18">
        <v>51.689728888888887</v>
      </c>
      <c r="AD4">
        <v>69.167763899999997</v>
      </c>
      <c r="AE4">
        <v>94.810027300000002</v>
      </c>
      <c r="AF4">
        <v>177.97</v>
      </c>
      <c r="AG4">
        <v>260.44183199999998</v>
      </c>
      <c r="AH4">
        <v>0</v>
      </c>
      <c r="AI4">
        <v>0</v>
      </c>
      <c r="AJ4">
        <v>0</v>
      </c>
      <c r="AK4">
        <v>0</v>
      </c>
      <c r="AL4">
        <v>22.92243222222222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3">
      <c r="A5">
        <v>0</v>
      </c>
      <c r="B5">
        <v>0</v>
      </c>
      <c r="C5">
        <v>0</v>
      </c>
      <c r="D5">
        <v>2.14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3.5</v>
      </c>
      <c r="L5">
        <v>0</v>
      </c>
      <c r="M5">
        <v>0</v>
      </c>
      <c r="N5">
        <v>1.5</v>
      </c>
      <c r="O5">
        <v>0</v>
      </c>
      <c r="P5">
        <v>0</v>
      </c>
      <c r="Q5">
        <v>427385702.14081061</v>
      </c>
      <c r="R5">
        <v>179057000</v>
      </c>
      <c r="S5">
        <v>79972128.299969405</v>
      </c>
      <c r="T5">
        <v>77231100</v>
      </c>
      <c r="U5">
        <v>15761868.800000001</v>
      </c>
      <c r="V5">
        <v>233.53511599999999</v>
      </c>
      <c r="W5">
        <v>3.1670919182246142</v>
      </c>
      <c r="X5">
        <v>43.436304</v>
      </c>
      <c r="Y5">
        <v>785.23548300000004</v>
      </c>
      <c r="Z5">
        <v>5.1557088700000004E-12</v>
      </c>
      <c r="AA5">
        <v>23.764076239760147</v>
      </c>
      <c r="AB5">
        <v>100.934</v>
      </c>
      <c r="AC5">
        <v>-51.300818388888892</v>
      </c>
      <c r="AD5">
        <v>65.765693900000002</v>
      </c>
      <c r="AE5">
        <v>94.099301800000006</v>
      </c>
      <c r="AF5">
        <v>177.97</v>
      </c>
      <c r="AG5">
        <v>262.586319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3">
      <c r="A6">
        <v>2.2000000000000002</v>
      </c>
      <c r="B6">
        <v>0</v>
      </c>
      <c r="C6">
        <v>0</v>
      </c>
      <c r="D6">
        <v>0</v>
      </c>
      <c r="E6">
        <v>0</v>
      </c>
      <c r="F6">
        <v>2.1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427457937.09520495</v>
      </c>
      <c r="R6">
        <v>179053000</v>
      </c>
      <c r="S6">
        <v>79953725.370169997</v>
      </c>
      <c r="T6">
        <v>76087400</v>
      </c>
      <c r="U6">
        <v>15758545.200000001</v>
      </c>
      <c r="V6">
        <v>234.82317</v>
      </c>
      <c r="W6">
        <v>3.1713533190097984</v>
      </c>
      <c r="X6">
        <v>43.476356199999998</v>
      </c>
      <c r="Y6">
        <v>785.49212299999999</v>
      </c>
      <c r="Z6">
        <v>2.9143609800000001E-12</v>
      </c>
      <c r="AA6">
        <v>23.781164706337947</v>
      </c>
      <c r="AB6">
        <v>91.850000000000009</v>
      </c>
      <c r="AC6">
        <v>-52.542917166666662</v>
      </c>
      <c r="AD6">
        <v>64.648477499999998</v>
      </c>
      <c r="AE6">
        <v>86.776644300000001</v>
      </c>
      <c r="AF6">
        <v>177.97</v>
      </c>
      <c r="AG6">
        <v>260.52021000000002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3">
      <c r="A7">
        <v>2.2000000000000002</v>
      </c>
      <c r="B7">
        <v>0</v>
      </c>
      <c r="C7">
        <v>0</v>
      </c>
      <c r="D7">
        <v>0</v>
      </c>
      <c r="E7">
        <v>1.8</v>
      </c>
      <c r="F7">
        <v>0</v>
      </c>
      <c r="G7">
        <v>0</v>
      </c>
      <c r="H7">
        <v>2.06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427160713.17518514</v>
      </c>
      <c r="R7">
        <v>179052000</v>
      </c>
      <c r="S7">
        <v>79981030.226598576</v>
      </c>
      <c r="T7">
        <v>78035500</v>
      </c>
      <c r="U7">
        <v>15764842.16</v>
      </c>
      <c r="V7">
        <v>232.83053200000001</v>
      </c>
      <c r="W7">
        <v>3.1606742895246245</v>
      </c>
      <c r="X7">
        <v>43.380719499999998</v>
      </c>
      <c r="Y7">
        <v>787.02452499999993</v>
      </c>
      <c r="Z7">
        <v>6.0708770600000001E-12</v>
      </c>
      <c r="AA7">
        <v>24.720812515873231</v>
      </c>
      <c r="AB7">
        <v>100.934</v>
      </c>
      <c r="AC7">
        <v>-50.133857111111105</v>
      </c>
      <c r="AD7">
        <v>69.797302799999997</v>
      </c>
      <c r="AE7">
        <v>96.904744399999998</v>
      </c>
      <c r="AF7">
        <v>177.97</v>
      </c>
      <c r="AG7">
        <v>276.27467200000001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3">
      <c r="A8">
        <v>2.2000000000000002</v>
      </c>
      <c r="B8">
        <v>0</v>
      </c>
      <c r="C8">
        <v>0</v>
      </c>
      <c r="D8">
        <v>0</v>
      </c>
      <c r="E8">
        <v>1.8</v>
      </c>
      <c r="F8">
        <v>0</v>
      </c>
      <c r="G8">
        <v>0</v>
      </c>
      <c r="H8">
        <v>0</v>
      </c>
      <c r="I8">
        <v>1.77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427166479.53443825</v>
      </c>
      <c r="R8">
        <v>179073000</v>
      </c>
      <c r="S8">
        <v>79998137.395886123</v>
      </c>
      <c r="T8">
        <v>78213200</v>
      </c>
      <c r="U8">
        <v>15770140.880000001</v>
      </c>
      <c r="V8">
        <v>229.19846000000001</v>
      </c>
      <c r="W8">
        <v>3.2077600506508723</v>
      </c>
      <c r="X8">
        <v>43.290076800000001</v>
      </c>
      <c r="Y8">
        <v>797.91731700000003</v>
      </c>
      <c r="Z8">
        <v>8.9420931900000005E-12</v>
      </c>
      <c r="AA8">
        <v>25.441083150582354</v>
      </c>
      <c r="AB8">
        <v>100.934</v>
      </c>
      <c r="AC8">
        <v>-48.501145055555554</v>
      </c>
      <c r="AD8">
        <v>70.9773809</v>
      </c>
      <c r="AE8">
        <v>101.871743</v>
      </c>
      <c r="AF8">
        <v>177.97</v>
      </c>
      <c r="AG8">
        <v>277.43200899999999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0.17643326023294181</v>
      </c>
      <c r="AP8">
        <v>0</v>
      </c>
      <c r="AQ8">
        <v>0.13962584285714286</v>
      </c>
      <c r="AR8">
        <v>0</v>
      </c>
      <c r="AS8">
        <v>0</v>
      </c>
      <c r="AT8">
        <v>0</v>
      </c>
    </row>
    <row r="9" spans="1:46" x14ac:dyDescent="0.3">
      <c r="A9">
        <v>2.2000000000000002</v>
      </c>
      <c r="B9">
        <v>0</v>
      </c>
      <c r="C9">
        <v>0</v>
      </c>
      <c r="D9">
        <v>0</v>
      </c>
      <c r="E9">
        <v>1.8</v>
      </c>
      <c r="F9">
        <v>0</v>
      </c>
      <c r="G9">
        <v>0</v>
      </c>
      <c r="H9">
        <v>0</v>
      </c>
      <c r="I9">
        <v>0</v>
      </c>
      <c r="J9">
        <v>2.06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427226330.04713166</v>
      </c>
      <c r="R9">
        <v>179058000</v>
      </c>
      <c r="S9">
        <v>79981630.79793103</v>
      </c>
      <c r="T9">
        <v>79029300</v>
      </c>
      <c r="U9">
        <v>15769879.92</v>
      </c>
      <c r="V9">
        <v>224.81044700000001</v>
      </c>
      <c r="W9">
        <v>3.2542328204630104</v>
      </c>
      <c r="X9">
        <v>43.418597300000002</v>
      </c>
      <c r="Y9">
        <v>804.53956500000004</v>
      </c>
      <c r="Z9">
        <v>6.7101389499999997E-12</v>
      </c>
      <c r="AA9">
        <v>25.509520764735495</v>
      </c>
      <c r="AB9">
        <v>100.934</v>
      </c>
      <c r="AC9">
        <v>-48.345858166666666</v>
      </c>
      <c r="AD9">
        <v>72.394248300000001</v>
      </c>
      <c r="AE9">
        <v>102.964737</v>
      </c>
      <c r="AF9">
        <v>177.97</v>
      </c>
      <c r="AG9">
        <v>276.42391099999998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0.20380830589419785</v>
      </c>
      <c r="AP9">
        <v>0</v>
      </c>
      <c r="AQ9">
        <v>0.3420354714285716</v>
      </c>
      <c r="AR9">
        <v>0</v>
      </c>
      <c r="AS9">
        <v>0</v>
      </c>
      <c r="AT9">
        <v>0</v>
      </c>
    </row>
    <row r="10" spans="1:46" x14ac:dyDescent="0.3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2.4</v>
      </c>
      <c r="H10">
        <v>0</v>
      </c>
      <c r="I10">
        <v>0</v>
      </c>
      <c r="J10">
        <v>0</v>
      </c>
      <c r="K10">
        <v>0</v>
      </c>
      <c r="L10">
        <v>3.44</v>
      </c>
      <c r="M10">
        <v>0</v>
      </c>
      <c r="N10">
        <v>1.5</v>
      </c>
      <c r="O10">
        <v>0</v>
      </c>
      <c r="P10">
        <v>0</v>
      </c>
      <c r="Q10">
        <v>427465544.57210183</v>
      </c>
      <c r="R10">
        <v>179057000</v>
      </c>
      <c r="S10">
        <v>79969027.990369245</v>
      </c>
      <c r="T10">
        <v>76928200</v>
      </c>
      <c r="U10">
        <v>15762676.560000001</v>
      </c>
      <c r="V10">
        <v>230.32018099999999</v>
      </c>
      <c r="W10">
        <v>3.2173406624649958</v>
      </c>
      <c r="X10">
        <v>44.4425636</v>
      </c>
      <c r="Y10">
        <v>799.04390599999999</v>
      </c>
      <c r="Z10">
        <v>4.02916955E-12</v>
      </c>
      <c r="AA10">
        <v>9.2842491955248683</v>
      </c>
      <c r="AB10">
        <v>100.934</v>
      </c>
      <c r="AC10">
        <v>-50.118285999999998</v>
      </c>
      <c r="AD10">
        <v>66.0592726</v>
      </c>
      <c r="AE10">
        <v>94.186467800000003</v>
      </c>
      <c r="AF10">
        <v>177.97</v>
      </c>
      <c r="AG10">
        <v>267.58515599999998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3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2.4</v>
      </c>
      <c r="H11">
        <v>0</v>
      </c>
      <c r="I11">
        <v>0</v>
      </c>
      <c r="J11">
        <v>0</v>
      </c>
      <c r="K11">
        <v>0</v>
      </c>
      <c r="L11">
        <v>0</v>
      </c>
      <c r="M11">
        <v>2.69</v>
      </c>
      <c r="N11">
        <v>1.5</v>
      </c>
      <c r="O11">
        <v>0</v>
      </c>
      <c r="P11">
        <v>0</v>
      </c>
      <c r="Q11">
        <v>427589715.20850503</v>
      </c>
      <c r="R11">
        <v>179136000</v>
      </c>
      <c r="S11">
        <v>80025649.26731576</v>
      </c>
      <c r="T11">
        <v>74751600</v>
      </c>
      <c r="U11">
        <v>15770518.48</v>
      </c>
      <c r="V11">
        <v>236.57942199999999</v>
      </c>
      <c r="W11">
        <v>3.1746622673525708</v>
      </c>
      <c r="X11">
        <v>43.726094199999999</v>
      </c>
      <c r="Y11">
        <v>794.53021000000001</v>
      </c>
      <c r="Z11">
        <v>1.9239546299999999E-11</v>
      </c>
      <c r="AA11">
        <v>10.597976299683268</v>
      </c>
      <c r="AB11">
        <v>100.934</v>
      </c>
      <c r="AC11" s="18">
        <v>-27.682032277777779</v>
      </c>
      <c r="AD11">
        <v>65.260756400000005</v>
      </c>
      <c r="AE11">
        <v>93.679266900000002</v>
      </c>
      <c r="AF11">
        <v>177.97</v>
      </c>
      <c r="AG11">
        <v>278.60948100000002</v>
      </c>
      <c r="AH11">
        <v>0</v>
      </c>
      <c r="AI11">
        <v>0</v>
      </c>
      <c r="AJ11">
        <v>0</v>
      </c>
      <c r="AK11">
        <v>0</v>
      </c>
      <c r="AL11">
        <v>3.0794919305555553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3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2.4</v>
      </c>
      <c r="H12">
        <v>0</v>
      </c>
      <c r="I12">
        <v>0</v>
      </c>
      <c r="J12">
        <v>0</v>
      </c>
      <c r="K12">
        <v>3.5</v>
      </c>
      <c r="L12">
        <v>0</v>
      </c>
      <c r="M12">
        <v>0</v>
      </c>
      <c r="N12">
        <v>0</v>
      </c>
      <c r="O12">
        <v>1.24</v>
      </c>
      <c r="P12">
        <v>0</v>
      </c>
      <c r="Q12">
        <v>427391859.15205437</v>
      </c>
      <c r="R12">
        <v>179061000</v>
      </c>
      <c r="S12">
        <v>79976029.116598845</v>
      </c>
      <c r="T12">
        <v>76809500</v>
      </c>
      <c r="U12">
        <v>15761992.560000001</v>
      </c>
      <c r="V12">
        <v>235.27903499999999</v>
      </c>
      <c r="W12">
        <v>3.1516199545136194</v>
      </c>
      <c r="X12">
        <v>43.2008583</v>
      </c>
      <c r="Y12">
        <v>782.31300699999997</v>
      </c>
      <c r="Z12">
        <v>1.40090796E-11</v>
      </c>
      <c r="AA12">
        <v>19.608318721528722</v>
      </c>
      <c r="AB12">
        <v>100.934</v>
      </c>
      <c r="AC12">
        <v>-46.661870222222227</v>
      </c>
      <c r="AD12">
        <v>65.420628600000001</v>
      </c>
      <c r="AE12">
        <v>93.959173399999997</v>
      </c>
      <c r="AF12">
        <v>177.97</v>
      </c>
      <c r="AG12">
        <v>276.41336799999999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3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3.5</v>
      </c>
      <c r="L13">
        <v>0</v>
      </c>
      <c r="M13">
        <v>0</v>
      </c>
      <c r="N13">
        <v>0</v>
      </c>
      <c r="O13">
        <v>0</v>
      </c>
      <c r="P13">
        <v>1.3</v>
      </c>
      <c r="Q13">
        <v>427401777.00917119</v>
      </c>
      <c r="R13">
        <v>179060000</v>
      </c>
      <c r="S13">
        <v>79975128.775155291</v>
      </c>
      <c r="T13">
        <v>76753700</v>
      </c>
      <c r="U13">
        <v>15761956</v>
      </c>
      <c r="V13">
        <v>234.93579399999999</v>
      </c>
      <c r="W13">
        <v>3.1572827946255675</v>
      </c>
      <c r="X13">
        <v>43.224384299999997</v>
      </c>
      <c r="Y13">
        <v>784.68277799999998</v>
      </c>
      <c r="Z13">
        <v>1.06312017E-11</v>
      </c>
      <c r="AA13">
        <v>19.498454155016944</v>
      </c>
      <c r="AB13">
        <v>100.934</v>
      </c>
      <c r="AC13">
        <v>-47.218648833333333</v>
      </c>
      <c r="AD13">
        <v>65.573990499999994</v>
      </c>
      <c r="AE13">
        <v>94.016049499999994</v>
      </c>
      <c r="AF13">
        <v>177.97</v>
      </c>
      <c r="AG13">
        <v>275.764185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FF93-5864-4285-9C1D-A0943EE0A1FF}">
  <dimension ref="A1:AQ10"/>
  <sheetViews>
    <sheetView workbookViewId="0">
      <selection activeCell="J18" sqref="J18"/>
    </sheetView>
  </sheetViews>
  <sheetFormatPr defaultRowHeight="16.5" x14ac:dyDescent="0.3"/>
  <cols>
    <col min="1" max="16384" width="9" style="27"/>
  </cols>
  <sheetData>
    <row r="1" spans="1:43" x14ac:dyDescent="0.3">
      <c r="A1" s="27" t="s">
        <v>59</v>
      </c>
      <c r="B1" s="27" t="s">
        <v>319</v>
      </c>
      <c r="C1" s="27" t="s">
        <v>336</v>
      </c>
      <c r="D1" s="27" t="s">
        <v>337</v>
      </c>
      <c r="E1" s="27" t="s">
        <v>338</v>
      </c>
      <c r="F1" s="27" t="s">
        <v>339</v>
      </c>
      <c r="G1" s="27" t="s">
        <v>340</v>
      </c>
      <c r="H1" s="27" t="s">
        <v>341</v>
      </c>
      <c r="I1" s="27" t="s">
        <v>49</v>
      </c>
      <c r="J1" s="27" t="s">
        <v>328</v>
      </c>
      <c r="K1" s="27" t="s">
        <v>50</v>
      </c>
      <c r="L1" s="27" t="s">
        <v>332</v>
      </c>
      <c r="M1" s="27" t="s">
        <v>334</v>
      </c>
      <c r="N1" s="27" t="s">
        <v>203</v>
      </c>
      <c r="O1" s="27" t="s">
        <v>204</v>
      </c>
      <c r="P1" s="27" t="s">
        <v>205</v>
      </c>
      <c r="Q1" s="27" t="s">
        <v>206</v>
      </c>
      <c r="R1" s="27" t="s">
        <v>207</v>
      </c>
      <c r="S1" s="27" t="s">
        <v>155</v>
      </c>
      <c r="T1" s="27" t="s">
        <v>208</v>
      </c>
      <c r="U1" s="27" t="s">
        <v>185</v>
      </c>
      <c r="V1" s="27" t="s">
        <v>186</v>
      </c>
      <c r="W1" s="27" t="s">
        <v>187</v>
      </c>
      <c r="X1" s="27" t="s">
        <v>188</v>
      </c>
      <c r="Y1" s="27" t="s">
        <v>209</v>
      </c>
      <c r="Z1" s="27" t="s">
        <v>210</v>
      </c>
      <c r="AA1" s="27" t="s">
        <v>355</v>
      </c>
      <c r="AB1" s="27" t="s">
        <v>356</v>
      </c>
      <c r="AC1" s="27" t="s">
        <v>357</v>
      </c>
      <c r="AD1" s="27" t="s">
        <v>358</v>
      </c>
      <c r="AE1" s="27" t="s">
        <v>211</v>
      </c>
      <c r="AF1" s="27" t="s">
        <v>212</v>
      </c>
      <c r="AG1" s="27" t="s">
        <v>213</v>
      </c>
      <c r="AH1" s="27" t="s">
        <v>214</v>
      </c>
      <c r="AI1" s="27" t="s">
        <v>215</v>
      </c>
      <c r="AJ1" s="27" t="s">
        <v>216</v>
      </c>
      <c r="AK1" s="27" t="s">
        <v>217</v>
      </c>
      <c r="AL1" s="27" t="s">
        <v>218</v>
      </c>
      <c r="AM1" s="27" t="s">
        <v>219</v>
      </c>
      <c r="AN1" s="27" t="s">
        <v>359</v>
      </c>
      <c r="AO1" s="27" t="s">
        <v>360</v>
      </c>
      <c r="AP1" s="27" t="s">
        <v>361</v>
      </c>
      <c r="AQ1" s="27" t="s">
        <v>362</v>
      </c>
    </row>
    <row r="2" spans="1:43" x14ac:dyDescent="0.3">
      <c r="A2" s="27">
        <v>2.2000000000000002</v>
      </c>
      <c r="B2" s="27">
        <v>0</v>
      </c>
      <c r="C2" s="27">
        <v>1.8</v>
      </c>
      <c r="D2" s="27">
        <v>0</v>
      </c>
      <c r="E2" s="27">
        <v>2.4</v>
      </c>
      <c r="F2" s="27">
        <v>0</v>
      </c>
      <c r="G2" s="27">
        <v>0</v>
      </c>
      <c r="H2" s="27">
        <v>0</v>
      </c>
      <c r="I2" s="27">
        <v>3.5</v>
      </c>
      <c r="J2" s="27">
        <v>0</v>
      </c>
      <c r="K2" s="27">
        <v>1.5</v>
      </c>
      <c r="L2" s="27">
        <v>0</v>
      </c>
      <c r="M2" s="27">
        <v>0</v>
      </c>
      <c r="N2" s="27">
        <v>427361737.06816566</v>
      </c>
      <c r="O2" s="27">
        <v>179051000</v>
      </c>
      <c r="P2" s="27">
        <v>79966127.197776437</v>
      </c>
      <c r="Q2" s="27">
        <v>77196800</v>
      </c>
      <c r="R2" s="27">
        <v>15761599.68</v>
      </c>
      <c r="S2" s="27">
        <v>233.882384</v>
      </c>
      <c r="T2" s="27">
        <v>3.1628540075595133</v>
      </c>
      <c r="U2" s="27">
        <v>43.435541800000003</v>
      </c>
      <c r="V2" s="27">
        <v>786.175927</v>
      </c>
      <c r="W2" s="27">
        <v>4.1393855999999997E-12</v>
      </c>
      <c r="X2" s="27">
        <v>24.225895207967255</v>
      </c>
      <c r="Y2" s="27">
        <v>100.934</v>
      </c>
      <c r="Z2" s="27">
        <v>-51.369137722222227</v>
      </c>
      <c r="AA2" s="27">
        <v>65.711820000000003</v>
      </c>
      <c r="AB2" s="27">
        <v>94.099566800000005</v>
      </c>
      <c r="AC2" s="27">
        <v>177.97</v>
      </c>
      <c r="AD2" s="27">
        <v>265.57842799999997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</row>
    <row r="3" spans="1:43" x14ac:dyDescent="0.3">
      <c r="A3" s="27">
        <v>0</v>
      </c>
      <c r="B3" s="27">
        <v>2.14</v>
      </c>
      <c r="C3" s="27">
        <v>1.8</v>
      </c>
      <c r="D3" s="27">
        <v>0</v>
      </c>
      <c r="E3" s="27">
        <v>2.4</v>
      </c>
      <c r="F3" s="27">
        <v>0</v>
      </c>
      <c r="G3" s="27">
        <v>0</v>
      </c>
      <c r="H3" s="27">
        <v>0</v>
      </c>
      <c r="I3" s="27">
        <v>3.5</v>
      </c>
      <c r="J3" s="27">
        <v>0</v>
      </c>
      <c r="K3" s="27">
        <v>1.5</v>
      </c>
      <c r="L3" s="27">
        <v>0</v>
      </c>
      <c r="M3" s="27">
        <v>0</v>
      </c>
      <c r="N3" s="27">
        <v>427385702.14081061</v>
      </c>
      <c r="O3" s="27">
        <v>179057000</v>
      </c>
      <c r="P3" s="27">
        <v>79972128.299969405</v>
      </c>
      <c r="Q3" s="27">
        <v>77231100</v>
      </c>
      <c r="R3" s="27">
        <v>15761868.800000001</v>
      </c>
      <c r="S3" s="27">
        <v>233.53511599999999</v>
      </c>
      <c r="T3" s="27">
        <v>3.1670919182246142</v>
      </c>
      <c r="U3" s="27">
        <v>43.436304</v>
      </c>
      <c r="V3" s="27">
        <v>785.23548300000004</v>
      </c>
      <c r="W3" s="27">
        <v>5.1557088700000004E-12</v>
      </c>
      <c r="X3" s="27">
        <v>23.764076239760147</v>
      </c>
      <c r="Y3" s="27">
        <v>100.934</v>
      </c>
      <c r="Z3" s="27">
        <v>-51.300818388888892</v>
      </c>
      <c r="AA3" s="27">
        <v>65.765693900000002</v>
      </c>
      <c r="AB3" s="27">
        <v>94.099301800000006</v>
      </c>
      <c r="AC3" s="27">
        <v>177.97</v>
      </c>
      <c r="AD3" s="27">
        <v>262.586319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</row>
    <row r="4" spans="1:43" x14ac:dyDescent="0.3">
      <c r="A4" s="27">
        <v>2.2000000000000002</v>
      </c>
      <c r="B4" s="27">
        <v>0</v>
      </c>
      <c r="C4" s="27">
        <v>0</v>
      </c>
      <c r="D4" s="27">
        <v>2.1</v>
      </c>
      <c r="E4" s="27">
        <v>2.4</v>
      </c>
      <c r="F4" s="27">
        <v>0</v>
      </c>
      <c r="G4" s="27">
        <v>0</v>
      </c>
      <c r="H4" s="27">
        <v>0</v>
      </c>
      <c r="I4" s="27">
        <v>3.5</v>
      </c>
      <c r="J4" s="27">
        <v>0</v>
      </c>
      <c r="K4" s="27">
        <v>1.5</v>
      </c>
      <c r="L4" s="27">
        <v>0</v>
      </c>
      <c r="M4" s="27">
        <v>0</v>
      </c>
      <c r="N4" s="27">
        <v>427457937.09520495</v>
      </c>
      <c r="O4" s="27">
        <v>179053000</v>
      </c>
      <c r="P4" s="27">
        <v>79953725.370169997</v>
      </c>
      <c r="Q4" s="27">
        <v>76087400</v>
      </c>
      <c r="R4" s="27">
        <v>15758545.200000001</v>
      </c>
      <c r="S4" s="27">
        <v>234.82317</v>
      </c>
      <c r="T4" s="27">
        <v>3.1713533190097984</v>
      </c>
      <c r="U4" s="27">
        <v>43.476356199999998</v>
      </c>
      <c r="V4" s="27">
        <v>785.49212299999999</v>
      </c>
      <c r="W4" s="27">
        <v>2.9143609800000001E-12</v>
      </c>
      <c r="X4" s="27">
        <v>23.781164706337947</v>
      </c>
      <c r="Y4" s="27">
        <v>91.850000000000009</v>
      </c>
      <c r="Z4" s="27">
        <v>-52.542917166666662</v>
      </c>
      <c r="AA4" s="27">
        <v>64.648477499999998</v>
      </c>
      <c r="AB4" s="27">
        <v>86.776644300000001</v>
      </c>
      <c r="AC4" s="27">
        <v>177.97</v>
      </c>
      <c r="AD4" s="27">
        <v>260.52021000000002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</row>
    <row r="5" spans="1:43" x14ac:dyDescent="0.3">
      <c r="A5" s="27">
        <v>2.2000000000000002</v>
      </c>
      <c r="B5" s="27">
        <v>0</v>
      </c>
      <c r="C5" s="27">
        <v>1.8</v>
      </c>
      <c r="D5" s="27">
        <v>0</v>
      </c>
      <c r="E5" s="27">
        <v>0</v>
      </c>
      <c r="F5" s="27">
        <v>2.06</v>
      </c>
      <c r="G5" s="27">
        <v>0</v>
      </c>
      <c r="H5" s="27">
        <v>0</v>
      </c>
      <c r="I5" s="27">
        <v>3.5</v>
      </c>
      <c r="J5" s="27">
        <v>0</v>
      </c>
      <c r="K5" s="27">
        <v>1.5</v>
      </c>
      <c r="L5" s="27">
        <v>0</v>
      </c>
      <c r="M5" s="27">
        <v>0</v>
      </c>
      <c r="N5" s="27">
        <v>427160713.17518514</v>
      </c>
      <c r="O5" s="27">
        <v>179052000</v>
      </c>
      <c r="P5" s="27">
        <v>79981030.226598576</v>
      </c>
      <c r="Q5" s="27">
        <v>78035500</v>
      </c>
      <c r="R5" s="27">
        <v>15764842.16</v>
      </c>
      <c r="S5" s="27">
        <v>232.83053200000001</v>
      </c>
      <c r="T5" s="27">
        <v>3.1606742895246245</v>
      </c>
      <c r="U5" s="27">
        <v>43.380719499999998</v>
      </c>
      <c r="V5" s="27">
        <v>787.02452499999993</v>
      </c>
      <c r="W5" s="27">
        <v>6.0708770600000001E-12</v>
      </c>
      <c r="X5" s="27">
        <v>24.720812515873231</v>
      </c>
      <c r="Y5" s="27">
        <v>100.934</v>
      </c>
      <c r="Z5" s="27">
        <v>-50.133857111111105</v>
      </c>
      <c r="AA5" s="27">
        <v>69.797302799999997</v>
      </c>
      <c r="AB5" s="27">
        <v>96.904744399999998</v>
      </c>
      <c r="AC5" s="27">
        <v>177.97</v>
      </c>
      <c r="AD5" s="27">
        <v>276.27467200000001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</row>
    <row r="6" spans="1:43" x14ac:dyDescent="0.3">
      <c r="A6" s="27">
        <v>2.2000000000000002</v>
      </c>
      <c r="B6" s="27">
        <v>0</v>
      </c>
      <c r="C6" s="27">
        <v>1.8</v>
      </c>
      <c r="D6" s="27">
        <v>0</v>
      </c>
      <c r="E6" s="27">
        <v>0</v>
      </c>
      <c r="F6" s="27">
        <v>0</v>
      </c>
      <c r="G6" s="27">
        <v>1.77</v>
      </c>
      <c r="H6" s="27">
        <v>0</v>
      </c>
      <c r="I6" s="27">
        <v>3.5</v>
      </c>
      <c r="J6" s="27">
        <v>0</v>
      </c>
      <c r="K6" s="27">
        <v>1.5</v>
      </c>
      <c r="L6" s="27">
        <v>0</v>
      </c>
      <c r="M6" s="27">
        <v>0</v>
      </c>
      <c r="N6" s="27">
        <v>427166479.53443825</v>
      </c>
      <c r="O6" s="27">
        <v>179073000</v>
      </c>
      <c r="P6" s="27">
        <v>79998137.395886123</v>
      </c>
      <c r="Q6" s="27">
        <v>78213200</v>
      </c>
      <c r="R6" s="27">
        <v>15770140.880000001</v>
      </c>
      <c r="S6" s="27">
        <v>229.19846000000001</v>
      </c>
      <c r="T6" s="27">
        <v>3.2077600506508723</v>
      </c>
      <c r="U6" s="27">
        <v>43.290076800000001</v>
      </c>
      <c r="V6" s="27">
        <v>797.91731700000003</v>
      </c>
      <c r="W6" s="27">
        <v>8.9420931900000005E-12</v>
      </c>
      <c r="X6" s="27">
        <v>25.441083150582354</v>
      </c>
      <c r="Y6" s="27">
        <v>100.934</v>
      </c>
      <c r="Z6" s="27">
        <v>-48.501145055555554</v>
      </c>
      <c r="AA6" s="27">
        <v>70.9773809</v>
      </c>
      <c r="AB6" s="27">
        <v>101.871743</v>
      </c>
      <c r="AC6" s="27">
        <v>177.97</v>
      </c>
      <c r="AD6" s="27">
        <v>277.43200899999999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0.17643326023294181</v>
      </c>
      <c r="AM6" s="27">
        <v>0</v>
      </c>
      <c r="AN6" s="27">
        <v>0.13962584285714286</v>
      </c>
      <c r="AO6" s="27">
        <v>0</v>
      </c>
      <c r="AP6" s="27">
        <v>0</v>
      </c>
      <c r="AQ6" s="27">
        <v>0</v>
      </c>
    </row>
    <row r="7" spans="1:43" x14ac:dyDescent="0.3">
      <c r="A7" s="27">
        <v>2.2000000000000002</v>
      </c>
      <c r="B7" s="27">
        <v>0</v>
      </c>
      <c r="C7" s="27">
        <v>1.8</v>
      </c>
      <c r="D7" s="27">
        <v>0</v>
      </c>
      <c r="E7" s="27">
        <v>0</v>
      </c>
      <c r="F7" s="27">
        <v>0</v>
      </c>
      <c r="G7" s="27">
        <v>0</v>
      </c>
      <c r="H7" s="27">
        <v>2.06</v>
      </c>
      <c r="I7" s="27">
        <v>3.5</v>
      </c>
      <c r="J7" s="27">
        <v>0</v>
      </c>
      <c r="K7" s="27">
        <v>1.5</v>
      </c>
      <c r="L7" s="27">
        <v>0</v>
      </c>
      <c r="M7" s="27">
        <v>0</v>
      </c>
      <c r="N7" s="27">
        <v>427226330.04713166</v>
      </c>
      <c r="O7" s="27">
        <v>179058000</v>
      </c>
      <c r="P7" s="27">
        <v>79981630.79793103</v>
      </c>
      <c r="Q7" s="27">
        <v>79029300</v>
      </c>
      <c r="R7" s="27">
        <v>15769879.92</v>
      </c>
      <c r="S7" s="27">
        <v>224.81044700000001</v>
      </c>
      <c r="T7" s="27">
        <v>3.2542328204630104</v>
      </c>
      <c r="U7" s="27">
        <v>43.418597300000002</v>
      </c>
      <c r="V7" s="27">
        <v>804.53956500000004</v>
      </c>
      <c r="W7" s="27">
        <v>6.7101389499999997E-12</v>
      </c>
      <c r="X7" s="27">
        <v>25.509520764735495</v>
      </c>
      <c r="Y7" s="27">
        <v>100.934</v>
      </c>
      <c r="Z7" s="27">
        <v>-48.345858166666666</v>
      </c>
      <c r="AA7" s="27">
        <v>72.394248300000001</v>
      </c>
      <c r="AB7" s="27">
        <v>102.964737</v>
      </c>
      <c r="AC7" s="27">
        <v>177.97</v>
      </c>
      <c r="AD7" s="27">
        <v>276.42391099999998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0.20380830589419785</v>
      </c>
      <c r="AM7" s="27">
        <v>0</v>
      </c>
      <c r="AN7" s="27">
        <v>0.3420354714285716</v>
      </c>
      <c r="AO7" s="27">
        <v>0</v>
      </c>
      <c r="AP7" s="27">
        <v>0</v>
      </c>
      <c r="AQ7" s="27">
        <v>0</v>
      </c>
    </row>
    <row r="8" spans="1:43" x14ac:dyDescent="0.3">
      <c r="A8" s="27">
        <v>2.2000000000000002</v>
      </c>
      <c r="B8" s="27">
        <v>0</v>
      </c>
      <c r="C8" s="27">
        <v>1.8</v>
      </c>
      <c r="D8" s="27">
        <v>0</v>
      </c>
      <c r="E8" s="27">
        <v>2.4</v>
      </c>
      <c r="F8" s="27">
        <v>0</v>
      </c>
      <c r="G8" s="27">
        <v>0</v>
      </c>
      <c r="H8" s="27">
        <v>0</v>
      </c>
      <c r="I8" s="27">
        <v>0</v>
      </c>
      <c r="J8" s="27">
        <v>3.44</v>
      </c>
      <c r="K8" s="27">
        <v>1.5</v>
      </c>
      <c r="L8" s="27">
        <v>0</v>
      </c>
      <c r="M8" s="27">
        <v>0</v>
      </c>
      <c r="N8" s="27">
        <v>427465544.57210183</v>
      </c>
      <c r="O8" s="27">
        <v>179057000</v>
      </c>
      <c r="P8" s="27">
        <v>79969027.990369245</v>
      </c>
      <c r="Q8" s="27">
        <v>76928200</v>
      </c>
      <c r="R8" s="27">
        <v>15762676.560000001</v>
      </c>
      <c r="S8" s="27">
        <v>230.32018099999999</v>
      </c>
      <c r="T8" s="27">
        <v>3.2173406624649958</v>
      </c>
      <c r="U8" s="27">
        <v>44.4425636</v>
      </c>
      <c r="V8" s="27">
        <v>799.04390599999999</v>
      </c>
      <c r="W8" s="27">
        <v>4.02916955E-12</v>
      </c>
      <c r="X8" s="27">
        <v>9.2842491955248683</v>
      </c>
      <c r="Y8" s="27">
        <v>100.934</v>
      </c>
      <c r="Z8" s="27">
        <v>-50.118285999999998</v>
      </c>
      <c r="AA8" s="27">
        <v>66.0592726</v>
      </c>
      <c r="AB8" s="27">
        <v>94.186467800000003</v>
      </c>
      <c r="AC8" s="27">
        <v>177.97</v>
      </c>
      <c r="AD8" s="27">
        <v>267.58515599999998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</row>
    <row r="9" spans="1:43" x14ac:dyDescent="0.3">
      <c r="A9" s="27">
        <v>2.2000000000000002</v>
      </c>
      <c r="B9" s="27">
        <v>0</v>
      </c>
      <c r="C9" s="27">
        <v>1.8</v>
      </c>
      <c r="D9" s="27">
        <v>0</v>
      </c>
      <c r="E9" s="27">
        <v>2.4</v>
      </c>
      <c r="F9" s="27">
        <v>0</v>
      </c>
      <c r="G9" s="27">
        <v>0</v>
      </c>
      <c r="H9" s="27">
        <v>0</v>
      </c>
      <c r="I9" s="27">
        <v>3.5</v>
      </c>
      <c r="J9" s="27">
        <v>0</v>
      </c>
      <c r="K9" s="27">
        <v>0</v>
      </c>
      <c r="L9" s="27">
        <v>1.24</v>
      </c>
      <c r="M9" s="27">
        <v>0</v>
      </c>
      <c r="N9" s="27">
        <v>427391859.15205437</v>
      </c>
      <c r="O9" s="27">
        <v>179061000</v>
      </c>
      <c r="P9" s="27">
        <v>79976029.116598845</v>
      </c>
      <c r="Q9" s="27">
        <v>76809500</v>
      </c>
      <c r="R9" s="27">
        <v>15761992.560000001</v>
      </c>
      <c r="S9" s="27">
        <v>235.27903499999999</v>
      </c>
      <c r="T9" s="27">
        <v>3.1516199545136194</v>
      </c>
      <c r="U9" s="27">
        <v>43.2008583</v>
      </c>
      <c r="V9" s="27">
        <v>782.31300699999997</v>
      </c>
      <c r="W9" s="27">
        <v>1.40090796E-11</v>
      </c>
      <c r="X9" s="27">
        <v>19.608318721528722</v>
      </c>
      <c r="Y9" s="27">
        <v>100.934</v>
      </c>
      <c r="Z9" s="27">
        <v>-46.661870222222227</v>
      </c>
      <c r="AA9" s="27">
        <v>65.420628600000001</v>
      </c>
      <c r="AB9" s="27">
        <v>93.959173399999997</v>
      </c>
      <c r="AC9" s="27">
        <v>177.97</v>
      </c>
      <c r="AD9" s="27">
        <v>276.41336799999999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</row>
    <row r="10" spans="1:43" x14ac:dyDescent="0.3">
      <c r="A10" s="27">
        <v>2.2000000000000002</v>
      </c>
      <c r="B10" s="27">
        <v>0</v>
      </c>
      <c r="C10" s="27">
        <v>1.8</v>
      </c>
      <c r="D10" s="27">
        <v>0</v>
      </c>
      <c r="E10" s="27">
        <v>2.4</v>
      </c>
      <c r="F10" s="27">
        <v>0</v>
      </c>
      <c r="G10" s="27">
        <v>0</v>
      </c>
      <c r="H10" s="27">
        <v>0</v>
      </c>
      <c r="I10" s="27">
        <v>3.5</v>
      </c>
      <c r="J10" s="27">
        <v>0</v>
      </c>
      <c r="K10" s="27">
        <v>0</v>
      </c>
      <c r="L10" s="27">
        <v>0</v>
      </c>
      <c r="M10" s="27">
        <v>1.3</v>
      </c>
      <c r="N10" s="27">
        <v>427401777.00917119</v>
      </c>
      <c r="O10" s="27">
        <v>179060000</v>
      </c>
      <c r="P10" s="27">
        <v>79975128.775155291</v>
      </c>
      <c r="Q10" s="27">
        <v>76753700</v>
      </c>
      <c r="R10" s="27">
        <v>15761956</v>
      </c>
      <c r="S10" s="27">
        <v>234.93579399999999</v>
      </c>
      <c r="T10" s="27">
        <v>3.1572827946255675</v>
      </c>
      <c r="U10" s="27">
        <v>43.224384299999997</v>
      </c>
      <c r="V10" s="27">
        <v>784.68277799999998</v>
      </c>
      <c r="W10" s="27">
        <v>1.06312017E-11</v>
      </c>
      <c r="X10" s="27">
        <v>19.498454155016944</v>
      </c>
      <c r="Y10" s="27">
        <v>100.934</v>
      </c>
      <c r="Z10" s="27">
        <v>-47.218648833333333</v>
      </c>
      <c r="AA10" s="27">
        <v>65.573990499999994</v>
      </c>
      <c r="AB10" s="27">
        <v>94.016049499999994</v>
      </c>
      <c r="AC10" s="27">
        <v>177.97</v>
      </c>
      <c r="AD10" s="27">
        <v>275.764185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00F8-E988-422B-8CF2-9A9A547309FF}">
  <dimension ref="A1:AT16"/>
  <sheetViews>
    <sheetView topLeftCell="N1" workbookViewId="0">
      <selection activeCell="O18" sqref="O18"/>
    </sheetView>
  </sheetViews>
  <sheetFormatPr defaultRowHeight="16.5" x14ac:dyDescent="0.3"/>
  <sheetData>
    <row r="1" spans="1:46" x14ac:dyDescent="0.3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 x14ac:dyDescent="0.3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428290906.62885576</v>
      </c>
      <c r="R2">
        <v>179086000</v>
      </c>
      <c r="S2">
        <v>79956621.717422411</v>
      </c>
      <c r="T2">
        <v>86319300</v>
      </c>
      <c r="U2">
        <v>15779118.24</v>
      </c>
      <c r="V2">
        <v>160.951278</v>
      </c>
      <c r="W2">
        <v>4.3507034893815231</v>
      </c>
      <c r="X2">
        <v>43.9467097</v>
      </c>
      <c r="Y2">
        <v>769.6465300000001</v>
      </c>
      <c r="Z2">
        <v>1.5332802499999999E-30</v>
      </c>
      <c r="AA2">
        <v>21.904526009350679</v>
      </c>
      <c r="AB2">
        <v>100.934</v>
      </c>
      <c r="AC2">
        <v>-61.013861111111105</v>
      </c>
      <c r="AD2">
        <v>65.711820000000003</v>
      </c>
      <c r="AE2">
        <v>94.099566800000005</v>
      </c>
      <c r="AF2">
        <v>100.934</v>
      </c>
      <c r="AG2">
        <v>222.43627499999999</v>
      </c>
      <c r="AH2">
        <v>99</v>
      </c>
      <c r="AI2">
        <v>0</v>
      </c>
      <c r="AJ2">
        <v>6.9077032258063248E-2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3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427931937.42081493</v>
      </c>
      <c r="R3">
        <v>179048000</v>
      </c>
      <c r="S3">
        <v>79918718.467956245</v>
      </c>
      <c r="T3">
        <v>85380500</v>
      </c>
      <c r="U3">
        <v>15778156</v>
      </c>
      <c r="V3">
        <v>166.48470800000001</v>
      </c>
      <c r="W3">
        <v>4.2285207164162939</v>
      </c>
      <c r="X3">
        <v>44.036015499999998</v>
      </c>
      <c r="Y3">
        <v>772.057547</v>
      </c>
      <c r="Z3">
        <v>1.50080323E-30</v>
      </c>
      <c r="AA3">
        <v>21.740764074125988</v>
      </c>
      <c r="AB3">
        <v>100.934</v>
      </c>
      <c r="AC3">
        <v>-61.592126166666667</v>
      </c>
      <c r="AD3">
        <v>69.225417100000001</v>
      </c>
      <c r="AE3">
        <v>94.879481699999999</v>
      </c>
      <c r="AF3">
        <v>121.52199999999999</v>
      </c>
      <c r="AG3">
        <v>214.05455000000001</v>
      </c>
      <c r="AH3">
        <v>0</v>
      </c>
      <c r="AI3">
        <v>0</v>
      </c>
      <c r="AJ3">
        <v>3.796713548387097E-2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3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428166424.16490316</v>
      </c>
      <c r="R4">
        <v>179083000</v>
      </c>
      <c r="S4">
        <v>79953026.584328502</v>
      </c>
      <c r="T4">
        <v>85371300</v>
      </c>
      <c r="U4">
        <v>15780433.119999999</v>
      </c>
      <c r="V4">
        <v>165.110861</v>
      </c>
      <c r="W4">
        <v>4.2658510098062594</v>
      </c>
      <c r="X4">
        <v>43.9712818</v>
      </c>
      <c r="Y4">
        <v>770.46371599999998</v>
      </c>
      <c r="Z4">
        <v>9.6690337600000001E-30</v>
      </c>
      <c r="AA4">
        <v>22.551552432317401</v>
      </c>
      <c r="AB4">
        <v>100.934</v>
      </c>
      <c r="AC4">
        <v>-60.822425611111107</v>
      </c>
      <c r="AD4">
        <v>69.167763899999997</v>
      </c>
      <c r="AE4">
        <v>94.810027300000002</v>
      </c>
      <c r="AF4">
        <v>121.52199999999999</v>
      </c>
      <c r="AG4">
        <v>227.352138</v>
      </c>
      <c r="AH4">
        <v>0</v>
      </c>
      <c r="AI4">
        <v>0</v>
      </c>
      <c r="AJ4">
        <v>5.853269677419385E-2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3">
      <c r="A5">
        <v>2.2000000000000002</v>
      </c>
      <c r="B5">
        <v>0</v>
      </c>
      <c r="C5">
        <v>0</v>
      </c>
      <c r="D5">
        <v>0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0</v>
      </c>
      <c r="L5">
        <v>0</v>
      </c>
      <c r="M5">
        <v>2.69</v>
      </c>
      <c r="N5">
        <v>1.5</v>
      </c>
      <c r="O5">
        <v>0</v>
      </c>
      <c r="P5">
        <v>0</v>
      </c>
      <c r="Q5">
        <v>428560678.50919688</v>
      </c>
      <c r="R5">
        <v>179136000</v>
      </c>
      <c r="S5">
        <v>80000226.638154149</v>
      </c>
      <c r="T5">
        <v>84445800</v>
      </c>
      <c r="U5">
        <v>15783835.039999999</v>
      </c>
      <c r="V5">
        <v>166.71750599999999</v>
      </c>
      <c r="W5">
        <v>4.2522553509704011</v>
      </c>
      <c r="X5">
        <v>44.678389099999997</v>
      </c>
      <c r="Y5">
        <v>757.677864</v>
      </c>
      <c r="Z5">
        <v>1.03965479E-26</v>
      </c>
      <c r="AA5">
        <v>7.0038076090695487</v>
      </c>
      <c r="AB5">
        <v>91.850000000000009</v>
      </c>
      <c r="AC5">
        <v>-75.259442222222219</v>
      </c>
      <c r="AD5">
        <v>65.260756400000005</v>
      </c>
      <c r="AE5">
        <v>93.679266900000002</v>
      </c>
      <c r="AF5">
        <v>100.934</v>
      </c>
      <c r="AG5">
        <v>223.45106000000001</v>
      </c>
      <c r="AH5">
        <v>0</v>
      </c>
      <c r="AI5">
        <v>0</v>
      </c>
      <c r="AJ5">
        <v>0.22351143225806452</v>
      </c>
      <c r="AK5">
        <v>0</v>
      </c>
      <c r="AL5">
        <v>0</v>
      </c>
      <c r="AM5">
        <v>0</v>
      </c>
      <c r="AN5">
        <v>1.2452404886630641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3">
      <c r="A6">
        <v>0</v>
      </c>
      <c r="B6">
        <v>3.06</v>
      </c>
      <c r="C6">
        <v>0</v>
      </c>
      <c r="D6">
        <v>0</v>
      </c>
      <c r="E6">
        <v>1.8</v>
      </c>
      <c r="F6">
        <v>0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427930937.42081493</v>
      </c>
      <c r="R6">
        <v>179048000</v>
      </c>
      <c r="S6">
        <v>79918718.467956245</v>
      </c>
      <c r="T6">
        <v>85380500</v>
      </c>
      <c r="U6">
        <v>15778156</v>
      </c>
      <c r="V6">
        <v>166.48470800000001</v>
      </c>
      <c r="W6">
        <v>4.2285166388338444</v>
      </c>
      <c r="X6">
        <v>44.036015499999998</v>
      </c>
      <c r="Y6">
        <v>772.057547</v>
      </c>
      <c r="Z6">
        <v>1.50080323E-30</v>
      </c>
      <c r="AA6">
        <v>21.740764074125988</v>
      </c>
      <c r="AB6">
        <v>100.934</v>
      </c>
      <c r="AC6">
        <v>-61.592126166666667</v>
      </c>
      <c r="AD6">
        <v>69.225417100000001</v>
      </c>
      <c r="AE6">
        <v>94.879481699999999</v>
      </c>
      <c r="AF6">
        <v>121.52199999999999</v>
      </c>
      <c r="AG6">
        <v>214.05455000000001</v>
      </c>
      <c r="AH6">
        <v>0</v>
      </c>
      <c r="AI6">
        <v>0</v>
      </c>
      <c r="AJ6">
        <v>3.796713548387097E-2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3">
      <c r="A7">
        <v>0</v>
      </c>
      <c r="B7">
        <v>0</v>
      </c>
      <c r="C7">
        <v>3</v>
      </c>
      <c r="D7">
        <v>0</v>
      </c>
      <c r="E7">
        <v>1.8</v>
      </c>
      <c r="F7">
        <v>0</v>
      </c>
      <c r="G7">
        <v>2.4</v>
      </c>
      <c r="H7">
        <v>0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428166424.16490316</v>
      </c>
      <c r="R7">
        <v>179083000</v>
      </c>
      <c r="S7">
        <v>79953026.584328502</v>
      </c>
      <c r="T7">
        <v>85371300</v>
      </c>
      <c r="U7">
        <v>15780433.119999999</v>
      </c>
      <c r="V7">
        <v>165.110861</v>
      </c>
      <c r="W7">
        <v>4.2658510098062594</v>
      </c>
      <c r="X7">
        <v>43.9712818</v>
      </c>
      <c r="Y7">
        <v>770.46371599999998</v>
      </c>
      <c r="Z7">
        <v>9.6690337600000001E-30</v>
      </c>
      <c r="AA7">
        <v>22.551552432317401</v>
      </c>
      <c r="AB7">
        <v>100.934</v>
      </c>
      <c r="AC7">
        <v>-60.822425611111107</v>
      </c>
      <c r="AD7">
        <v>69.167763899999997</v>
      </c>
      <c r="AE7">
        <v>94.810027300000002</v>
      </c>
      <c r="AF7">
        <v>121.52199999999999</v>
      </c>
      <c r="AG7">
        <v>227.352138</v>
      </c>
      <c r="AH7">
        <v>0</v>
      </c>
      <c r="AI7">
        <v>0</v>
      </c>
      <c r="AJ7">
        <v>5.853269677419385E-2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3">
      <c r="A8">
        <v>0</v>
      </c>
      <c r="B8">
        <v>0</v>
      </c>
      <c r="C8">
        <v>0</v>
      </c>
      <c r="D8">
        <v>2.14</v>
      </c>
      <c r="E8">
        <v>1.8</v>
      </c>
      <c r="F8">
        <v>0</v>
      </c>
      <c r="G8">
        <v>2.4</v>
      </c>
      <c r="H8">
        <v>0</v>
      </c>
      <c r="I8">
        <v>0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428303035.66050625</v>
      </c>
      <c r="R8">
        <v>179092000</v>
      </c>
      <c r="S8">
        <v>79962922.870359391</v>
      </c>
      <c r="T8">
        <v>86363500</v>
      </c>
      <c r="U8">
        <v>15778755.84</v>
      </c>
      <c r="V8">
        <v>160.56985599999999</v>
      </c>
      <c r="W8">
        <v>4.3600393641708433</v>
      </c>
      <c r="X8">
        <v>43.945353099999998</v>
      </c>
      <c r="Y8">
        <v>769.63521400000002</v>
      </c>
      <c r="Z8">
        <v>1.37752338E-30</v>
      </c>
      <c r="AA8">
        <v>21.892271526631621</v>
      </c>
      <c r="AB8">
        <v>100.934</v>
      </c>
      <c r="AC8">
        <v>-60.985549388888884</v>
      </c>
      <c r="AD8">
        <v>65.765693900000002</v>
      </c>
      <c r="AE8">
        <v>94.099301800000006</v>
      </c>
      <c r="AF8">
        <v>100.934</v>
      </c>
      <c r="AG8">
        <v>229.43027799999999</v>
      </c>
      <c r="AH8">
        <v>0</v>
      </c>
      <c r="AI8">
        <v>0</v>
      </c>
      <c r="AJ8">
        <v>6.9223045161290075E-2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3">
      <c r="A9">
        <v>2.2000000000000002</v>
      </c>
      <c r="B9">
        <v>0</v>
      </c>
      <c r="C9">
        <v>0</v>
      </c>
      <c r="D9">
        <v>0</v>
      </c>
      <c r="E9">
        <v>0</v>
      </c>
      <c r="F9">
        <v>2.1</v>
      </c>
      <c r="G9">
        <v>2.4</v>
      </c>
      <c r="H9">
        <v>0</v>
      </c>
      <c r="I9">
        <v>0</v>
      </c>
      <c r="J9">
        <v>0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428392745.4675442</v>
      </c>
      <c r="R9">
        <v>179089000</v>
      </c>
      <c r="S9">
        <v>79945421.098427564</v>
      </c>
      <c r="T9">
        <v>85272300</v>
      </c>
      <c r="U9">
        <v>15776436.560000001</v>
      </c>
      <c r="V9">
        <v>161.46089599999999</v>
      </c>
      <c r="W9">
        <v>4.3661065665464402</v>
      </c>
      <c r="X9">
        <v>43.934303900000003</v>
      </c>
      <c r="Y9">
        <v>769.62105599999995</v>
      </c>
      <c r="Z9">
        <v>9.7904224599999998E-31</v>
      </c>
      <c r="AA9">
        <v>21.416805382485073</v>
      </c>
      <c r="AB9">
        <v>91.850000000000009</v>
      </c>
      <c r="AC9">
        <v>-61.628345999999993</v>
      </c>
      <c r="AD9">
        <v>64.648477499999998</v>
      </c>
      <c r="AE9">
        <v>86.776644300000001</v>
      </c>
      <c r="AF9">
        <v>100.934</v>
      </c>
      <c r="AG9">
        <v>221.523979</v>
      </c>
      <c r="AH9">
        <v>0</v>
      </c>
      <c r="AI9">
        <v>0</v>
      </c>
      <c r="AJ9">
        <v>6.9405729032258667E-2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3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0</v>
      </c>
      <c r="H10">
        <v>2.06</v>
      </c>
      <c r="I10">
        <v>0</v>
      </c>
      <c r="J10">
        <v>0</v>
      </c>
      <c r="K10">
        <v>3.5</v>
      </c>
      <c r="L10">
        <v>0</v>
      </c>
      <c r="M10">
        <v>0</v>
      </c>
      <c r="N10">
        <v>1.5</v>
      </c>
      <c r="O10">
        <v>0</v>
      </c>
      <c r="P10">
        <v>0</v>
      </c>
      <c r="Q10">
        <v>427922542.85637224</v>
      </c>
      <c r="R10">
        <v>179082000</v>
      </c>
      <c r="S10">
        <v>79969422.422497198</v>
      </c>
      <c r="T10">
        <v>87098400</v>
      </c>
      <c r="U10">
        <v>15781720.960000001</v>
      </c>
      <c r="V10">
        <v>160.31868499999999</v>
      </c>
      <c r="W10">
        <v>4.3447484056780326</v>
      </c>
      <c r="X10">
        <v>43.949358599999996</v>
      </c>
      <c r="Y10">
        <v>769.92540600000007</v>
      </c>
      <c r="Z10">
        <v>2.6279502000000001E-30</v>
      </c>
      <c r="AA10">
        <v>22.502012572433792</v>
      </c>
      <c r="AB10">
        <v>100.934</v>
      </c>
      <c r="AC10">
        <v>-60.331183944444447</v>
      </c>
      <c r="AD10">
        <v>69.797302799999997</v>
      </c>
      <c r="AE10">
        <v>96.904744399999998</v>
      </c>
      <c r="AF10">
        <v>100.934</v>
      </c>
      <c r="AG10">
        <v>222.74901800000001</v>
      </c>
      <c r="AH10">
        <v>0</v>
      </c>
      <c r="AI10">
        <v>0</v>
      </c>
      <c r="AJ10">
        <v>6.5478632258063663E-2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3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0</v>
      </c>
      <c r="H11">
        <v>0</v>
      </c>
      <c r="I11">
        <v>1.77</v>
      </c>
      <c r="J11">
        <v>0</v>
      </c>
      <c r="K11">
        <v>3.5</v>
      </c>
      <c r="L11">
        <v>0</v>
      </c>
      <c r="M11">
        <v>0</v>
      </c>
      <c r="N11">
        <v>1.5</v>
      </c>
      <c r="O11">
        <v>0</v>
      </c>
      <c r="P11">
        <v>0</v>
      </c>
      <c r="Q11">
        <v>428149872.90887284</v>
      </c>
      <c r="R11">
        <v>179101000</v>
      </c>
      <c r="S11">
        <v>79980423.039848521</v>
      </c>
      <c r="T11">
        <v>87220100</v>
      </c>
      <c r="U11">
        <v>15785407.92</v>
      </c>
      <c r="V11">
        <v>157.19016500000001</v>
      </c>
      <c r="W11">
        <v>4.4293186055569187</v>
      </c>
      <c r="X11">
        <v>43.904243899999997</v>
      </c>
      <c r="Y11">
        <v>784.28208800000004</v>
      </c>
      <c r="Z11">
        <v>4.1127296600000001E-30</v>
      </c>
      <c r="AA11">
        <v>23.504358051183726</v>
      </c>
      <c r="AB11">
        <v>100.934</v>
      </c>
      <c r="AC11">
        <v>-60.665183944444443</v>
      </c>
      <c r="AD11">
        <v>70.9773809</v>
      </c>
      <c r="AE11">
        <v>101.871743</v>
      </c>
      <c r="AF11">
        <v>121.52199999999999</v>
      </c>
      <c r="AG11">
        <v>222.92225300000001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0.13962584285714286</v>
      </c>
      <c r="AR11">
        <v>0</v>
      </c>
      <c r="AS11">
        <v>0</v>
      </c>
      <c r="AT11">
        <v>0</v>
      </c>
    </row>
    <row r="12" spans="1:46" x14ac:dyDescent="0.3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0</v>
      </c>
      <c r="H12">
        <v>0</v>
      </c>
      <c r="I12">
        <v>0</v>
      </c>
      <c r="J12">
        <v>2.06</v>
      </c>
      <c r="K12">
        <v>3.5</v>
      </c>
      <c r="L12">
        <v>0</v>
      </c>
      <c r="M12">
        <v>0</v>
      </c>
      <c r="N12">
        <v>1.5</v>
      </c>
      <c r="O12">
        <v>0</v>
      </c>
      <c r="P12">
        <v>0</v>
      </c>
      <c r="Q12">
        <v>428154352.61275512</v>
      </c>
      <c r="R12">
        <v>179091000</v>
      </c>
      <c r="S12">
        <v>79969522.451875314</v>
      </c>
      <c r="T12">
        <v>87890700</v>
      </c>
      <c r="U12">
        <v>15786610.559999999</v>
      </c>
      <c r="V12">
        <v>153.623627</v>
      </c>
      <c r="W12">
        <v>4.5126129153315793</v>
      </c>
      <c r="X12">
        <v>44.033221900000001</v>
      </c>
      <c r="Y12">
        <v>792.12921000000006</v>
      </c>
      <c r="Z12">
        <v>1.3942363800000001E-30</v>
      </c>
      <c r="AA12">
        <v>23.7605682623307</v>
      </c>
      <c r="AB12">
        <v>100.934</v>
      </c>
      <c r="AC12">
        <v>-62.428909333333337</v>
      </c>
      <c r="AD12">
        <v>72.394248300000001</v>
      </c>
      <c r="AE12">
        <v>102.964737</v>
      </c>
      <c r="AF12">
        <v>121.52199999999999</v>
      </c>
      <c r="AG12">
        <v>222.824836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0.3420354714285716</v>
      </c>
      <c r="AR12">
        <v>0</v>
      </c>
      <c r="AS12">
        <v>0</v>
      </c>
      <c r="AT12">
        <v>0</v>
      </c>
    </row>
    <row r="13" spans="1:46" x14ac:dyDescent="0.3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0</v>
      </c>
      <c r="L13">
        <v>3.44</v>
      </c>
      <c r="M13">
        <v>0</v>
      </c>
      <c r="N13">
        <v>1.5</v>
      </c>
      <c r="O13">
        <v>0</v>
      </c>
      <c r="P13">
        <v>0</v>
      </c>
      <c r="Q13">
        <v>428261729.14828932</v>
      </c>
      <c r="R13">
        <v>179091000</v>
      </c>
      <c r="S13">
        <v>79959021.861642256</v>
      </c>
      <c r="T13">
        <v>85977000</v>
      </c>
      <c r="U13">
        <v>15779996.08</v>
      </c>
      <c r="V13">
        <v>158.312645</v>
      </c>
      <c r="W13">
        <v>4.4327765481046715</v>
      </c>
      <c r="X13">
        <v>45.343439099999998</v>
      </c>
      <c r="Y13">
        <v>785.04802299999994</v>
      </c>
      <c r="Z13">
        <v>9.1749436099999998E-31</v>
      </c>
      <c r="AA13">
        <v>1.6465500384588938</v>
      </c>
      <c r="AB13">
        <v>100.934</v>
      </c>
      <c r="AC13">
        <v>-69.973955611111109</v>
      </c>
      <c r="AD13">
        <v>66.0592726</v>
      </c>
      <c r="AE13">
        <v>94.186467800000003</v>
      </c>
      <c r="AF13">
        <v>100.934</v>
      </c>
      <c r="AG13">
        <v>222.65205599999999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7.9418124519263822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3">
      <c r="A14">
        <v>2.2000000000000002</v>
      </c>
      <c r="B14">
        <v>0</v>
      </c>
      <c r="C14">
        <v>0</v>
      </c>
      <c r="D14">
        <v>0</v>
      </c>
      <c r="E14">
        <v>1.8</v>
      </c>
      <c r="F14">
        <v>0</v>
      </c>
      <c r="G14">
        <v>2.4</v>
      </c>
      <c r="H14">
        <v>0</v>
      </c>
      <c r="I14">
        <v>0</v>
      </c>
      <c r="J14">
        <v>0</v>
      </c>
      <c r="K14">
        <v>0</v>
      </c>
      <c r="L14">
        <v>0</v>
      </c>
      <c r="M14">
        <v>2.69</v>
      </c>
      <c r="N14">
        <v>1.5</v>
      </c>
      <c r="O14">
        <v>0</v>
      </c>
      <c r="P14">
        <v>0</v>
      </c>
      <c r="Q14">
        <v>428560678.50919688</v>
      </c>
      <c r="R14">
        <v>179136000</v>
      </c>
      <c r="S14">
        <v>80000226.638154149</v>
      </c>
      <c r="T14">
        <v>84445800</v>
      </c>
      <c r="U14">
        <v>15783835.039999999</v>
      </c>
      <c r="V14">
        <v>166.71750599999999</v>
      </c>
      <c r="W14">
        <v>4.2522553509704011</v>
      </c>
      <c r="X14">
        <v>44.678389099999997</v>
      </c>
      <c r="Y14">
        <v>757.677864</v>
      </c>
      <c r="Z14">
        <v>1.03965479E-26</v>
      </c>
      <c r="AA14">
        <v>7.0038076090695487</v>
      </c>
      <c r="AB14">
        <v>91.850000000000009</v>
      </c>
      <c r="AC14">
        <v>-75.259442222222219</v>
      </c>
      <c r="AD14">
        <v>65.260756400000005</v>
      </c>
      <c r="AE14">
        <v>93.679266900000002</v>
      </c>
      <c r="AF14">
        <v>100.934</v>
      </c>
      <c r="AG14">
        <v>223.45106000000001</v>
      </c>
      <c r="AH14">
        <v>0</v>
      </c>
      <c r="AI14">
        <v>0</v>
      </c>
      <c r="AJ14">
        <v>0.22351143225806452</v>
      </c>
      <c r="AK14">
        <v>0</v>
      </c>
      <c r="AL14">
        <v>0</v>
      </c>
      <c r="AM14">
        <v>0</v>
      </c>
      <c r="AN14">
        <v>1.2452404886630641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3">
      <c r="A15">
        <v>2.2000000000000002</v>
      </c>
      <c r="B15">
        <v>0</v>
      </c>
      <c r="C15">
        <v>0</v>
      </c>
      <c r="D15">
        <v>0</v>
      </c>
      <c r="E15">
        <v>1.8</v>
      </c>
      <c r="F15">
        <v>0</v>
      </c>
      <c r="G15">
        <v>2.4</v>
      </c>
      <c r="H15">
        <v>0</v>
      </c>
      <c r="I15">
        <v>0</v>
      </c>
      <c r="J15">
        <v>0</v>
      </c>
      <c r="K15">
        <v>3.5</v>
      </c>
      <c r="L15">
        <v>0</v>
      </c>
      <c r="M15">
        <v>0</v>
      </c>
      <c r="N15">
        <v>0</v>
      </c>
      <c r="O15">
        <v>1.24</v>
      </c>
      <c r="P15">
        <v>0</v>
      </c>
      <c r="Q15">
        <v>428322558.62902862</v>
      </c>
      <c r="R15">
        <v>179094000</v>
      </c>
      <c r="S15">
        <v>79964921.874790505</v>
      </c>
      <c r="T15">
        <v>86421600</v>
      </c>
      <c r="U15">
        <v>15778924.960000001</v>
      </c>
      <c r="V15">
        <v>159.21537499999999</v>
      </c>
      <c r="W15">
        <v>4.3956590349305094</v>
      </c>
      <c r="X15">
        <v>43.9377754</v>
      </c>
      <c r="Y15">
        <v>769.77062599999999</v>
      </c>
      <c r="Z15">
        <v>9.2747726400000005E-31</v>
      </c>
      <c r="AA15">
        <v>21.838656280074449</v>
      </c>
      <c r="AB15">
        <v>100.934</v>
      </c>
      <c r="AC15">
        <v>-60.994624166666668</v>
      </c>
      <c r="AD15">
        <v>65.420628600000001</v>
      </c>
      <c r="AE15">
        <v>93.959173399999997</v>
      </c>
      <c r="AF15">
        <v>100.934</v>
      </c>
      <c r="AG15">
        <v>224.70178100000001</v>
      </c>
      <c r="AH15">
        <v>0</v>
      </c>
      <c r="AI15">
        <v>0</v>
      </c>
      <c r="AJ15">
        <v>6.7475793548387189E-2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3">
      <c r="A16">
        <v>2.2000000000000002</v>
      </c>
      <c r="B16">
        <v>0</v>
      </c>
      <c r="C16">
        <v>0</v>
      </c>
      <c r="D16">
        <v>0</v>
      </c>
      <c r="E16">
        <v>1.8</v>
      </c>
      <c r="F16">
        <v>0</v>
      </c>
      <c r="G16">
        <v>2.4</v>
      </c>
      <c r="H16">
        <v>0</v>
      </c>
      <c r="I16">
        <v>0</v>
      </c>
      <c r="J16">
        <v>0</v>
      </c>
      <c r="K16">
        <v>3.5</v>
      </c>
      <c r="L16">
        <v>0</v>
      </c>
      <c r="M16">
        <v>0</v>
      </c>
      <c r="N16">
        <v>0</v>
      </c>
      <c r="O16">
        <v>0</v>
      </c>
      <c r="P16">
        <v>1.3</v>
      </c>
      <c r="Q16">
        <v>428327639.95392728</v>
      </c>
      <c r="R16">
        <v>179094000</v>
      </c>
      <c r="S16">
        <v>79964722.283618838</v>
      </c>
      <c r="T16">
        <v>86375300</v>
      </c>
      <c r="U16">
        <v>15779198.560000001</v>
      </c>
      <c r="V16">
        <v>159.572844</v>
      </c>
      <c r="W16">
        <v>4.3871144834141163</v>
      </c>
      <c r="X16">
        <v>43.940150699999997</v>
      </c>
      <c r="Y16">
        <v>769.71313799999996</v>
      </c>
      <c r="Z16">
        <v>1.04794505E-30</v>
      </c>
      <c r="AA16">
        <v>21.861194700084532</v>
      </c>
      <c r="AB16">
        <v>100.934</v>
      </c>
      <c r="AC16">
        <v>-60.970969722222222</v>
      </c>
      <c r="AD16">
        <v>65.573990499999994</v>
      </c>
      <c r="AE16">
        <v>94.016049499999994</v>
      </c>
      <c r="AF16">
        <v>100.934</v>
      </c>
      <c r="AG16">
        <v>223.106301</v>
      </c>
      <c r="AH16">
        <v>0</v>
      </c>
      <c r="AI16">
        <v>0</v>
      </c>
      <c r="AJ16">
        <v>6.821757419354893E-2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B0D4-5D93-4963-BF1D-711EFF60213D}">
  <dimension ref="A1:U90"/>
  <sheetViews>
    <sheetView tabSelected="1" workbookViewId="0">
      <selection activeCell="F22" sqref="F22"/>
    </sheetView>
  </sheetViews>
  <sheetFormatPr defaultRowHeight="16.5" x14ac:dyDescent="0.3"/>
  <cols>
    <col min="1" max="1" width="24.75" bestFit="1" customWidth="1"/>
    <col min="13" max="13" width="24.75" bestFit="1" customWidth="1"/>
    <col min="15" max="15" width="15.625" bestFit="1" customWidth="1"/>
  </cols>
  <sheetData>
    <row r="1" spans="1:21" ht="33" x14ac:dyDescent="0.3">
      <c r="A1" s="16" t="s">
        <v>100</v>
      </c>
      <c r="B1" s="16" t="s">
        <v>101</v>
      </c>
      <c r="C1" s="16" t="s">
        <v>102</v>
      </c>
      <c r="D1" s="16" t="s">
        <v>103</v>
      </c>
      <c r="E1" s="16" t="s">
        <v>104</v>
      </c>
      <c r="F1" s="16" t="s">
        <v>105</v>
      </c>
      <c r="G1" s="16" t="s">
        <v>106</v>
      </c>
      <c r="H1" s="16" t="s">
        <v>107</v>
      </c>
      <c r="I1" s="16" t="s">
        <v>108</v>
      </c>
      <c r="M1" s="6" t="s">
        <v>100</v>
      </c>
      <c r="N1" s="6" t="s">
        <v>101</v>
      </c>
      <c r="O1" s="6" t="s">
        <v>102</v>
      </c>
      <c r="P1" s="6" t="s">
        <v>103</v>
      </c>
      <c r="Q1" s="6" t="s">
        <v>104</v>
      </c>
      <c r="R1" s="6" t="s">
        <v>105</v>
      </c>
      <c r="S1" s="6" t="s">
        <v>106</v>
      </c>
      <c r="T1" s="6" t="s">
        <v>107</v>
      </c>
      <c r="U1" s="6" t="s">
        <v>108</v>
      </c>
    </row>
    <row r="2" spans="1:21" x14ac:dyDescent="0.3">
      <c r="A2" s="17" t="s">
        <v>178</v>
      </c>
      <c r="B2" s="17">
        <v>1</v>
      </c>
      <c r="C2" s="17"/>
      <c r="D2" s="17"/>
      <c r="E2" s="17" t="s">
        <v>179</v>
      </c>
      <c r="F2" s="17" t="s">
        <v>180</v>
      </c>
      <c r="G2" s="17"/>
      <c r="H2" s="17"/>
      <c r="I2" s="17"/>
      <c r="L2" s="26" t="s">
        <v>185</v>
      </c>
      <c r="M2" t="s">
        <v>291</v>
      </c>
      <c r="Q2" t="s">
        <v>292</v>
      </c>
      <c r="R2" t="s">
        <v>294</v>
      </c>
      <c r="S2" t="s">
        <v>111</v>
      </c>
      <c r="T2" t="s">
        <v>112</v>
      </c>
      <c r="U2" t="s">
        <v>113</v>
      </c>
    </row>
    <row r="3" spans="1:21" x14ac:dyDescent="0.3">
      <c r="A3" s="17" t="s">
        <v>181</v>
      </c>
      <c r="B3" s="17">
        <v>0</v>
      </c>
      <c r="C3" s="17"/>
      <c r="D3" s="17"/>
      <c r="E3" s="17" t="s">
        <v>182</v>
      </c>
      <c r="F3" s="17" t="s">
        <v>180</v>
      </c>
      <c r="G3" s="17"/>
      <c r="H3" s="17"/>
      <c r="I3" s="17"/>
      <c r="L3" s="26" t="s">
        <v>186</v>
      </c>
      <c r="M3" t="s">
        <v>291</v>
      </c>
      <c r="Q3" t="s">
        <v>292</v>
      </c>
      <c r="R3" t="s">
        <v>295</v>
      </c>
      <c r="S3" t="s">
        <v>111</v>
      </c>
      <c r="T3" t="s">
        <v>112</v>
      </c>
      <c r="U3" t="s">
        <v>113</v>
      </c>
    </row>
    <row r="4" spans="1:21" x14ac:dyDescent="0.3">
      <c r="L4" s="26" t="s">
        <v>187</v>
      </c>
      <c r="M4" t="s">
        <v>291</v>
      </c>
      <c r="Q4" t="s">
        <v>292</v>
      </c>
      <c r="R4" t="s">
        <v>296</v>
      </c>
      <c r="S4" t="s">
        <v>111</v>
      </c>
      <c r="T4" t="s">
        <v>112</v>
      </c>
      <c r="U4" t="s">
        <v>113</v>
      </c>
    </row>
    <row r="5" spans="1:21" x14ac:dyDescent="0.3">
      <c r="L5" s="26" t="s">
        <v>188</v>
      </c>
      <c r="N5">
        <f>SUM(B22:B30)*100</f>
        <v>0</v>
      </c>
      <c r="O5" t="s">
        <v>191</v>
      </c>
    </row>
    <row r="6" spans="1:21" ht="33" x14ac:dyDescent="0.3">
      <c r="A6" s="6" t="s">
        <v>100</v>
      </c>
      <c r="B6" s="6" t="s">
        <v>101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25" t="s">
        <v>390</v>
      </c>
      <c r="K6" s="25" t="s">
        <v>391</v>
      </c>
      <c r="L6" s="26" t="s">
        <v>189</v>
      </c>
      <c r="N6">
        <f>(FrzPt!L84-32)*5/9</f>
        <v>-17.777777777777779</v>
      </c>
      <c r="O6" t="s">
        <v>192</v>
      </c>
    </row>
    <row r="7" spans="1:21" x14ac:dyDescent="0.3">
      <c r="A7" t="s">
        <v>156</v>
      </c>
      <c r="B7" s="39">
        <v>937.19659999999999</v>
      </c>
      <c r="D7" t="s">
        <v>157</v>
      </c>
      <c r="E7" t="s">
        <v>158</v>
      </c>
      <c r="H7" t="s">
        <v>159</v>
      </c>
      <c r="I7" t="s">
        <v>160</v>
      </c>
      <c r="J7" s="18">
        <v>930</v>
      </c>
      <c r="K7" s="39"/>
      <c r="L7" s="26" t="s">
        <v>190</v>
      </c>
      <c r="N7">
        <f>(B90-32)*5/9</f>
        <v>-17.777777777777779</v>
      </c>
      <c r="O7" t="s">
        <v>192</v>
      </c>
    </row>
    <row r="8" spans="1:21" x14ac:dyDescent="0.3">
      <c r="A8" t="s">
        <v>161</v>
      </c>
      <c r="B8" s="18">
        <v>30</v>
      </c>
      <c r="D8" t="s">
        <v>157</v>
      </c>
      <c r="E8" t="s">
        <v>162</v>
      </c>
      <c r="H8" t="s">
        <v>163</v>
      </c>
      <c r="I8" t="s">
        <v>164</v>
      </c>
      <c r="J8" s="18">
        <v>30</v>
      </c>
      <c r="K8" s="39">
        <v>30</v>
      </c>
      <c r="L8" s="26" t="s">
        <v>350</v>
      </c>
      <c r="N8">
        <f>DiesFlash!P2</f>
        <v>0</v>
      </c>
      <c r="O8" t="s">
        <v>354</v>
      </c>
    </row>
    <row r="9" spans="1:21" x14ac:dyDescent="0.3">
      <c r="A9" t="s">
        <v>165</v>
      </c>
      <c r="B9" s="18">
        <v>19</v>
      </c>
      <c r="D9" t="s">
        <v>157</v>
      </c>
      <c r="E9" t="s">
        <v>166</v>
      </c>
      <c r="F9" t="s">
        <v>167</v>
      </c>
      <c r="H9" t="s">
        <v>163</v>
      </c>
      <c r="I9" t="s">
        <v>164</v>
      </c>
      <c r="J9" s="18">
        <v>15</v>
      </c>
      <c r="K9" s="39">
        <v>19</v>
      </c>
      <c r="L9" s="26" t="s">
        <v>351</v>
      </c>
      <c r="N9">
        <f>DiesFlash!P3</f>
        <v>0</v>
      </c>
      <c r="O9" t="s">
        <v>354</v>
      </c>
    </row>
    <row r="10" spans="1:21" x14ac:dyDescent="0.3">
      <c r="A10" t="s">
        <v>168</v>
      </c>
      <c r="B10" s="18">
        <v>11.35</v>
      </c>
      <c r="D10" t="s">
        <v>157</v>
      </c>
      <c r="E10" t="s">
        <v>169</v>
      </c>
      <c r="H10" t="s">
        <v>163</v>
      </c>
      <c r="I10" t="s">
        <v>164</v>
      </c>
      <c r="J10" s="18">
        <v>3.6</v>
      </c>
      <c r="K10" s="39">
        <v>11.35</v>
      </c>
      <c r="L10" s="26" t="s">
        <v>352</v>
      </c>
      <c r="N10">
        <f>(DiesFlash!L84-32)*5/9</f>
        <v>-17.777777777777779</v>
      </c>
      <c r="O10" t="s">
        <v>354</v>
      </c>
    </row>
    <row r="11" spans="1:21" x14ac:dyDescent="0.3">
      <c r="A11" t="s">
        <v>170</v>
      </c>
      <c r="B11" s="18">
        <v>15</v>
      </c>
      <c r="D11" t="s">
        <v>157</v>
      </c>
      <c r="E11" t="s">
        <v>162</v>
      </c>
      <c r="H11" t="s">
        <v>171</v>
      </c>
      <c r="I11" t="s">
        <v>164</v>
      </c>
      <c r="J11" s="18">
        <v>20</v>
      </c>
      <c r="K11" s="39">
        <v>15</v>
      </c>
      <c r="L11" s="26" t="s">
        <v>353</v>
      </c>
      <c r="N11">
        <f>DiesFlash!P4</f>
        <v>0</v>
      </c>
      <c r="O11" t="s">
        <v>354</v>
      </c>
    </row>
    <row r="12" spans="1:21" x14ac:dyDescent="0.3">
      <c r="A12" t="s">
        <v>172</v>
      </c>
      <c r="B12" s="18">
        <v>13</v>
      </c>
      <c r="D12" t="s">
        <v>157</v>
      </c>
      <c r="E12" t="s">
        <v>166</v>
      </c>
      <c r="F12">
        <v>322</v>
      </c>
      <c r="H12" t="s">
        <v>171</v>
      </c>
      <c r="I12" t="s">
        <v>164</v>
      </c>
      <c r="J12" s="18">
        <v>10</v>
      </c>
      <c r="K12" s="39">
        <v>13</v>
      </c>
    </row>
    <row r="13" spans="1:21" x14ac:dyDescent="0.3">
      <c r="A13" t="s">
        <v>173</v>
      </c>
      <c r="B13" s="18">
        <v>0.3</v>
      </c>
      <c r="D13" t="s">
        <v>157</v>
      </c>
      <c r="E13" t="s">
        <v>169</v>
      </c>
      <c r="H13" t="s">
        <v>171</v>
      </c>
      <c r="I13" t="s">
        <v>164</v>
      </c>
      <c r="J13" s="18">
        <v>0.43</v>
      </c>
      <c r="K13" s="39">
        <v>0.3</v>
      </c>
    </row>
    <row r="14" spans="1:21" x14ac:dyDescent="0.3">
      <c r="A14" t="s">
        <v>174</v>
      </c>
      <c r="B14" s="18">
        <v>12</v>
      </c>
      <c r="D14" t="s">
        <v>157</v>
      </c>
      <c r="E14" t="s">
        <v>162</v>
      </c>
      <c r="H14" t="s">
        <v>175</v>
      </c>
      <c r="I14" t="s">
        <v>164</v>
      </c>
      <c r="J14" s="18">
        <v>20</v>
      </c>
      <c r="K14" s="39">
        <v>12</v>
      </c>
    </row>
    <row r="15" spans="1:21" x14ac:dyDescent="0.3">
      <c r="A15" t="s">
        <v>176</v>
      </c>
      <c r="B15" s="18">
        <v>8</v>
      </c>
      <c r="D15" t="s">
        <v>157</v>
      </c>
      <c r="E15" t="s">
        <v>166</v>
      </c>
      <c r="F15">
        <v>330</v>
      </c>
      <c r="H15" t="s">
        <v>175</v>
      </c>
      <c r="I15" t="s">
        <v>164</v>
      </c>
      <c r="J15" s="18">
        <v>10</v>
      </c>
      <c r="K15" s="39">
        <v>8</v>
      </c>
    </row>
    <row r="16" spans="1:21" x14ac:dyDescent="0.3">
      <c r="A16" t="s">
        <v>177</v>
      </c>
      <c r="B16" s="18">
        <v>0.66</v>
      </c>
      <c r="D16" t="s">
        <v>157</v>
      </c>
      <c r="E16" t="s">
        <v>169</v>
      </c>
      <c r="H16" t="s">
        <v>175</v>
      </c>
      <c r="I16" t="s">
        <v>164</v>
      </c>
      <c r="J16" s="18">
        <v>0.72</v>
      </c>
      <c r="K16" s="39">
        <v>0.66</v>
      </c>
    </row>
    <row r="21" spans="1:15" ht="33" x14ac:dyDescent="0.3">
      <c r="A21" s="6" t="s">
        <v>100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106</v>
      </c>
      <c r="H21" s="6" t="s">
        <v>107</v>
      </c>
      <c r="I21" s="6" t="s">
        <v>108</v>
      </c>
    </row>
    <row r="22" spans="1:15" x14ac:dyDescent="0.3">
      <c r="A22" t="s">
        <v>291</v>
      </c>
      <c r="E22" t="s">
        <v>292</v>
      </c>
      <c r="F22" t="s">
        <v>293</v>
      </c>
      <c r="G22" t="s">
        <v>111</v>
      </c>
      <c r="H22" t="s">
        <v>112</v>
      </c>
      <c r="I22" t="s">
        <v>113</v>
      </c>
    </row>
    <row r="23" spans="1:15" x14ac:dyDescent="0.3">
      <c r="A23" t="s">
        <v>291</v>
      </c>
      <c r="E23" t="s">
        <v>292</v>
      </c>
      <c r="F23" t="s">
        <v>293</v>
      </c>
      <c r="G23" t="s">
        <v>111</v>
      </c>
      <c r="H23" t="s">
        <v>112</v>
      </c>
      <c r="I23" t="s">
        <v>113</v>
      </c>
      <c r="M23" s="8" t="s">
        <v>21</v>
      </c>
      <c r="N23" s="8"/>
    </row>
    <row r="24" spans="1:15" x14ac:dyDescent="0.3">
      <c r="A24" t="s">
        <v>291</v>
      </c>
      <c r="E24" t="s">
        <v>292</v>
      </c>
      <c r="F24" t="s">
        <v>293</v>
      </c>
      <c r="G24" t="s">
        <v>111</v>
      </c>
      <c r="H24" t="s">
        <v>112</v>
      </c>
      <c r="I24" t="s">
        <v>113</v>
      </c>
      <c r="M24" s="1" t="s">
        <v>1</v>
      </c>
      <c r="N24" s="8" t="s">
        <v>22</v>
      </c>
      <c r="O24" s="19">
        <f>Cost!D4</f>
        <v>428267000</v>
      </c>
    </row>
    <row r="25" spans="1:15" x14ac:dyDescent="0.3">
      <c r="A25" t="s">
        <v>291</v>
      </c>
      <c r="E25" t="s">
        <v>292</v>
      </c>
      <c r="F25" t="s">
        <v>293</v>
      </c>
      <c r="G25" t="s">
        <v>111</v>
      </c>
      <c r="H25" t="s">
        <v>112</v>
      </c>
      <c r="I25" t="s">
        <v>113</v>
      </c>
      <c r="M25" s="2" t="s">
        <v>2</v>
      </c>
      <c r="N25" s="8" t="s">
        <v>23</v>
      </c>
      <c r="O25" s="19">
        <f>Cost!D5</f>
        <v>179230000</v>
      </c>
    </row>
    <row r="26" spans="1:15" x14ac:dyDescent="0.3">
      <c r="A26" t="s">
        <v>291</v>
      </c>
      <c r="E26" t="s">
        <v>292</v>
      </c>
      <c r="F26" t="s">
        <v>293</v>
      </c>
      <c r="G26" t="s">
        <v>111</v>
      </c>
      <c r="H26" t="s">
        <v>112</v>
      </c>
      <c r="I26" t="s">
        <v>113</v>
      </c>
      <c r="M26" s="3" t="s">
        <v>3</v>
      </c>
      <c r="N26" s="8" t="s">
        <v>23</v>
      </c>
      <c r="O26" s="19">
        <f>Cost!D6</f>
        <v>79990200</v>
      </c>
    </row>
    <row r="27" spans="1:15" x14ac:dyDescent="0.3">
      <c r="A27" t="s">
        <v>291</v>
      </c>
      <c r="E27" t="s">
        <v>292</v>
      </c>
      <c r="F27" t="s">
        <v>293</v>
      </c>
      <c r="G27" t="s">
        <v>111</v>
      </c>
      <c r="H27" t="s">
        <v>112</v>
      </c>
      <c r="I27" t="s">
        <v>113</v>
      </c>
      <c r="M27" s="4" t="s">
        <v>4</v>
      </c>
      <c r="N27" s="8" t="s">
        <v>23</v>
      </c>
      <c r="O27" s="19">
        <f>Cost!D7</f>
        <v>77023300</v>
      </c>
    </row>
    <row r="28" spans="1:15" x14ac:dyDescent="0.3">
      <c r="A28" t="s">
        <v>291</v>
      </c>
      <c r="E28" t="s">
        <v>292</v>
      </c>
      <c r="F28" t="s">
        <v>293</v>
      </c>
      <c r="G28" t="s">
        <v>111</v>
      </c>
      <c r="H28" t="s">
        <v>112</v>
      </c>
      <c r="I28" t="s">
        <v>113</v>
      </c>
      <c r="M28" s="3" t="s">
        <v>5</v>
      </c>
      <c r="N28" s="8" t="s">
        <v>23</v>
      </c>
      <c r="O28" s="19">
        <f>Cost!D8</f>
        <v>0</v>
      </c>
    </row>
    <row r="29" spans="1:15" x14ac:dyDescent="0.3">
      <c r="A29" t="s">
        <v>291</v>
      </c>
      <c r="E29" t="s">
        <v>292</v>
      </c>
      <c r="F29" t="s">
        <v>293</v>
      </c>
      <c r="G29" t="s">
        <v>111</v>
      </c>
      <c r="H29" t="s">
        <v>112</v>
      </c>
      <c r="I29" t="s">
        <v>113</v>
      </c>
      <c r="M29" s="8" t="s">
        <v>375</v>
      </c>
      <c r="N29" s="8" t="s">
        <v>376</v>
      </c>
      <c r="O29">
        <f>B83</f>
        <v>0</v>
      </c>
    </row>
    <row r="30" spans="1:15" x14ac:dyDescent="0.3">
      <c r="A30" t="s">
        <v>291</v>
      </c>
      <c r="E30" t="s">
        <v>292</v>
      </c>
      <c r="F30" t="s">
        <v>293</v>
      </c>
      <c r="G30" t="s">
        <v>111</v>
      </c>
      <c r="H30" t="s">
        <v>112</v>
      </c>
      <c r="I30" t="s">
        <v>113</v>
      </c>
    </row>
    <row r="34" spans="1:10" ht="33" x14ac:dyDescent="0.3">
      <c r="A34" s="11" t="s">
        <v>100</v>
      </c>
      <c r="B34" s="11" t="s">
        <v>101</v>
      </c>
      <c r="C34" s="11" t="s">
        <v>102</v>
      </c>
      <c r="D34" s="11" t="s">
        <v>103</v>
      </c>
      <c r="E34" s="11" t="s">
        <v>104</v>
      </c>
      <c r="F34" s="11" t="s">
        <v>105</v>
      </c>
      <c r="G34" s="11" t="s">
        <v>106</v>
      </c>
      <c r="H34" s="11" t="s">
        <v>107</v>
      </c>
      <c r="I34" s="11" t="s">
        <v>108</v>
      </c>
    </row>
    <row r="35" spans="1:10" x14ac:dyDescent="0.3">
      <c r="A35" s="12" t="s">
        <v>124</v>
      </c>
      <c r="B35" s="12"/>
      <c r="C35" s="12"/>
      <c r="D35" s="12" t="s">
        <v>413</v>
      </c>
      <c r="E35" s="12" t="s">
        <v>125</v>
      </c>
      <c r="F35" s="12"/>
      <c r="G35" s="12"/>
      <c r="H35" s="12" t="s">
        <v>126</v>
      </c>
      <c r="I35" s="12" t="s">
        <v>127</v>
      </c>
    </row>
    <row r="36" spans="1:10" x14ac:dyDescent="0.3">
      <c r="A36" s="12" t="s">
        <v>109</v>
      </c>
      <c r="B36" s="12"/>
      <c r="C36" s="12"/>
      <c r="D36" s="12"/>
      <c r="E36" s="12" t="s">
        <v>110</v>
      </c>
      <c r="F36" s="12" t="s">
        <v>111</v>
      </c>
      <c r="G36" s="12"/>
      <c r="H36" s="12" t="s">
        <v>112</v>
      </c>
      <c r="I36" s="12" t="s">
        <v>113</v>
      </c>
    </row>
    <row r="37" spans="1:10" x14ac:dyDescent="0.3">
      <c r="A37" s="12" t="s">
        <v>114</v>
      </c>
      <c r="B37" s="12"/>
      <c r="C37" s="12"/>
      <c r="D37" s="12"/>
      <c r="E37" s="12" t="s">
        <v>115</v>
      </c>
      <c r="F37" s="12" t="s">
        <v>111</v>
      </c>
      <c r="G37" s="12"/>
      <c r="H37" s="12">
        <v>510</v>
      </c>
      <c r="I37" s="12" t="s">
        <v>113</v>
      </c>
    </row>
    <row r="38" spans="1:10" x14ac:dyDescent="0.3">
      <c r="A38" s="12" t="s">
        <v>116</v>
      </c>
      <c r="B38" s="12"/>
      <c r="C38" s="12"/>
      <c r="D38" s="12"/>
      <c r="E38" s="12" t="s">
        <v>117</v>
      </c>
      <c r="F38" s="12" t="s">
        <v>111</v>
      </c>
      <c r="G38" s="12"/>
      <c r="H38" s="12">
        <v>200</v>
      </c>
      <c r="I38" s="12" t="s">
        <v>113</v>
      </c>
    </row>
    <row r="39" spans="1:10" x14ac:dyDescent="0.3">
      <c r="A39" s="12" t="s">
        <v>118</v>
      </c>
      <c r="B39" s="12"/>
      <c r="C39" s="12"/>
      <c r="D39" s="12"/>
      <c r="E39" s="12" t="s">
        <v>110</v>
      </c>
      <c r="F39" s="12" t="s">
        <v>111</v>
      </c>
      <c r="G39" s="12"/>
      <c r="H39" s="12">
        <v>404</v>
      </c>
      <c r="I39" s="12" t="s">
        <v>113</v>
      </c>
    </row>
    <row r="40" spans="1:10" x14ac:dyDescent="0.3">
      <c r="A40" s="12" t="s">
        <v>119</v>
      </c>
      <c r="B40" s="12"/>
      <c r="C40" s="12"/>
      <c r="D40" s="12"/>
      <c r="E40" s="12" t="s">
        <v>115</v>
      </c>
      <c r="F40" s="12" t="s">
        <v>111</v>
      </c>
      <c r="G40" s="12"/>
      <c r="H40" s="12" t="s">
        <v>120</v>
      </c>
      <c r="I40" s="12" t="s">
        <v>113</v>
      </c>
    </row>
    <row r="41" spans="1:10" x14ac:dyDescent="0.3">
      <c r="A41" s="12" t="s">
        <v>121</v>
      </c>
      <c r="B41" s="12"/>
      <c r="C41" s="12"/>
      <c r="D41" s="12"/>
      <c r="E41" s="12" t="s">
        <v>110</v>
      </c>
      <c r="F41" s="12" t="s">
        <v>111</v>
      </c>
      <c r="G41" s="12"/>
      <c r="H41" s="12">
        <v>255</v>
      </c>
      <c r="I41" s="12" t="s">
        <v>113</v>
      </c>
    </row>
    <row r="42" spans="1:10" x14ac:dyDescent="0.3">
      <c r="A42" s="12" t="s">
        <v>122</v>
      </c>
      <c r="B42" s="12"/>
      <c r="C42" s="12"/>
      <c r="D42" s="12"/>
      <c r="E42" s="12" t="s">
        <v>110</v>
      </c>
      <c r="F42" s="12" t="s">
        <v>111</v>
      </c>
      <c r="G42" s="12"/>
      <c r="H42" s="12">
        <v>210</v>
      </c>
      <c r="I42" s="12" t="s">
        <v>113</v>
      </c>
    </row>
    <row r="43" spans="1:10" x14ac:dyDescent="0.3">
      <c r="A43" s="12" t="s">
        <v>123</v>
      </c>
      <c r="B43" s="12"/>
      <c r="C43" s="12"/>
      <c r="D43" s="12"/>
      <c r="E43" s="12" t="s">
        <v>110</v>
      </c>
      <c r="F43" s="12" t="s">
        <v>111</v>
      </c>
      <c r="G43" s="12"/>
      <c r="H43" s="12">
        <v>272</v>
      </c>
      <c r="I43" s="12" t="s">
        <v>113</v>
      </c>
    </row>
    <row r="45" spans="1:10" x14ac:dyDescent="0.3">
      <c r="A45" t="s">
        <v>312</v>
      </c>
    </row>
    <row r="46" spans="1:10" ht="33" x14ac:dyDescent="0.3">
      <c r="A46" s="25" t="s">
        <v>11</v>
      </c>
      <c r="B46" s="25" t="s">
        <v>12</v>
      </c>
      <c r="C46" s="25" t="s">
        <v>13</v>
      </c>
      <c r="D46" s="25" t="s">
        <v>14</v>
      </c>
      <c r="E46" s="25" t="s">
        <v>15</v>
      </c>
      <c r="F46" s="25" t="s">
        <v>16</v>
      </c>
      <c r="G46" s="25" t="s">
        <v>17</v>
      </c>
      <c r="H46" s="25" t="s">
        <v>18</v>
      </c>
      <c r="I46" s="25" t="s">
        <v>19</v>
      </c>
    </row>
    <row r="47" spans="1:10" x14ac:dyDescent="0.3">
      <c r="A47" t="s">
        <v>297</v>
      </c>
      <c r="B47">
        <v>4.1453234999999998E-2</v>
      </c>
      <c r="D47" t="s">
        <v>20</v>
      </c>
      <c r="E47" t="s">
        <v>298</v>
      </c>
      <c r="F47">
        <v>1</v>
      </c>
      <c r="G47" t="s">
        <v>25</v>
      </c>
      <c r="H47" t="s">
        <v>299</v>
      </c>
      <c r="I47" t="s">
        <v>300</v>
      </c>
      <c r="J47" s="24">
        <v>4.1453234999999998E-2</v>
      </c>
    </row>
    <row r="48" spans="1:10" x14ac:dyDescent="0.3">
      <c r="A48" t="s">
        <v>297</v>
      </c>
      <c r="B48">
        <v>4.0554754999999998E-2</v>
      </c>
      <c r="D48" t="s">
        <v>20</v>
      </c>
      <c r="E48" t="s">
        <v>298</v>
      </c>
      <c r="F48">
        <v>1</v>
      </c>
      <c r="G48" t="s">
        <v>28</v>
      </c>
      <c r="H48" t="s">
        <v>299</v>
      </c>
      <c r="I48" t="s">
        <v>300</v>
      </c>
      <c r="J48" s="24">
        <v>4.0554754999999998E-2</v>
      </c>
    </row>
    <row r="49" spans="1:10" x14ac:dyDescent="0.3">
      <c r="A49" t="s">
        <v>297</v>
      </c>
      <c r="B49">
        <v>7.1700881999999994E-2</v>
      </c>
      <c r="D49" t="s">
        <v>20</v>
      </c>
      <c r="E49" t="s">
        <v>298</v>
      </c>
      <c r="F49">
        <v>1</v>
      </c>
      <c r="G49" t="s">
        <v>27</v>
      </c>
      <c r="H49" t="s">
        <v>299</v>
      </c>
      <c r="I49" t="s">
        <v>300</v>
      </c>
      <c r="J49" s="24">
        <v>7.1700881999999994E-2</v>
      </c>
    </row>
    <row r="50" spans="1:10" x14ac:dyDescent="0.3">
      <c r="A50" t="s">
        <v>297</v>
      </c>
      <c r="B50">
        <v>2.9348836E-2</v>
      </c>
      <c r="D50" t="s">
        <v>20</v>
      </c>
      <c r="E50" t="s">
        <v>298</v>
      </c>
      <c r="F50">
        <v>1</v>
      </c>
      <c r="G50" t="s">
        <v>26</v>
      </c>
      <c r="H50" t="s">
        <v>299</v>
      </c>
      <c r="I50" t="s">
        <v>300</v>
      </c>
      <c r="J50" s="24">
        <v>2.9348836E-2</v>
      </c>
    </row>
    <row r="51" spans="1:10" x14ac:dyDescent="0.3">
      <c r="A51" t="s">
        <v>297</v>
      </c>
      <c r="B51">
        <v>1.9435118000000001E-2</v>
      </c>
      <c r="D51" t="s">
        <v>20</v>
      </c>
      <c r="E51" t="s">
        <v>298</v>
      </c>
      <c r="F51">
        <v>1</v>
      </c>
      <c r="G51" t="s">
        <v>29</v>
      </c>
      <c r="H51" t="s">
        <v>299</v>
      </c>
      <c r="I51" t="s">
        <v>300</v>
      </c>
      <c r="J51" s="24">
        <v>1.9435118000000001E-2</v>
      </c>
    </row>
    <row r="52" spans="1:10" x14ac:dyDescent="0.3">
      <c r="A52" t="s">
        <v>297</v>
      </c>
      <c r="B52">
        <v>2.3586365000000001E-2</v>
      </c>
      <c r="D52" t="s">
        <v>20</v>
      </c>
      <c r="E52" t="s">
        <v>298</v>
      </c>
      <c r="F52">
        <v>1</v>
      </c>
      <c r="G52" t="s">
        <v>30</v>
      </c>
      <c r="H52" t="s">
        <v>299</v>
      </c>
      <c r="I52" t="s">
        <v>300</v>
      </c>
      <c r="J52" s="24">
        <v>2.3586365000000001E-2</v>
      </c>
    </row>
    <row r="53" spans="1:10" x14ac:dyDescent="0.3">
      <c r="A53" t="s">
        <v>297</v>
      </c>
      <c r="B53">
        <v>6.3366910999999998E-2</v>
      </c>
      <c r="D53" t="s">
        <v>20</v>
      </c>
      <c r="E53" t="s">
        <v>298</v>
      </c>
      <c r="F53">
        <v>1</v>
      </c>
      <c r="G53" t="s">
        <v>31</v>
      </c>
      <c r="H53" t="s">
        <v>299</v>
      </c>
      <c r="I53" t="s">
        <v>300</v>
      </c>
      <c r="J53" s="24">
        <v>6.3366910999999998E-2</v>
      </c>
    </row>
    <row r="54" spans="1:10" x14ac:dyDescent="0.3">
      <c r="A54" t="s">
        <v>297</v>
      </c>
      <c r="B54">
        <v>2.9201459999999999E-2</v>
      </c>
      <c r="D54" t="s">
        <v>20</v>
      </c>
      <c r="E54" t="s">
        <v>298</v>
      </c>
      <c r="F54">
        <v>1</v>
      </c>
      <c r="G54" t="s">
        <v>33</v>
      </c>
      <c r="H54" t="s">
        <v>299</v>
      </c>
      <c r="I54" t="s">
        <v>300</v>
      </c>
      <c r="J54" s="24">
        <v>2.9201459999999999E-2</v>
      </c>
    </row>
    <row r="55" spans="1:10" x14ac:dyDescent="0.3">
      <c r="A55" t="s">
        <v>297</v>
      </c>
      <c r="B55">
        <v>8.4194690000000006E-3</v>
      </c>
      <c r="D55" t="s">
        <v>20</v>
      </c>
      <c r="E55" t="s">
        <v>298</v>
      </c>
      <c r="F55">
        <v>1</v>
      </c>
      <c r="G55" t="s">
        <v>34</v>
      </c>
      <c r="H55" t="s">
        <v>299</v>
      </c>
      <c r="I55" t="s">
        <v>300</v>
      </c>
      <c r="J55" s="24">
        <v>8.4194690000000006E-3</v>
      </c>
    </row>
    <row r="56" spans="1:10" x14ac:dyDescent="0.3">
      <c r="A56" t="s">
        <v>297</v>
      </c>
      <c r="B56">
        <v>6.3789859999999997E-3</v>
      </c>
      <c r="D56" t="s">
        <v>20</v>
      </c>
      <c r="E56" t="s">
        <v>298</v>
      </c>
      <c r="F56">
        <v>1</v>
      </c>
      <c r="G56" t="s">
        <v>32</v>
      </c>
      <c r="H56" t="s">
        <v>299</v>
      </c>
      <c r="I56" t="s">
        <v>300</v>
      </c>
      <c r="J56" s="24">
        <v>6.3789859999999997E-3</v>
      </c>
    </row>
    <row r="57" spans="1:10" x14ac:dyDescent="0.3">
      <c r="A57" t="s">
        <v>297</v>
      </c>
      <c r="B57">
        <v>1.4863687E-2</v>
      </c>
      <c r="D57" t="s">
        <v>20</v>
      </c>
      <c r="E57" t="s">
        <v>298</v>
      </c>
      <c r="F57">
        <v>1</v>
      </c>
      <c r="G57" t="s">
        <v>35</v>
      </c>
      <c r="H57" t="s">
        <v>299</v>
      </c>
      <c r="I57" t="s">
        <v>300</v>
      </c>
      <c r="J57" s="24">
        <v>1.4863687E-2</v>
      </c>
    </row>
    <row r="58" spans="1:10" x14ac:dyDescent="0.3">
      <c r="A58" t="s">
        <v>297</v>
      </c>
      <c r="B58">
        <v>3.137103E-3</v>
      </c>
      <c r="D58" t="s">
        <v>20</v>
      </c>
      <c r="E58" t="s">
        <v>298</v>
      </c>
      <c r="F58">
        <v>1</v>
      </c>
      <c r="G58" t="s">
        <v>36</v>
      </c>
      <c r="H58" t="s">
        <v>299</v>
      </c>
      <c r="I58" t="s">
        <v>300</v>
      </c>
      <c r="J58" s="24">
        <v>3.137103E-3</v>
      </c>
    </row>
    <row r="59" spans="1:10" x14ac:dyDescent="0.3">
      <c r="A59" t="s">
        <v>297</v>
      </c>
      <c r="B59">
        <v>3.7026600000000001E-4</v>
      </c>
      <c r="D59" t="s">
        <v>20</v>
      </c>
      <c r="E59" t="s">
        <v>298</v>
      </c>
      <c r="F59">
        <v>1</v>
      </c>
      <c r="G59" t="s">
        <v>37</v>
      </c>
      <c r="H59" t="s">
        <v>299</v>
      </c>
      <c r="I59" t="s">
        <v>300</v>
      </c>
      <c r="J59" s="24">
        <v>3.7026600000000001E-4</v>
      </c>
    </row>
    <row r="60" spans="1:10" x14ac:dyDescent="0.3">
      <c r="A60" t="s">
        <v>297</v>
      </c>
      <c r="B60">
        <v>8.6960900000000003E-5</v>
      </c>
      <c r="D60" t="s">
        <v>20</v>
      </c>
      <c r="E60" t="s">
        <v>298</v>
      </c>
      <c r="F60">
        <v>1</v>
      </c>
      <c r="G60" t="s">
        <v>38</v>
      </c>
      <c r="H60" t="s">
        <v>299</v>
      </c>
      <c r="I60" t="s">
        <v>300</v>
      </c>
      <c r="J60" s="24">
        <v>8.6960900000000003E-5</v>
      </c>
    </row>
    <row r="62" spans="1:10" s="27" customFormat="1" x14ac:dyDescent="0.3">
      <c r="A62" s="27" t="s">
        <v>314</v>
      </c>
    </row>
    <row r="63" spans="1:10" ht="33" x14ac:dyDescent="0.3">
      <c r="A63" s="28" t="s">
        <v>100</v>
      </c>
      <c r="B63" s="28" t="s">
        <v>101</v>
      </c>
      <c r="C63" s="28" t="s">
        <v>102</v>
      </c>
      <c r="D63" s="28" t="s">
        <v>103</v>
      </c>
      <c r="E63" s="28" t="s">
        <v>104</v>
      </c>
      <c r="F63" s="28" t="s">
        <v>105</v>
      </c>
      <c r="G63" s="28" t="s">
        <v>106</v>
      </c>
      <c r="H63" s="28" t="s">
        <v>107</v>
      </c>
      <c r="I63" s="28" t="s">
        <v>108</v>
      </c>
    </row>
    <row r="64" spans="1:10" x14ac:dyDescent="0.3">
      <c r="A64" s="29" t="s">
        <v>315</v>
      </c>
      <c r="B64" s="29">
        <v>2.2000000000000002</v>
      </c>
      <c r="C64" s="29"/>
      <c r="D64" s="29" t="s">
        <v>157</v>
      </c>
      <c r="E64" s="29" t="s">
        <v>316</v>
      </c>
      <c r="F64" s="29" t="s">
        <v>280</v>
      </c>
      <c r="G64" s="29" t="s">
        <v>111</v>
      </c>
      <c r="H64" s="29" t="s">
        <v>317</v>
      </c>
      <c r="I64" s="29" t="s">
        <v>318</v>
      </c>
      <c r="J64">
        <v>2.2000000000000002</v>
      </c>
    </row>
    <row r="65" spans="1:10" x14ac:dyDescent="0.3">
      <c r="A65" s="29" t="s">
        <v>315</v>
      </c>
      <c r="B65" s="29">
        <v>0</v>
      </c>
      <c r="C65" s="29"/>
      <c r="D65" s="29" t="s">
        <v>157</v>
      </c>
      <c r="E65" s="29" t="s">
        <v>316</v>
      </c>
      <c r="F65" s="29" t="s">
        <v>319</v>
      </c>
      <c r="G65" s="29" t="s">
        <v>111</v>
      </c>
      <c r="H65" s="29" t="s">
        <v>317</v>
      </c>
      <c r="I65" s="29" t="s">
        <v>318</v>
      </c>
      <c r="J65">
        <v>3.06</v>
      </c>
    </row>
    <row r="66" spans="1:10" x14ac:dyDescent="0.3">
      <c r="A66" s="29" t="s">
        <v>315</v>
      </c>
      <c r="B66" s="29">
        <v>0</v>
      </c>
      <c r="C66" s="29"/>
      <c r="D66" s="29" t="s">
        <v>157</v>
      </c>
      <c r="E66" s="29" t="s">
        <v>316</v>
      </c>
      <c r="F66" s="29" t="s">
        <v>322</v>
      </c>
      <c r="G66" s="29" t="s">
        <v>111</v>
      </c>
      <c r="H66" s="29" t="s">
        <v>317</v>
      </c>
      <c r="I66" s="29" t="s">
        <v>318</v>
      </c>
      <c r="J66">
        <v>3</v>
      </c>
    </row>
    <row r="67" spans="1:10" x14ac:dyDescent="0.3">
      <c r="A67" s="29" t="s">
        <v>315</v>
      </c>
      <c r="B67" s="29">
        <v>0</v>
      </c>
      <c r="C67" s="29"/>
      <c r="D67" s="29" t="s">
        <v>157</v>
      </c>
      <c r="E67" s="29" t="s">
        <v>316</v>
      </c>
      <c r="F67" s="29" t="s">
        <v>323</v>
      </c>
      <c r="G67" s="29" t="s">
        <v>111</v>
      </c>
      <c r="H67" s="29" t="s">
        <v>317</v>
      </c>
      <c r="I67" s="29" t="s">
        <v>318</v>
      </c>
      <c r="J67">
        <v>2.14</v>
      </c>
    </row>
    <row r="68" spans="1:10" x14ac:dyDescent="0.3">
      <c r="A68" s="29" t="s">
        <v>315</v>
      </c>
      <c r="B68" s="29">
        <v>1.8</v>
      </c>
      <c r="C68" s="29"/>
      <c r="D68" s="29" t="s">
        <v>157</v>
      </c>
      <c r="E68" s="29" t="s">
        <v>316</v>
      </c>
      <c r="F68" s="29" t="s">
        <v>264</v>
      </c>
      <c r="G68" s="29" t="s">
        <v>111</v>
      </c>
      <c r="H68" s="29" t="s">
        <v>317</v>
      </c>
      <c r="I68" s="29" t="s">
        <v>318</v>
      </c>
      <c r="J68">
        <v>1.8</v>
      </c>
    </row>
    <row r="69" spans="1:10" x14ac:dyDescent="0.3">
      <c r="A69" s="29" t="s">
        <v>315</v>
      </c>
      <c r="B69" s="29">
        <v>0</v>
      </c>
      <c r="C69" s="29"/>
      <c r="D69" s="29" t="s">
        <v>157</v>
      </c>
      <c r="E69" s="29" t="s">
        <v>316</v>
      </c>
      <c r="F69" s="29" t="s">
        <v>324</v>
      </c>
      <c r="G69" s="29" t="s">
        <v>111</v>
      </c>
      <c r="H69" s="29" t="s">
        <v>317</v>
      </c>
      <c r="I69" s="29" t="s">
        <v>318</v>
      </c>
      <c r="J69">
        <v>2.1</v>
      </c>
    </row>
    <row r="70" spans="1:10" x14ac:dyDescent="0.3">
      <c r="A70" s="29" t="s">
        <v>315</v>
      </c>
      <c r="B70" s="29">
        <v>2.4</v>
      </c>
      <c r="C70" s="29"/>
      <c r="D70" s="29" t="s">
        <v>157</v>
      </c>
      <c r="E70" s="29" t="s">
        <v>316</v>
      </c>
      <c r="F70" s="29" t="s">
        <v>266</v>
      </c>
      <c r="G70" s="29" t="s">
        <v>111</v>
      </c>
      <c r="H70" s="29" t="s">
        <v>317</v>
      </c>
      <c r="I70" s="29" t="s">
        <v>318</v>
      </c>
      <c r="J70">
        <v>2.4</v>
      </c>
    </row>
    <row r="71" spans="1:10" x14ac:dyDescent="0.3">
      <c r="A71" s="29" t="s">
        <v>315</v>
      </c>
      <c r="B71" s="29">
        <v>0</v>
      </c>
      <c r="C71" s="29"/>
      <c r="D71" s="29" t="s">
        <v>157</v>
      </c>
      <c r="E71" s="29" t="s">
        <v>316</v>
      </c>
      <c r="F71" s="29" t="s">
        <v>325</v>
      </c>
      <c r="G71" s="29" t="s">
        <v>111</v>
      </c>
      <c r="H71" s="29" t="s">
        <v>317</v>
      </c>
      <c r="I71" s="29" t="s">
        <v>318</v>
      </c>
      <c r="J71">
        <v>2.06</v>
      </c>
    </row>
    <row r="72" spans="1:10" x14ac:dyDescent="0.3">
      <c r="A72" s="29" t="s">
        <v>315</v>
      </c>
      <c r="B72" s="29">
        <v>0</v>
      </c>
      <c r="C72" s="29"/>
      <c r="D72" s="29" t="s">
        <v>157</v>
      </c>
      <c r="E72" s="29" t="s">
        <v>316</v>
      </c>
      <c r="F72" s="29" t="s">
        <v>326</v>
      </c>
      <c r="G72" s="29" t="s">
        <v>111</v>
      </c>
      <c r="H72" s="29" t="s">
        <v>317</v>
      </c>
      <c r="I72" s="29" t="s">
        <v>318</v>
      </c>
      <c r="J72">
        <v>1.77</v>
      </c>
    </row>
    <row r="73" spans="1:10" x14ac:dyDescent="0.3">
      <c r="A73" s="29" t="s">
        <v>315</v>
      </c>
      <c r="B73" s="29">
        <v>0</v>
      </c>
      <c r="C73" s="29"/>
      <c r="D73" s="29" t="s">
        <v>157</v>
      </c>
      <c r="E73" s="29" t="s">
        <v>316</v>
      </c>
      <c r="F73" s="29" t="s">
        <v>327</v>
      </c>
      <c r="G73" s="29" t="s">
        <v>111</v>
      </c>
      <c r="H73" s="29" t="s">
        <v>317</v>
      </c>
      <c r="I73" s="29" t="s">
        <v>318</v>
      </c>
      <c r="J73">
        <v>2.06</v>
      </c>
    </row>
    <row r="74" spans="1:10" x14ac:dyDescent="0.3">
      <c r="A74" s="29" t="s">
        <v>315</v>
      </c>
      <c r="B74" s="29">
        <v>3.5</v>
      </c>
      <c r="C74" s="29"/>
      <c r="D74" s="29" t="s">
        <v>157</v>
      </c>
      <c r="E74" s="29" t="s">
        <v>316</v>
      </c>
      <c r="F74" s="29" t="s">
        <v>270</v>
      </c>
      <c r="G74" s="29" t="s">
        <v>111</v>
      </c>
      <c r="H74" s="29" t="s">
        <v>317</v>
      </c>
      <c r="I74" s="29" t="s">
        <v>318</v>
      </c>
      <c r="J74">
        <v>3.5</v>
      </c>
    </row>
    <row r="75" spans="1:10" x14ac:dyDescent="0.3">
      <c r="A75" s="29" t="s">
        <v>315</v>
      </c>
      <c r="B75" s="29">
        <v>0</v>
      </c>
      <c r="C75" s="29"/>
      <c r="D75" s="29" t="s">
        <v>157</v>
      </c>
      <c r="E75" s="29" t="s">
        <v>316</v>
      </c>
      <c r="F75" s="29" t="s">
        <v>329</v>
      </c>
      <c r="G75" s="29" t="s">
        <v>111</v>
      </c>
      <c r="H75" s="29" t="s">
        <v>317</v>
      </c>
      <c r="I75" s="29" t="s">
        <v>318</v>
      </c>
      <c r="J75">
        <v>3.44</v>
      </c>
    </row>
    <row r="76" spans="1:10" x14ac:dyDescent="0.3">
      <c r="A76" s="29" t="s">
        <v>315</v>
      </c>
      <c r="B76" s="29">
        <v>0</v>
      </c>
      <c r="C76" s="29"/>
      <c r="D76" s="29" t="s">
        <v>157</v>
      </c>
      <c r="E76" s="29" t="s">
        <v>316</v>
      </c>
      <c r="F76" s="29" t="s">
        <v>331</v>
      </c>
      <c r="G76" s="29" t="s">
        <v>111</v>
      </c>
      <c r="H76" s="29" t="s">
        <v>317</v>
      </c>
      <c r="I76" s="29" t="s">
        <v>318</v>
      </c>
      <c r="J76">
        <v>2.69</v>
      </c>
    </row>
    <row r="77" spans="1:10" x14ac:dyDescent="0.3">
      <c r="A77" s="29" t="s">
        <v>315</v>
      </c>
      <c r="B77" s="29">
        <v>1.5</v>
      </c>
      <c r="C77" s="29"/>
      <c r="D77" s="29" t="s">
        <v>157</v>
      </c>
      <c r="E77" s="29" t="s">
        <v>316</v>
      </c>
      <c r="F77" s="29" t="s">
        <v>271</v>
      </c>
      <c r="G77" s="29" t="s">
        <v>111</v>
      </c>
      <c r="H77" s="29" t="s">
        <v>317</v>
      </c>
      <c r="I77" s="29" t="s">
        <v>318</v>
      </c>
      <c r="J77">
        <v>1.5</v>
      </c>
    </row>
    <row r="78" spans="1:10" x14ac:dyDescent="0.3">
      <c r="A78" s="29" t="s">
        <v>315</v>
      </c>
      <c r="B78" s="29">
        <v>0</v>
      </c>
      <c r="C78" s="29"/>
      <c r="D78" s="29" t="s">
        <v>157</v>
      </c>
      <c r="E78" s="29" t="s">
        <v>316</v>
      </c>
      <c r="F78" s="29" t="s">
        <v>333</v>
      </c>
      <c r="G78" s="29" t="s">
        <v>111</v>
      </c>
      <c r="H78" s="29" t="s">
        <v>317</v>
      </c>
      <c r="I78" s="29" t="s">
        <v>318</v>
      </c>
      <c r="J78">
        <v>1.24</v>
      </c>
    </row>
    <row r="79" spans="1:10" x14ac:dyDescent="0.3">
      <c r="A79" s="29" t="s">
        <v>315</v>
      </c>
      <c r="B79" s="29">
        <v>0</v>
      </c>
      <c r="C79" s="29"/>
      <c r="D79" s="29" t="s">
        <v>157</v>
      </c>
      <c r="E79" s="29" t="s">
        <v>316</v>
      </c>
      <c r="F79" s="29" t="s">
        <v>335</v>
      </c>
      <c r="G79" s="29" t="s">
        <v>111</v>
      </c>
      <c r="H79" s="29" t="s">
        <v>317</v>
      </c>
      <c r="I79" s="29" t="s">
        <v>318</v>
      </c>
      <c r="J79">
        <v>1.3</v>
      </c>
    </row>
    <row r="81" spans="1:13" ht="33" x14ac:dyDescent="0.3">
      <c r="A81" s="28" t="s">
        <v>100</v>
      </c>
      <c r="B81" s="28" t="s">
        <v>101</v>
      </c>
      <c r="C81" s="28" t="s">
        <v>102</v>
      </c>
      <c r="D81" s="28" t="s">
        <v>103</v>
      </c>
      <c r="E81" s="28" t="s">
        <v>104</v>
      </c>
      <c r="F81" s="28" t="s">
        <v>105</v>
      </c>
      <c r="G81" s="28" t="s">
        <v>106</v>
      </c>
      <c r="H81" s="28" t="s">
        <v>107</v>
      </c>
      <c r="I81" s="28" t="s">
        <v>108</v>
      </c>
    </row>
    <row r="82" spans="1:13" x14ac:dyDescent="0.3">
      <c r="A82" s="29" t="s">
        <v>382</v>
      </c>
      <c r="B82" s="29"/>
      <c r="C82" s="29"/>
      <c r="D82" s="29"/>
      <c r="E82" s="29" t="s">
        <v>117</v>
      </c>
      <c r="F82" s="29" t="s">
        <v>111</v>
      </c>
      <c r="G82" s="29"/>
      <c r="H82" s="29" t="s">
        <v>372</v>
      </c>
      <c r="I82" s="29" t="s">
        <v>113</v>
      </c>
      <c r="J82" t="s">
        <v>377</v>
      </c>
    </row>
    <row r="83" spans="1:13" x14ac:dyDescent="0.3">
      <c r="A83" s="29" t="s">
        <v>383</v>
      </c>
      <c r="B83" s="29"/>
      <c r="C83" s="29"/>
      <c r="D83" s="29"/>
      <c r="E83" s="29" t="s">
        <v>117</v>
      </c>
      <c r="F83" s="29" t="s">
        <v>111</v>
      </c>
      <c r="G83" s="29"/>
      <c r="H83" s="29" t="s">
        <v>112</v>
      </c>
      <c r="I83" s="29" t="s">
        <v>113</v>
      </c>
      <c r="J83" t="s">
        <v>378</v>
      </c>
    </row>
    <row r="84" spans="1:13" ht="33" x14ac:dyDescent="0.3">
      <c r="A84" s="29" t="s">
        <v>384</v>
      </c>
      <c r="B84" s="29"/>
      <c r="C84" s="29"/>
      <c r="D84" s="29"/>
      <c r="E84" s="29" t="s">
        <v>117</v>
      </c>
      <c r="F84" s="29" t="s">
        <v>111</v>
      </c>
      <c r="G84" s="29"/>
      <c r="H84" s="29" t="s">
        <v>364</v>
      </c>
      <c r="I84" s="29" t="s">
        <v>113</v>
      </c>
      <c r="M84" s="25" t="s">
        <v>379</v>
      </c>
    </row>
    <row r="85" spans="1:13" x14ac:dyDescent="0.3">
      <c r="A85" s="29" t="s">
        <v>386</v>
      </c>
      <c r="B85" s="29">
        <v>0.75756999999999997</v>
      </c>
      <c r="C85" s="29" t="s">
        <v>414</v>
      </c>
      <c r="D85" s="29" t="s">
        <v>157</v>
      </c>
      <c r="E85" s="29" t="s">
        <v>387</v>
      </c>
      <c r="F85" s="29" t="s">
        <v>372</v>
      </c>
      <c r="G85" s="29"/>
      <c r="H85" s="29" t="s">
        <v>388</v>
      </c>
      <c r="I85" s="29" t="s">
        <v>127</v>
      </c>
      <c r="M85" t="s">
        <v>381</v>
      </c>
    </row>
    <row r="86" spans="1:13" x14ac:dyDescent="0.3">
      <c r="A86" s="29" t="s">
        <v>386</v>
      </c>
      <c r="B86" s="29">
        <v>0</v>
      </c>
      <c r="C86" s="29" t="s">
        <v>414</v>
      </c>
      <c r="D86" s="29" t="s">
        <v>157</v>
      </c>
      <c r="E86" s="29" t="s">
        <v>387</v>
      </c>
      <c r="F86" s="29" t="s">
        <v>112</v>
      </c>
      <c r="G86" s="29"/>
      <c r="H86" s="29" t="s">
        <v>388</v>
      </c>
      <c r="I86" s="29" t="s">
        <v>127</v>
      </c>
      <c r="M86" t="s">
        <v>385</v>
      </c>
    </row>
    <row r="87" spans="1:13" x14ac:dyDescent="0.3">
      <c r="A87" s="29" t="s">
        <v>386</v>
      </c>
      <c r="B87" s="29">
        <v>0.6</v>
      </c>
      <c r="C87" s="29" t="s">
        <v>414</v>
      </c>
      <c r="D87" s="29" t="s">
        <v>157</v>
      </c>
      <c r="E87" s="29" t="s">
        <v>387</v>
      </c>
      <c r="F87" s="29" t="s">
        <v>364</v>
      </c>
      <c r="G87" s="29"/>
      <c r="H87" s="29" t="s">
        <v>388</v>
      </c>
      <c r="I87" s="29" t="s">
        <v>127</v>
      </c>
      <c r="M87" t="s">
        <v>380</v>
      </c>
    </row>
    <row r="89" spans="1:13" ht="33" x14ac:dyDescent="0.3">
      <c r="A89" s="25" t="s">
        <v>100</v>
      </c>
      <c r="B89" s="25" t="s">
        <v>101</v>
      </c>
      <c r="C89" s="25" t="s">
        <v>102</v>
      </c>
      <c r="D89" s="25" t="s">
        <v>103</v>
      </c>
      <c r="E89" s="25" t="s">
        <v>104</v>
      </c>
      <c r="F89" s="25" t="s">
        <v>105</v>
      </c>
      <c r="G89" s="25" t="s">
        <v>106</v>
      </c>
      <c r="H89" s="25" t="s">
        <v>107</v>
      </c>
      <c r="I89" s="25" t="s">
        <v>108</v>
      </c>
    </row>
    <row r="90" spans="1:13" x14ac:dyDescent="0.3">
      <c r="A90" t="s">
        <v>291</v>
      </c>
      <c r="E90" t="s">
        <v>292</v>
      </c>
      <c r="F90" t="s">
        <v>417</v>
      </c>
      <c r="G90" t="s">
        <v>111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8BB9-0A85-4287-86A8-F923FF8E9DCA}">
  <dimension ref="A1:BZ92"/>
  <sheetViews>
    <sheetView topLeftCell="A54" zoomScale="85" zoomScaleNormal="85" workbookViewId="0">
      <selection activeCell="M80" sqref="M80"/>
    </sheetView>
  </sheetViews>
  <sheetFormatPr defaultRowHeight="16.5" x14ac:dyDescent="0.3"/>
  <cols>
    <col min="19" max="19" width="39.875" bestFit="1" customWidth="1"/>
    <col min="20" max="20" width="19" bestFit="1" customWidth="1"/>
    <col min="21" max="21" width="18.75" bestFit="1" customWidth="1"/>
    <col min="22" max="22" width="13.625" bestFit="1" customWidth="1"/>
    <col min="24" max="24" width="22.125" bestFit="1" customWidth="1"/>
    <col min="26" max="26" width="13.25" bestFit="1" customWidth="1"/>
    <col min="28" max="28" width="12.375" customWidth="1"/>
    <col min="39" max="41" width="9" style="27"/>
  </cols>
  <sheetData>
    <row r="1" spans="1:41" ht="33" x14ac:dyDescent="0.3">
      <c r="A1" s="28" t="s">
        <v>100</v>
      </c>
      <c r="B1" s="28" t="s">
        <v>101</v>
      </c>
      <c r="C1" s="28" t="s">
        <v>102</v>
      </c>
      <c r="D1" s="28" t="s">
        <v>103</v>
      </c>
      <c r="E1" s="28" t="s">
        <v>104</v>
      </c>
      <c r="F1" s="28" t="s">
        <v>105</v>
      </c>
      <c r="G1" s="28" t="s">
        <v>106</v>
      </c>
      <c r="H1" s="28" t="s">
        <v>107</v>
      </c>
      <c r="I1" s="28" t="s">
        <v>108</v>
      </c>
      <c r="K1" s="23" t="s">
        <v>183</v>
      </c>
      <c r="M1" s="25" t="s">
        <v>411</v>
      </c>
      <c r="N1" s="27"/>
      <c r="P1" s="30"/>
      <c r="Q1" s="31" t="s">
        <v>301</v>
      </c>
      <c r="R1" s="31"/>
      <c r="S1" s="31"/>
      <c r="X1" t="s">
        <v>394</v>
      </c>
      <c r="Y1" t="s">
        <v>392</v>
      </c>
      <c r="Z1" t="s">
        <v>393</v>
      </c>
      <c r="AM1" s="28" t="s">
        <v>100</v>
      </c>
      <c r="AN1" s="28" t="s">
        <v>101</v>
      </c>
      <c r="AO1" s="28" t="s">
        <v>106</v>
      </c>
    </row>
    <row r="2" spans="1:41" x14ac:dyDescent="0.3">
      <c r="A2" s="29" t="s">
        <v>220</v>
      </c>
      <c r="B2" s="29"/>
      <c r="C2" s="29"/>
      <c r="D2" s="29"/>
      <c r="E2" s="29" t="s">
        <v>221</v>
      </c>
      <c r="F2" s="29" t="s">
        <v>111</v>
      </c>
      <c r="G2" s="29" t="s">
        <v>222</v>
      </c>
      <c r="H2" s="29" t="s">
        <v>112</v>
      </c>
      <c r="I2" s="29" t="s">
        <v>113</v>
      </c>
      <c r="K2" s="22">
        <v>212</v>
      </c>
      <c r="L2" t="b">
        <f>IF(FrzPt!B2&gt;0.0001, K2, FALSE)</f>
        <v>0</v>
      </c>
      <c r="M2" s="27">
        <v>5.94810539620204</v>
      </c>
      <c r="N2" s="27"/>
      <c r="P2" s="32"/>
      <c r="Q2" s="29" t="s">
        <v>302</v>
      </c>
      <c r="R2" s="29"/>
      <c r="S2" s="27"/>
      <c r="T2" t="s">
        <v>392</v>
      </c>
      <c r="U2" t="s">
        <v>393</v>
      </c>
      <c r="X2" s="29" t="s">
        <v>41</v>
      </c>
      <c r="Y2" s="27">
        <v>7</v>
      </c>
      <c r="Z2" s="27">
        <v>2</v>
      </c>
      <c r="AM2" s="29" t="s">
        <v>220</v>
      </c>
      <c r="AN2" s="29">
        <v>0</v>
      </c>
      <c r="AO2" s="29" t="s">
        <v>222</v>
      </c>
    </row>
    <row r="3" spans="1:41" x14ac:dyDescent="0.3">
      <c r="A3" s="29" t="s">
        <v>220</v>
      </c>
      <c r="B3" s="29"/>
      <c r="C3" s="29"/>
      <c r="D3" s="29"/>
      <c r="E3" s="29" t="s">
        <v>221</v>
      </c>
      <c r="F3" s="29" t="s">
        <v>111</v>
      </c>
      <c r="G3" s="29" t="s">
        <v>223</v>
      </c>
      <c r="H3" s="29" t="s">
        <v>112</v>
      </c>
      <c r="I3" s="29" t="s">
        <v>113</v>
      </c>
      <c r="K3" s="22">
        <v>-422.96799999999899</v>
      </c>
      <c r="L3" s="22" t="b">
        <f>IF(FrzPt!B3&gt;0.0001, K3, FALSE)</f>
        <v>0</v>
      </c>
      <c r="M3" s="27"/>
      <c r="N3" s="27"/>
      <c r="P3" s="32" t="s">
        <v>303</v>
      </c>
      <c r="Q3" s="29" t="s">
        <v>39</v>
      </c>
      <c r="R3" s="33" t="s">
        <v>304</v>
      </c>
      <c r="S3" s="34" t="s">
        <v>304</v>
      </c>
      <c r="X3" s="29" t="s">
        <v>43</v>
      </c>
      <c r="Y3" s="27">
        <v>7</v>
      </c>
      <c r="Z3" s="27">
        <v>4</v>
      </c>
      <c r="AM3" s="29" t="s">
        <v>220</v>
      </c>
      <c r="AN3" s="29">
        <v>0</v>
      </c>
      <c r="AO3" s="29" t="s">
        <v>223</v>
      </c>
    </row>
    <row r="4" spans="1:41" x14ac:dyDescent="0.3">
      <c r="A4" s="29" t="s">
        <v>220</v>
      </c>
      <c r="B4" s="29"/>
      <c r="C4" s="29"/>
      <c r="D4" s="29"/>
      <c r="E4" s="29" t="s">
        <v>221</v>
      </c>
      <c r="F4" s="29" t="s">
        <v>111</v>
      </c>
      <c r="G4" s="29" t="s">
        <v>224</v>
      </c>
      <c r="H4" s="29" t="s">
        <v>112</v>
      </c>
      <c r="I4" s="29" t="s">
        <v>113</v>
      </c>
      <c r="K4" s="22">
        <v>-297.33159999999901</v>
      </c>
      <c r="L4" s="22" t="b">
        <f>IF(FrzPt!B4&gt;0.0001, K4, FALSE)</f>
        <v>0</v>
      </c>
      <c r="M4" s="27">
        <v>-440.20995749232901</v>
      </c>
      <c r="N4" s="27"/>
      <c r="P4" s="32"/>
      <c r="Q4" s="29" t="s">
        <v>45</v>
      </c>
      <c r="R4" s="33"/>
      <c r="S4" s="34"/>
      <c r="X4" s="29" t="s">
        <v>62</v>
      </c>
      <c r="Y4" s="27">
        <v>7</v>
      </c>
      <c r="Z4" s="27">
        <v>4</v>
      </c>
      <c r="AM4" s="29" t="s">
        <v>220</v>
      </c>
      <c r="AN4" s="29">
        <v>0</v>
      </c>
      <c r="AO4" s="29" t="s">
        <v>224</v>
      </c>
    </row>
    <row r="5" spans="1:41" x14ac:dyDescent="0.3">
      <c r="A5" s="29" t="s">
        <v>220</v>
      </c>
      <c r="B5" s="29"/>
      <c r="C5" s="29"/>
      <c r="D5" s="29"/>
      <c r="E5" s="29" t="s">
        <v>221</v>
      </c>
      <c r="F5" s="29" t="s">
        <v>111</v>
      </c>
      <c r="G5" s="29" t="s">
        <v>225</v>
      </c>
      <c r="H5" s="29" t="s">
        <v>112</v>
      </c>
      <c r="I5" s="29" t="s">
        <v>113</v>
      </c>
      <c r="K5" s="22">
        <v>-320.45079999999899</v>
      </c>
      <c r="L5" s="22" t="b">
        <f>IF(FrzPt!B5&gt;0.0001, K5, FALSE)</f>
        <v>0</v>
      </c>
      <c r="M5" s="27">
        <v>-416.290583850053</v>
      </c>
      <c r="N5" s="27"/>
      <c r="P5" s="32"/>
      <c r="Q5" s="29" t="s">
        <v>41</v>
      </c>
      <c r="R5" s="33"/>
      <c r="S5" s="34"/>
      <c r="T5">
        <v>7</v>
      </c>
      <c r="U5">
        <v>2</v>
      </c>
      <c r="X5" s="29" t="s">
        <v>44</v>
      </c>
      <c r="Y5" s="27">
        <v>8</v>
      </c>
      <c r="Z5" s="27">
        <v>5</v>
      </c>
      <c r="AM5" s="29" t="s">
        <v>220</v>
      </c>
      <c r="AN5" s="29">
        <v>0</v>
      </c>
      <c r="AO5" s="29" t="s">
        <v>225</v>
      </c>
    </row>
    <row r="6" spans="1:41" x14ac:dyDescent="0.3">
      <c r="A6" s="29" t="s">
        <v>220</v>
      </c>
      <c r="B6" s="29"/>
      <c r="C6" s="29"/>
      <c r="D6" s="29"/>
      <c r="E6" s="29" t="s">
        <v>221</v>
      </c>
      <c r="F6" s="29" t="s">
        <v>111</v>
      </c>
      <c r="G6" s="29" t="s">
        <v>226</v>
      </c>
      <c r="H6" s="29" t="s">
        <v>112</v>
      </c>
      <c r="I6" s="29" t="s">
        <v>113</v>
      </c>
      <c r="K6" s="22">
        <v>-302.56599999999901</v>
      </c>
      <c r="L6" s="22" t="b">
        <f>IF(FrzPt!B6&gt;0.0001, K6, FALSE)</f>
        <v>0</v>
      </c>
      <c r="M6" s="27">
        <v>-423.11903232827098</v>
      </c>
      <c r="N6" s="27"/>
      <c r="P6" s="32"/>
      <c r="Q6" s="29" t="s">
        <v>43</v>
      </c>
      <c r="R6" s="33"/>
      <c r="S6" s="34"/>
      <c r="T6">
        <v>7</v>
      </c>
      <c r="U6">
        <v>4</v>
      </c>
      <c r="X6" s="29" t="s">
        <v>64</v>
      </c>
      <c r="Y6" s="27">
        <v>8</v>
      </c>
      <c r="Z6" s="27">
        <v>1</v>
      </c>
      <c r="AM6" s="29" t="s">
        <v>220</v>
      </c>
      <c r="AN6" s="29">
        <v>0</v>
      </c>
      <c r="AO6" s="29" t="s">
        <v>226</v>
      </c>
    </row>
    <row r="7" spans="1:41" x14ac:dyDescent="0.3">
      <c r="A7" s="29" t="s">
        <v>220</v>
      </c>
      <c r="B7" s="29"/>
      <c r="C7" s="29"/>
      <c r="D7" s="29"/>
      <c r="E7" s="29" t="s">
        <v>221</v>
      </c>
      <c r="F7" s="29" t="s">
        <v>111</v>
      </c>
      <c r="G7" s="29" t="s">
        <v>227</v>
      </c>
      <c r="H7" s="29" t="s">
        <v>112</v>
      </c>
      <c r="I7" s="29" t="s">
        <v>113</v>
      </c>
      <c r="K7" s="22">
        <v>-312.60999999999899</v>
      </c>
      <c r="L7" s="22" t="b">
        <f>IF(FrzPt!B7&gt;0.0001, K7, FALSE)</f>
        <v>0</v>
      </c>
      <c r="M7" s="27">
        <v>-412.643325627607</v>
      </c>
      <c r="N7" s="27"/>
      <c r="P7" s="32"/>
      <c r="Q7" s="29" t="s">
        <v>62</v>
      </c>
      <c r="R7" s="33"/>
      <c r="S7" s="34"/>
      <c r="T7">
        <v>7</v>
      </c>
      <c r="U7">
        <v>4</v>
      </c>
      <c r="X7" s="29" t="s">
        <v>49</v>
      </c>
      <c r="Y7" s="27">
        <v>8</v>
      </c>
      <c r="Z7" s="27">
        <v>8</v>
      </c>
      <c r="AM7" s="29" t="s">
        <v>220</v>
      </c>
      <c r="AN7" s="29">
        <v>0</v>
      </c>
      <c r="AO7" s="29" t="s">
        <v>227</v>
      </c>
    </row>
    <row r="8" spans="1:41" x14ac:dyDescent="0.3">
      <c r="A8" s="29" t="s">
        <v>220</v>
      </c>
      <c r="B8" s="29"/>
      <c r="C8" s="29"/>
      <c r="D8" s="29"/>
      <c r="E8" s="29" t="s">
        <v>221</v>
      </c>
      <c r="F8" s="29" t="s">
        <v>111</v>
      </c>
      <c r="G8" s="29" t="s">
        <v>228</v>
      </c>
      <c r="H8" s="29" t="s">
        <v>112</v>
      </c>
      <c r="I8" s="29" t="s">
        <v>113</v>
      </c>
      <c r="K8" s="22">
        <v>-109.21</v>
      </c>
      <c r="L8" s="22" t="b">
        <f>IF(FrzPt!B8&gt;0.0001, K8, FALSE)</f>
        <v>0</v>
      </c>
      <c r="M8" s="27">
        <v>-293.97898502023401</v>
      </c>
      <c r="N8" s="27"/>
      <c r="P8" s="32"/>
      <c r="Q8" s="29" t="s">
        <v>44</v>
      </c>
      <c r="R8" s="33"/>
      <c r="S8" s="35" t="s">
        <v>155</v>
      </c>
      <c r="T8">
        <v>8</v>
      </c>
      <c r="U8">
        <v>5</v>
      </c>
      <c r="X8" s="29" t="s">
        <v>63</v>
      </c>
      <c r="Y8" s="27">
        <v>9</v>
      </c>
      <c r="Z8" s="27">
        <v>1</v>
      </c>
      <c r="AM8" s="29" t="s">
        <v>220</v>
      </c>
      <c r="AN8" s="29">
        <v>0</v>
      </c>
      <c r="AO8" s="29" t="s">
        <v>228</v>
      </c>
    </row>
    <row r="9" spans="1:41" x14ac:dyDescent="0.3">
      <c r="A9" s="29" t="s">
        <v>220</v>
      </c>
      <c r="B9" s="29"/>
      <c r="C9" s="29"/>
      <c r="D9" s="29"/>
      <c r="E9" s="29" t="s">
        <v>221</v>
      </c>
      <c r="F9" s="29" t="s">
        <v>111</v>
      </c>
      <c r="G9" s="29" t="s">
        <v>229</v>
      </c>
      <c r="H9" s="29" t="s">
        <v>112</v>
      </c>
      <c r="I9" s="29" t="s">
        <v>113</v>
      </c>
      <c r="K9" s="22">
        <v>-258.66399999999902</v>
      </c>
      <c r="L9" s="22" t="b">
        <f>IF(FrzPt!B9&gt;0.0001, K9, FALSE)</f>
        <v>0</v>
      </c>
      <c r="M9" s="27">
        <v>-426.91285253527599</v>
      </c>
      <c r="N9" s="27"/>
      <c r="P9" s="32"/>
      <c r="Q9" s="29" t="s">
        <v>64</v>
      </c>
      <c r="R9" s="33"/>
      <c r="S9" s="35"/>
      <c r="T9">
        <v>8</v>
      </c>
      <c r="U9">
        <v>1</v>
      </c>
      <c r="X9" s="29" t="s">
        <v>42</v>
      </c>
      <c r="Y9" s="27">
        <v>10</v>
      </c>
      <c r="Z9" s="27">
        <v>2</v>
      </c>
      <c r="AM9" s="29" t="s">
        <v>220</v>
      </c>
      <c r="AN9" s="29">
        <v>0</v>
      </c>
      <c r="AO9" s="29" t="s">
        <v>229</v>
      </c>
    </row>
    <row r="10" spans="1:41" x14ac:dyDescent="0.3">
      <c r="A10" s="29" t="s">
        <v>220</v>
      </c>
      <c r="B10" s="29"/>
      <c r="C10" s="29"/>
      <c r="D10" s="29"/>
      <c r="E10" s="29" t="s">
        <v>221</v>
      </c>
      <c r="F10" s="29" t="s">
        <v>111</v>
      </c>
      <c r="G10" s="29" t="s">
        <v>230</v>
      </c>
      <c r="H10" s="29" t="s">
        <v>112</v>
      </c>
      <c r="I10" s="29" t="s">
        <v>113</v>
      </c>
      <c r="K10" s="22">
        <v>-127.444</v>
      </c>
      <c r="L10" s="22" t="b">
        <f>IF(FrzPt!B10&gt;0.0001, K10, FALSE)</f>
        <v>0</v>
      </c>
      <c r="M10" s="27">
        <v>-392.18186010637601</v>
      </c>
      <c r="N10" s="27"/>
      <c r="P10" s="32"/>
      <c r="Q10" s="29" t="s">
        <v>49</v>
      </c>
      <c r="R10" s="33"/>
      <c r="S10" s="35"/>
      <c r="T10">
        <v>8</v>
      </c>
      <c r="U10">
        <v>8</v>
      </c>
      <c r="X10" s="29" t="s">
        <v>37</v>
      </c>
      <c r="Y10" s="27">
        <v>9</v>
      </c>
      <c r="Z10" s="27">
        <v>8</v>
      </c>
      <c r="AM10" s="29" t="s">
        <v>220</v>
      </c>
      <c r="AN10" s="29">
        <v>0</v>
      </c>
      <c r="AO10" s="29" t="s">
        <v>230</v>
      </c>
    </row>
    <row r="11" spans="1:41" x14ac:dyDescent="0.3">
      <c r="A11" s="29" t="s">
        <v>220</v>
      </c>
      <c r="B11" s="29"/>
      <c r="C11" s="29"/>
      <c r="D11" s="29"/>
      <c r="E11" s="29" t="s">
        <v>221</v>
      </c>
      <c r="F11" s="29" t="s">
        <v>111</v>
      </c>
      <c r="G11" s="29" t="s">
        <v>231</v>
      </c>
      <c r="H11" s="29" t="s">
        <v>112</v>
      </c>
      <c r="I11" s="29" t="s">
        <v>113</v>
      </c>
      <c r="K11" s="22">
        <v>-43.797999999999597</v>
      </c>
      <c r="L11" s="22" t="b">
        <f>IF(FrzPt!B11&gt;0.0001, K11, FALSE)</f>
        <v>0</v>
      </c>
      <c r="M11" s="27">
        <v>-377.223508046196</v>
      </c>
      <c r="N11" s="27"/>
      <c r="P11" s="32"/>
      <c r="Q11" s="29" t="s">
        <v>63</v>
      </c>
      <c r="R11" s="36" t="s">
        <v>305</v>
      </c>
      <c r="S11" s="35"/>
      <c r="T11">
        <v>9</v>
      </c>
      <c r="U11">
        <v>1</v>
      </c>
      <c r="X11" s="29" t="s">
        <v>54</v>
      </c>
      <c r="Y11" s="27">
        <v>9</v>
      </c>
      <c r="Z11" s="27">
        <v>10</v>
      </c>
      <c r="AM11" s="29" t="s">
        <v>220</v>
      </c>
      <c r="AN11" s="29">
        <v>0</v>
      </c>
      <c r="AO11" s="29" t="s">
        <v>231</v>
      </c>
    </row>
    <row r="12" spans="1:41" x14ac:dyDescent="0.3">
      <c r="A12" s="29" t="s">
        <v>220</v>
      </c>
      <c r="B12" s="29"/>
      <c r="C12" s="29"/>
      <c r="D12" s="29"/>
      <c r="E12" s="29" t="s">
        <v>221</v>
      </c>
      <c r="F12" s="29" t="s">
        <v>111</v>
      </c>
      <c r="G12" s="29" t="s">
        <v>232</v>
      </c>
      <c r="H12" s="29" t="s">
        <v>112</v>
      </c>
      <c r="I12" s="29" t="s">
        <v>113</v>
      </c>
      <c r="K12" s="22">
        <v>31.1180000000004</v>
      </c>
      <c r="L12" s="22" t="b">
        <f>IF(FrzPt!B12&gt;0.0001, K12, FALSE)</f>
        <v>0</v>
      </c>
      <c r="M12" s="27">
        <v>-330.09821679782601</v>
      </c>
      <c r="N12" s="27"/>
      <c r="P12" s="32"/>
      <c r="Q12" s="29" t="s">
        <v>42</v>
      </c>
      <c r="R12" s="36"/>
      <c r="S12" s="35"/>
      <c r="T12">
        <v>10</v>
      </c>
      <c r="U12">
        <v>2</v>
      </c>
      <c r="X12" s="29" t="s">
        <v>50</v>
      </c>
      <c r="Y12" s="27">
        <v>10</v>
      </c>
      <c r="Z12" s="27">
        <v>8</v>
      </c>
      <c r="AM12" s="29" t="s">
        <v>220</v>
      </c>
      <c r="AN12" s="29">
        <v>0</v>
      </c>
      <c r="AO12" s="29" t="s">
        <v>232</v>
      </c>
    </row>
    <row r="13" spans="1:41" x14ac:dyDescent="0.3">
      <c r="A13" s="29" t="s">
        <v>220</v>
      </c>
      <c r="B13" s="29"/>
      <c r="C13" s="29"/>
      <c r="D13" s="29"/>
      <c r="E13" s="29" t="s">
        <v>221</v>
      </c>
      <c r="F13" s="29" t="s">
        <v>111</v>
      </c>
      <c r="G13" s="29" t="s">
        <v>233</v>
      </c>
      <c r="H13" s="29" t="s">
        <v>112</v>
      </c>
      <c r="I13" s="29" t="s">
        <v>113</v>
      </c>
      <c r="K13" s="22">
        <v>-154.731999999999</v>
      </c>
      <c r="L13" s="22" t="b">
        <f>IF(FrzPt!B13&gt;0.0001, K13, FALSE)</f>
        <v>0</v>
      </c>
      <c r="M13" s="27">
        <v>-383.01003450153303</v>
      </c>
      <c r="N13" s="27"/>
      <c r="P13" s="32"/>
      <c r="Q13" s="29" t="s">
        <v>37</v>
      </c>
      <c r="R13" s="36"/>
      <c r="S13" s="35"/>
      <c r="T13">
        <v>9</v>
      </c>
      <c r="U13">
        <v>8</v>
      </c>
      <c r="X13" s="29" t="s">
        <v>46</v>
      </c>
      <c r="Y13" s="27">
        <v>10</v>
      </c>
      <c r="Z13" s="27">
        <v>4</v>
      </c>
      <c r="AM13" s="29" t="s">
        <v>220</v>
      </c>
      <c r="AN13" s="29">
        <v>0</v>
      </c>
      <c r="AO13" s="29" t="s">
        <v>233</v>
      </c>
    </row>
    <row r="14" spans="1:41" x14ac:dyDescent="0.3">
      <c r="A14" s="29" t="s">
        <v>220</v>
      </c>
      <c r="B14" s="29"/>
      <c r="C14" s="29"/>
      <c r="D14" s="29"/>
      <c r="E14" s="29" t="s">
        <v>221</v>
      </c>
      <c r="F14" s="29" t="s">
        <v>111</v>
      </c>
      <c r="G14" s="29" t="s">
        <v>234</v>
      </c>
      <c r="H14" s="29" t="s">
        <v>112</v>
      </c>
      <c r="I14" s="29" t="s">
        <v>113</v>
      </c>
      <c r="K14" s="22">
        <v>-53.859999999999602</v>
      </c>
      <c r="L14" s="22" t="b">
        <f>IF(FrzPt!B14&gt;0.0001, K14, FALSE)</f>
        <v>0</v>
      </c>
      <c r="M14" s="27">
        <v>-394.259413407105</v>
      </c>
      <c r="N14" s="27"/>
      <c r="P14" s="32"/>
      <c r="Q14" s="29" t="s">
        <v>54</v>
      </c>
      <c r="R14" s="36"/>
      <c r="S14" s="35"/>
      <c r="T14">
        <v>9</v>
      </c>
      <c r="U14">
        <v>10</v>
      </c>
      <c r="X14" s="29" t="s">
        <v>59</v>
      </c>
      <c r="Y14" s="27">
        <v>10</v>
      </c>
      <c r="Z14" s="27">
        <v>5</v>
      </c>
      <c r="AM14" s="29" t="s">
        <v>220</v>
      </c>
      <c r="AN14" s="29">
        <v>0</v>
      </c>
      <c r="AO14" s="29" t="s">
        <v>234</v>
      </c>
    </row>
    <row r="15" spans="1:41" x14ac:dyDescent="0.3">
      <c r="A15" s="29" t="s">
        <v>220</v>
      </c>
      <c r="B15" s="29"/>
      <c r="C15" s="29"/>
      <c r="D15" s="29"/>
      <c r="E15" s="29" t="s">
        <v>221</v>
      </c>
      <c r="F15" s="29" t="s">
        <v>111</v>
      </c>
      <c r="G15" s="29" t="s">
        <v>235</v>
      </c>
      <c r="H15" s="29" t="s">
        <v>112</v>
      </c>
      <c r="I15" s="29" t="s">
        <v>113</v>
      </c>
      <c r="K15" s="22">
        <v>20.768000000000399</v>
      </c>
      <c r="L15" s="22" t="b">
        <f>IF(FrzPt!B15&gt;0.0001, K15, FALSE)</f>
        <v>0</v>
      </c>
      <c r="M15" s="27">
        <v>-367.64039862857601</v>
      </c>
      <c r="N15" s="27"/>
      <c r="P15" s="32"/>
      <c r="Q15" s="29" t="s">
        <v>50</v>
      </c>
      <c r="R15" s="36"/>
      <c r="S15" s="35"/>
      <c r="T15">
        <v>10</v>
      </c>
      <c r="U15">
        <v>8</v>
      </c>
      <c r="X15" s="29" t="s">
        <v>48</v>
      </c>
      <c r="Y15" s="27">
        <v>12</v>
      </c>
      <c r="Z15" s="27">
        <v>6</v>
      </c>
      <c r="AM15" s="29" t="s">
        <v>220</v>
      </c>
      <c r="AN15" s="29">
        <v>0</v>
      </c>
      <c r="AO15" s="29" t="s">
        <v>235</v>
      </c>
    </row>
    <row r="16" spans="1:41" x14ac:dyDescent="0.3">
      <c r="A16" s="29" t="s">
        <v>220</v>
      </c>
      <c r="B16" s="29"/>
      <c r="C16" s="29"/>
      <c r="D16" s="29"/>
      <c r="E16" s="29" t="s">
        <v>221</v>
      </c>
      <c r="F16" s="29" t="s">
        <v>111</v>
      </c>
      <c r="G16" s="29" t="s">
        <v>236</v>
      </c>
      <c r="H16" s="29" t="s">
        <v>112</v>
      </c>
      <c r="I16" s="29" t="s">
        <v>113</v>
      </c>
      <c r="K16" s="22">
        <v>13.9640000000004</v>
      </c>
      <c r="L16" s="22" t="b">
        <f>IF(FrzPt!B16&gt;0.0001, K16, FALSE)</f>
        <v>0</v>
      </c>
      <c r="M16" s="27">
        <v>-274.06256515259599</v>
      </c>
      <c r="N16" s="27"/>
      <c r="P16" s="32"/>
      <c r="Q16" s="29" t="s">
        <v>46</v>
      </c>
      <c r="R16" s="36"/>
      <c r="S16" s="35"/>
      <c r="T16">
        <v>10</v>
      </c>
      <c r="U16">
        <v>4</v>
      </c>
      <c r="X16" s="29" t="s">
        <v>40</v>
      </c>
      <c r="Y16" s="27">
        <v>12</v>
      </c>
      <c r="Z16" s="27">
        <v>1</v>
      </c>
      <c r="AM16" s="29" t="s">
        <v>220</v>
      </c>
      <c r="AN16" s="29">
        <v>0</v>
      </c>
      <c r="AO16" s="29" t="s">
        <v>236</v>
      </c>
    </row>
    <row r="17" spans="1:41" x14ac:dyDescent="0.3">
      <c r="A17" s="29" t="s">
        <v>220</v>
      </c>
      <c r="B17" s="29"/>
      <c r="C17" s="29"/>
      <c r="D17" s="29"/>
      <c r="E17" s="29" t="s">
        <v>221</v>
      </c>
      <c r="F17" s="29" t="s">
        <v>111</v>
      </c>
      <c r="G17" s="29" t="s">
        <v>237</v>
      </c>
      <c r="H17" s="29" t="s">
        <v>112</v>
      </c>
      <c r="I17" s="29" t="s">
        <v>113</v>
      </c>
      <c r="K17" s="22">
        <v>69.800000000000196</v>
      </c>
      <c r="L17" s="22" t="b">
        <f>IF(FrzPt!B17&gt;0.0001, K17, FALSE)</f>
        <v>0</v>
      </c>
      <c r="M17" s="27">
        <v>-110.65926998443101</v>
      </c>
      <c r="N17" s="27"/>
      <c r="P17" s="32"/>
      <c r="Q17" s="29" t="s">
        <v>59</v>
      </c>
      <c r="R17" s="36"/>
      <c r="S17" s="37" t="s">
        <v>305</v>
      </c>
      <c r="T17">
        <v>10</v>
      </c>
      <c r="U17">
        <v>5</v>
      </c>
      <c r="X17" s="29" t="s">
        <v>47</v>
      </c>
      <c r="Y17" s="27">
        <v>12</v>
      </c>
      <c r="Z17" s="27">
        <v>6</v>
      </c>
      <c r="AM17" s="29" t="s">
        <v>220</v>
      </c>
      <c r="AN17" s="29">
        <v>0</v>
      </c>
      <c r="AO17" s="29" t="s">
        <v>237</v>
      </c>
    </row>
    <row r="18" spans="1:41" x14ac:dyDescent="0.3">
      <c r="A18" s="29" t="s">
        <v>220</v>
      </c>
      <c r="B18" s="29"/>
      <c r="C18" s="29"/>
      <c r="D18" s="29"/>
      <c r="E18" s="29" t="s">
        <v>221</v>
      </c>
      <c r="F18" s="29" t="s">
        <v>111</v>
      </c>
      <c r="G18" s="29" t="s">
        <v>238</v>
      </c>
      <c r="H18" s="29" t="s">
        <v>112</v>
      </c>
      <c r="I18" s="29" t="s">
        <v>113</v>
      </c>
      <c r="K18" s="22">
        <v>341.42</v>
      </c>
      <c r="L18" s="22" t="b">
        <f>IF(FrzPt!B18&gt;0.0001, K18, FALSE)</f>
        <v>0</v>
      </c>
      <c r="M18" s="27">
        <v>-190.18344590692701</v>
      </c>
      <c r="N18" s="27"/>
      <c r="P18" s="32"/>
      <c r="Q18" s="29" t="s">
        <v>48</v>
      </c>
      <c r="R18" s="36"/>
      <c r="S18" s="37"/>
      <c r="T18">
        <v>12</v>
      </c>
      <c r="U18">
        <v>6</v>
      </c>
      <c r="X18" s="29" t="s">
        <v>53</v>
      </c>
      <c r="Y18" s="27">
        <v>14</v>
      </c>
      <c r="Z18" s="27">
        <v>9</v>
      </c>
      <c r="AM18" s="29" t="s">
        <v>220</v>
      </c>
      <c r="AN18" s="29">
        <v>3.6835977400000001E-5</v>
      </c>
      <c r="AO18" s="29" t="s">
        <v>238</v>
      </c>
    </row>
    <row r="19" spans="1:41" x14ac:dyDescent="0.3">
      <c r="A19" s="29" t="s">
        <v>220</v>
      </c>
      <c r="B19" s="29"/>
      <c r="C19" s="29"/>
      <c r="D19" s="29"/>
      <c r="E19" s="29" t="s">
        <v>221</v>
      </c>
      <c r="F19" s="29" t="s">
        <v>111</v>
      </c>
      <c r="G19" s="29" t="s">
        <v>239</v>
      </c>
      <c r="H19" s="29" t="s">
        <v>112</v>
      </c>
      <c r="I19" s="29" t="s">
        <v>113</v>
      </c>
      <c r="K19" s="22">
        <v>544.73</v>
      </c>
      <c r="L19" s="22" t="b">
        <f>IF(FrzPt!B19&gt;0.0001, K19, FALSE)</f>
        <v>0</v>
      </c>
      <c r="M19" s="27">
        <v>-108.57761508566701</v>
      </c>
      <c r="N19" s="27"/>
      <c r="P19" s="32"/>
      <c r="Q19" s="29" t="s">
        <v>40</v>
      </c>
      <c r="R19" s="36"/>
      <c r="S19" s="37"/>
      <c r="T19">
        <v>12</v>
      </c>
      <c r="U19">
        <v>1</v>
      </c>
      <c r="X19" s="41" t="s">
        <v>395</v>
      </c>
      <c r="Y19" s="27">
        <v>7</v>
      </c>
      <c r="Z19" s="27">
        <v>5</v>
      </c>
      <c r="AM19" s="29" t="s">
        <v>220</v>
      </c>
      <c r="AN19" s="29">
        <v>2.6514552199999999E-16</v>
      </c>
      <c r="AO19" s="29" t="s">
        <v>239</v>
      </c>
    </row>
    <row r="20" spans="1:41" x14ac:dyDescent="0.3">
      <c r="A20" s="29" t="s">
        <v>220</v>
      </c>
      <c r="B20" s="29"/>
      <c r="C20" s="29"/>
      <c r="D20" s="29"/>
      <c r="E20" s="29" t="s">
        <v>221</v>
      </c>
      <c r="F20" s="29" t="s">
        <v>111</v>
      </c>
      <c r="G20" s="29" t="s">
        <v>240</v>
      </c>
      <c r="H20" s="29" t="s">
        <v>112</v>
      </c>
      <c r="I20" s="29" t="s">
        <v>113</v>
      </c>
      <c r="K20" s="22">
        <v>293.89999999999998</v>
      </c>
      <c r="L20" s="22" t="b">
        <f>IF(FrzPt!B20&gt;0.0001, K20, FALSE)</f>
        <v>0</v>
      </c>
      <c r="M20" s="27">
        <v>-136.68306255931299</v>
      </c>
      <c r="N20" s="27"/>
      <c r="P20" s="32"/>
      <c r="Q20" s="29" t="s">
        <v>55</v>
      </c>
      <c r="R20" s="36"/>
      <c r="S20" s="37"/>
      <c r="X20" s="41" t="s">
        <v>396</v>
      </c>
      <c r="Y20" t="s">
        <v>406</v>
      </c>
      <c r="AM20" s="29" t="s">
        <v>220</v>
      </c>
      <c r="AN20" s="29">
        <v>4.6028289500000002E-5</v>
      </c>
      <c r="AO20" s="29" t="s">
        <v>240</v>
      </c>
    </row>
    <row r="21" spans="1:41" x14ac:dyDescent="0.3">
      <c r="A21" s="29" t="s">
        <v>220</v>
      </c>
      <c r="B21" s="29"/>
      <c r="C21" s="29"/>
      <c r="D21" s="29"/>
      <c r="E21" s="29" t="s">
        <v>221</v>
      </c>
      <c r="F21" s="29" t="s">
        <v>111</v>
      </c>
      <c r="G21" s="29" t="s">
        <v>241</v>
      </c>
      <c r="H21" s="29" t="s">
        <v>112</v>
      </c>
      <c r="I21" s="29" t="s">
        <v>113</v>
      </c>
      <c r="K21" s="22">
        <v>546.89</v>
      </c>
      <c r="L21" s="22" t="b">
        <f>IF(FrzPt!B21&gt;0.0001, K21, FALSE)</f>
        <v>0</v>
      </c>
      <c r="M21" s="27">
        <v>93.206359802350605</v>
      </c>
      <c r="N21" s="27"/>
      <c r="P21" s="32"/>
      <c r="Q21" s="29" t="s">
        <v>47</v>
      </c>
      <c r="R21" s="36"/>
      <c r="S21" s="37"/>
      <c r="T21">
        <v>12</v>
      </c>
      <c r="U21">
        <v>6</v>
      </c>
      <c r="X21" s="41" t="s">
        <v>397</v>
      </c>
      <c r="Y21">
        <v>8</v>
      </c>
      <c r="Z21">
        <v>5</v>
      </c>
      <c r="AM21" s="29" t="s">
        <v>220</v>
      </c>
      <c r="AN21" s="29">
        <v>8.2720723199999994E-12</v>
      </c>
      <c r="AO21" s="29" t="s">
        <v>241</v>
      </c>
    </row>
    <row r="22" spans="1:41" x14ac:dyDescent="0.3">
      <c r="A22" s="29" t="s">
        <v>220</v>
      </c>
      <c r="B22" s="29"/>
      <c r="C22" s="29"/>
      <c r="D22" s="29"/>
      <c r="E22" s="29" t="s">
        <v>221</v>
      </c>
      <c r="F22" s="29" t="s">
        <v>111</v>
      </c>
      <c r="G22" s="29" t="s">
        <v>242</v>
      </c>
      <c r="H22" s="29" t="s">
        <v>112</v>
      </c>
      <c r="I22" s="29" t="s">
        <v>113</v>
      </c>
      <c r="K22" s="22">
        <v>510.8</v>
      </c>
      <c r="L22" s="22" t="b">
        <f>IF(FrzPt!B22&gt;0.0001, K22, FALSE)</f>
        <v>0</v>
      </c>
      <c r="M22" s="27">
        <v>-210.78456661406901</v>
      </c>
      <c r="N22" s="27"/>
      <c r="P22" s="32"/>
      <c r="Q22" s="29" t="s">
        <v>57</v>
      </c>
      <c r="R22" s="36"/>
      <c r="S22" s="37"/>
      <c r="X22" s="41" t="s">
        <v>398</v>
      </c>
      <c r="Y22" t="s">
        <v>407</v>
      </c>
      <c r="AM22" s="29" t="s">
        <v>220</v>
      </c>
      <c r="AN22" s="29">
        <v>1.2011226999999999E-13</v>
      </c>
      <c r="AO22" s="29" t="s">
        <v>242</v>
      </c>
    </row>
    <row r="23" spans="1:41" x14ac:dyDescent="0.3">
      <c r="A23" s="29" t="s">
        <v>220</v>
      </c>
      <c r="B23" s="29"/>
      <c r="C23" s="29"/>
      <c r="D23" s="29"/>
      <c r="E23" s="29" t="s">
        <v>221</v>
      </c>
      <c r="F23" s="29" t="s">
        <v>111</v>
      </c>
      <c r="G23" s="29" t="s">
        <v>243</v>
      </c>
      <c r="H23" s="29" t="s">
        <v>112</v>
      </c>
      <c r="I23" s="29" t="s">
        <v>113</v>
      </c>
      <c r="K23" s="22">
        <v>704.93</v>
      </c>
      <c r="L23" s="22" t="b">
        <f>IF(FrzPt!B23&gt;0.0001, K23, FALSE)</f>
        <v>0</v>
      </c>
      <c r="M23" s="27"/>
      <c r="N23" s="27"/>
      <c r="P23" s="32"/>
      <c r="Q23" s="29" t="s">
        <v>53</v>
      </c>
      <c r="R23" s="36"/>
      <c r="S23" s="37"/>
      <c r="T23">
        <v>14</v>
      </c>
      <c r="U23">
        <v>9</v>
      </c>
      <c r="X23" s="41" t="s">
        <v>399</v>
      </c>
      <c r="Y23">
        <v>7</v>
      </c>
      <c r="Z23">
        <v>4</v>
      </c>
      <c r="AM23" s="29" t="s">
        <v>220</v>
      </c>
      <c r="AN23" s="29">
        <v>1.33651702E-27</v>
      </c>
      <c r="AO23" s="29" t="s">
        <v>243</v>
      </c>
    </row>
    <row r="24" spans="1:41" x14ac:dyDescent="0.3">
      <c r="A24" s="29" t="s">
        <v>220</v>
      </c>
      <c r="B24" s="29"/>
      <c r="C24" s="29"/>
      <c r="D24" s="29"/>
      <c r="E24" s="29" t="s">
        <v>221</v>
      </c>
      <c r="F24" s="29" t="s">
        <v>111</v>
      </c>
      <c r="G24" s="29" t="s">
        <v>244</v>
      </c>
      <c r="H24" s="29" t="s">
        <v>112</v>
      </c>
      <c r="I24" s="29" t="s">
        <v>113</v>
      </c>
      <c r="K24" s="22">
        <v>1160.33</v>
      </c>
      <c r="L24" s="22" t="b">
        <f>IF(FrzPt!B24&gt;0.0001, K24, FALSE)</f>
        <v>0</v>
      </c>
      <c r="M24" s="27">
        <v>390.19080196599299</v>
      </c>
      <c r="N24" s="27"/>
      <c r="P24" s="32"/>
      <c r="Q24" s="29" t="s">
        <v>56</v>
      </c>
      <c r="R24" s="36"/>
      <c r="S24" s="37"/>
      <c r="X24" s="41" t="s">
        <v>400</v>
      </c>
      <c r="Y24">
        <v>7</v>
      </c>
      <c r="Z24">
        <v>4</v>
      </c>
      <c r="AM24" s="29" t="s">
        <v>220</v>
      </c>
      <c r="AN24" s="29">
        <v>0</v>
      </c>
      <c r="AO24" s="29" t="s">
        <v>244</v>
      </c>
    </row>
    <row r="25" spans="1:41" x14ac:dyDescent="0.3">
      <c r="A25" s="29" t="s">
        <v>220</v>
      </c>
      <c r="B25" s="29"/>
      <c r="C25" s="29"/>
      <c r="D25" s="29"/>
      <c r="E25" s="29" t="s">
        <v>221</v>
      </c>
      <c r="F25" s="29" t="s">
        <v>111</v>
      </c>
      <c r="G25" s="29" t="s">
        <v>245</v>
      </c>
      <c r="H25" s="29" t="s">
        <v>112</v>
      </c>
      <c r="I25" s="29" t="s">
        <v>113</v>
      </c>
      <c r="K25" s="22">
        <v>701.33</v>
      </c>
      <c r="L25" s="22" t="b">
        <f>IF(FrzPt!B25&gt;0.0001, K25, FALSE)</f>
        <v>0</v>
      </c>
      <c r="M25" s="27"/>
      <c r="N25" s="27"/>
      <c r="P25" s="32"/>
      <c r="Q25" s="29" t="s">
        <v>58</v>
      </c>
      <c r="R25" s="38" t="s">
        <v>306</v>
      </c>
      <c r="S25" s="36" t="s">
        <v>307</v>
      </c>
      <c r="X25" s="41" t="s">
        <v>401</v>
      </c>
      <c r="Y25" t="s">
        <v>406</v>
      </c>
      <c r="AM25" s="29" t="s">
        <v>220</v>
      </c>
      <c r="AN25" s="29">
        <v>2.3805052100000001E-33</v>
      </c>
      <c r="AO25" s="29" t="s">
        <v>245</v>
      </c>
    </row>
    <row r="26" spans="1:41" x14ac:dyDescent="0.3">
      <c r="A26" s="29" t="s">
        <v>220</v>
      </c>
      <c r="B26" s="29"/>
      <c r="C26" s="29"/>
      <c r="D26" s="29"/>
      <c r="E26" s="29" t="s">
        <v>221</v>
      </c>
      <c r="F26" s="29" t="s">
        <v>111</v>
      </c>
      <c r="G26" s="29" t="s">
        <v>246</v>
      </c>
      <c r="H26" s="29" t="s">
        <v>112</v>
      </c>
      <c r="I26" s="29" t="s">
        <v>113</v>
      </c>
      <c r="K26" s="22">
        <v>742.73</v>
      </c>
      <c r="L26" s="22" t="b">
        <f>IF(FrzPt!B26&gt;0.0001, K26, FALSE)</f>
        <v>0</v>
      </c>
      <c r="M26" s="27">
        <v>-56.4391126257444</v>
      </c>
      <c r="N26" s="27"/>
      <c r="P26" s="32"/>
      <c r="Q26" s="29" t="s">
        <v>61</v>
      </c>
      <c r="R26" s="38"/>
      <c r="S26" s="29" t="s">
        <v>308</v>
      </c>
      <c r="X26" s="41" t="s">
        <v>402</v>
      </c>
      <c r="Y26">
        <v>7</v>
      </c>
      <c r="Z26">
        <v>8</v>
      </c>
      <c r="AM26" s="29" t="s">
        <v>220</v>
      </c>
      <c r="AN26" s="29">
        <v>7.3547921999999994E-36</v>
      </c>
      <c r="AO26" s="29" t="s">
        <v>246</v>
      </c>
    </row>
    <row r="27" spans="1:41" x14ac:dyDescent="0.3">
      <c r="A27" s="29" t="s">
        <v>220</v>
      </c>
      <c r="B27" s="29"/>
      <c r="C27" s="29"/>
      <c r="D27" s="29"/>
      <c r="E27" s="29" t="s">
        <v>221</v>
      </c>
      <c r="F27" s="29" t="s">
        <v>111</v>
      </c>
      <c r="G27" s="29" t="s">
        <v>247</v>
      </c>
      <c r="H27" s="29" t="s">
        <v>112</v>
      </c>
      <c r="I27" s="29" t="s">
        <v>113</v>
      </c>
      <c r="K27" s="22">
        <v>545.28800000000001</v>
      </c>
      <c r="L27" s="22" t="b">
        <f>IF(FrzPt!B27&gt;0.0001, K27, FALSE)</f>
        <v>0</v>
      </c>
      <c r="M27" s="27">
        <v>-78.907527629823605</v>
      </c>
      <c r="N27" s="27"/>
      <c r="P27" s="32"/>
      <c r="Q27" s="29" t="s">
        <v>51</v>
      </c>
      <c r="R27" s="38"/>
      <c r="S27" s="29" t="s">
        <v>309</v>
      </c>
      <c r="X27" s="41" t="s">
        <v>403</v>
      </c>
      <c r="Y27">
        <v>8</v>
      </c>
      <c r="Z27">
        <v>8</v>
      </c>
      <c r="AM27" s="29" t="s">
        <v>220</v>
      </c>
      <c r="AN27" s="29">
        <v>3.9631627999999998E-15</v>
      </c>
      <c r="AO27" s="29" t="s">
        <v>247</v>
      </c>
    </row>
    <row r="28" spans="1:41" x14ac:dyDescent="0.3">
      <c r="A28" s="29" t="s">
        <v>220</v>
      </c>
      <c r="B28" s="29"/>
      <c r="C28" s="29"/>
      <c r="D28" s="29"/>
      <c r="E28" s="29" t="s">
        <v>221</v>
      </c>
      <c r="F28" s="29" t="s">
        <v>111</v>
      </c>
      <c r="G28" s="29" t="s">
        <v>248</v>
      </c>
      <c r="H28" s="29" t="s">
        <v>112</v>
      </c>
      <c r="I28" s="29" t="s">
        <v>113</v>
      </c>
      <c r="K28" s="22">
        <v>1198.4000000000001</v>
      </c>
      <c r="L28" s="22" t="b">
        <f>IF(FrzPt!B28&gt;0.0001, K28, FALSE)</f>
        <v>0</v>
      </c>
      <c r="M28" s="27"/>
      <c r="N28" s="27"/>
      <c r="P28" s="32"/>
      <c r="Q28" s="29" t="s">
        <v>52</v>
      </c>
      <c r="R28" s="38"/>
      <c r="S28" s="29" t="s">
        <v>310</v>
      </c>
      <c r="X28" s="41" t="s">
        <v>404</v>
      </c>
      <c r="Y28">
        <v>12</v>
      </c>
      <c r="Z28">
        <v>8</v>
      </c>
      <c r="AM28" s="29" t="s">
        <v>220</v>
      </c>
      <c r="AN28" s="29">
        <v>0</v>
      </c>
      <c r="AO28" s="29" t="s">
        <v>248</v>
      </c>
    </row>
    <row r="29" spans="1:41" x14ac:dyDescent="0.3">
      <c r="A29" s="29" t="s">
        <v>220</v>
      </c>
      <c r="B29" s="29"/>
      <c r="C29" s="29"/>
      <c r="D29" s="29"/>
      <c r="E29" s="29" t="s">
        <v>221</v>
      </c>
      <c r="F29" s="29" t="s">
        <v>111</v>
      </c>
      <c r="G29" s="29" t="s">
        <v>249</v>
      </c>
      <c r="H29" s="29" t="s">
        <v>112</v>
      </c>
      <c r="I29" s="29" t="s">
        <v>113</v>
      </c>
      <c r="K29" s="22">
        <v>1172.4000000000001</v>
      </c>
      <c r="L29" s="22" t="b">
        <f>IF(FrzPt!B29&gt;0.0001, K29, FALSE)</f>
        <v>0</v>
      </c>
      <c r="M29" s="27"/>
      <c r="N29" s="27"/>
      <c r="P29" s="32"/>
      <c r="Q29" s="29" t="s">
        <v>60</v>
      </c>
      <c r="R29" s="38"/>
      <c r="S29" s="29" t="s">
        <v>311</v>
      </c>
      <c r="X29" s="41" t="s">
        <v>405</v>
      </c>
      <c r="Y29">
        <v>9</v>
      </c>
      <c r="Z29">
        <v>8</v>
      </c>
      <c r="AM29" s="29" t="s">
        <v>220</v>
      </c>
      <c r="AN29" s="29">
        <v>0</v>
      </c>
      <c r="AO29" s="29" t="s">
        <v>249</v>
      </c>
    </row>
    <row r="30" spans="1:41" x14ac:dyDescent="0.3">
      <c r="A30" s="29" t="s">
        <v>220</v>
      </c>
      <c r="B30" s="29"/>
      <c r="C30" s="29"/>
      <c r="D30" s="29"/>
      <c r="E30" s="29" t="s">
        <v>221</v>
      </c>
      <c r="F30" s="29" t="s">
        <v>111</v>
      </c>
      <c r="G30" s="29" t="s">
        <v>250</v>
      </c>
      <c r="H30" s="29" t="s">
        <v>112</v>
      </c>
      <c r="I30" s="29" t="s">
        <v>113</v>
      </c>
      <c r="K30" s="22">
        <v>338.99</v>
      </c>
      <c r="L30" s="22" t="b">
        <f>IF(FrzPt!B30&gt;0.0001, K30, FALSE)</f>
        <v>0</v>
      </c>
      <c r="M30" s="27">
        <v>-279.02570753390398</v>
      </c>
      <c r="N30" s="27"/>
      <c r="AM30" s="29" t="s">
        <v>220</v>
      </c>
      <c r="AN30" s="29">
        <v>3.2629407E-3</v>
      </c>
      <c r="AO30" s="29" t="s">
        <v>250</v>
      </c>
    </row>
    <row r="31" spans="1:41" x14ac:dyDescent="0.3">
      <c r="A31" s="29" t="s">
        <v>220</v>
      </c>
      <c r="B31" s="29"/>
      <c r="C31" s="29"/>
      <c r="D31" s="29"/>
      <c r="E31" s="29" t="s">
        <v>221</v>
      </c>
      <c r="F31" s="29" t="s">
        <v>111</v>
      </c>
      <c r="G31" s="29" t="s">
        <v>251</v>
      </c>
      <c r="H31" s="29" t="s">
        <v>112</v>
      </c>
      <c r="I31" s="29" t="s">
        <v>113</v>
      </c>
      <c r="K31" s="22">
        <v>628.62620000000004</v>
      </c>
      <c r="L31" s="22" t="b">
        <f>IF(FrzPt!B31&gt;0.0001, K31, FALSE)</f>
        <v>0</v>
      </c>
      <c r="M31" s="27">
        <v>-54.646981511574602</v>
      </c>
      <c r="N31" s="27"/>
      <c r="AM31" s="29" t="s">
        <v>220</v>
      </c>
      <c r="AN31" s="29">
        <v>1.0064264599999999E-16</v>
      </c>
      <c r="AO31" s="29" t="s">
        <v>251</v>
      </c>
    </row>
    <row r="32" spans="1:41" x14ac:dyDescent="0.3">
      <c r="A32" s="29" t="s">
        <v>220</v>
      </c>
      <c r="B32" s="29"/>
      <c r="C32" s="29"/>
      <c r="D32" s="29"/>
      <c r="E32" s="29" t="s">
        <v>221</v>
      </c>
      <c r="F32" s="29" t="s">
        <v>111</v>
      </c>
      <c r="G32" s="29" t="s">
        <v>252</v>
      </c>
      <c r="H32" s="29" t="s">
        <v>112</v>
      </c>
      <c r="I32" s="29" t="s">
        <v>113</v>
      </c>
      <c r="K32" s="22">
        <v>832.41319999999996</v>
      </c>
      <c r="L32" s="22" t="b">
        <f>IF(FrzPt!B32&gt;0.0001, K32, FALSE)</f>
        <v>0</v>
      </c>
      <c r="M32" s="27"/>
      <c r="N32" s="27"/>
      <c r="AM32" s="29" t="s">
        <v>220</v>
      </c>
      <c r="AN32" s="29">
        <v>0</v>
      </c>
      <c r="AO32" s="29" t="s">
        <v>252</v>
      </c>
    </row>
    <row r="33" spans="1:41" x14ac:dyDescent="0.3">
      <c r="A33" s="29" t="s">
        <v>220</v>
      </c>
      <c r="B33" s="29"/>
      <c r="C33" s="29"/>
      <c r="D33" s="29"/>
      <c r="E33" s="29" t="s">
        <v>221</v>
      </c>
      <c r="F33" s="29" t="s">
        <v>111</v>
      </c>
      <c r="G33" s="29" t="s">
        <v>192</v>
      </c>
      <c r="H33" s="29" t="s">
        <v>112</v>
      </c>
      <c r="I33" s="29" t="s">
        <v>113</v>
      </c>
      <c r="K33" s="42">
        <v>832</v>
      </c>
      <c r="L33" s="22" t="b">
        <f>IF(FrzPt!B33&gt;0.0001, K33, FALSE)</f>
        <v>0</v>
      </c>
      <c r="M33" s="27"/>
      <c r="N33" s="27"/>
      <c r="Q33" s="9"/>
      <c r="R33" s="9"/>
      <c r="S33" s="9" t="s">
        <v>65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M33" s="29" t="s">
        <v>220</v>
      </c>
      <c r="AN33" s="29">
        <v>0</v>
      </c>
      <c r="AO33" s="29" t="s">
        <v>192</v>
      </c>
    </row>
    <row r="34" spans="1:41" x14ac:dyDescent="0.3">
      <c r="A34" s="29" t="s">
        <v>220</v>
      </c>
      <c r="B34" s="29"/>
      <c r="C34" s="29"/>
      <c r="D34" s="29"/>
      <c r="E34" s="29" t="s">
        <v>221</v>
      </c>
      <c r="F34" s="29" t="s">
        <v>111</v>
      </c>
      <c r="G34" s="29" t="s">
        <v>253</v>
      </c>
      <c r="H34" s="29" t="s">
        <v>112</v>
      </c>
      <c r="I34" s="29" t="s">
        <v>113</v>
      </c>
      <c r="K34" s="22">
        <v>4046.09</v>
      </c>
      <c r="L34" s="22" t="b">
        <f>IF(FrzPt!B34&gt;0.0001, K34, FALSE)</f>
        <v>0</v>
      </c>
      <c r="M34" s="27"/>
      <c r="N34" s="27"/>
      <c r="Q34" s="9"/>
      <c r="R34" s="9"/>
      <c r="S34" s="9">
        <v>7</v>
      </c>
      <c r="T34" s="9">
        <v>8</v>
      </c>
      <c r="U34" s="9">
        <v>9</v>
      </c>
      <c r="V34" s="9">
        <v>10</v>
      </c>
      <c r="W34" s="9">
        <v>11</v>
      </c>
      <c r="X34" s="9">
        <v>12</v>
      </c>
      <c r="Y34" s="9">
        <v>13</v>
      </c>
      <c r="Z34" s="9">
        <v>14</v>
      </c>
      <c r="AA34" s="9">
        <v>15</v>
      </c>
      <c r="AB34" s="9">
        <v>16</v>
      </c>
      <c r="AC34" s="9">
        <v>17</v>
      </c>
      <c r="AD34" s="9">
        <v>18</v>
      </c>
      <c r="AE34" s="9">
        <v>19</v>
      </c>
      <c r="AM34" s="29" t="s">
        <v>220</v>
      </c>
      <c r="AN34" s="29">
        <v>0</v>
      </c>
      <c r="AO34" s="29" t="s">
        <v>253</v>
      </c>
    </row>
    <row r="35" spans="1:41" x14ac:dyDescent="0.3">
      <c r="A35" s="29" t="s">
        <v>220</v>
      </c>
      <c r="B35" s="29"/>
      <c r="C35" s="29"/>
      <c r="D35" s="29"/>
      <c r="E35" s="29" t="s">
        <v>221</v>
      </c>
      <c r="F35" s="29" t="s">
        <v>111</v>
      </c>
      <c r="G35" s="29" t="s">
        <v>254</v>
      </c>
      <c r="H35" s="29" t="s">
        <v>112</v>
      </c>
      <c r="I35" s="29" t="s">
        <v>113</v>
      </c>
      <c r="K35" s="22">
        <v>4046.09</v>
      </c>
      <c r="L35" s="22" t="b">
        <f>IF(FrzPt!B35&gt;0.0001, K35, FALSE)</f>
        <v>0</v>
      </c>
      <c r="M35" s="27"/>
      <c r="N35" s="27"/>
      <c r="Q35" s="9" t="s">
        <v>66</v>
      </c>
      <c r="R35" s="9">
        <v>1</v>
      </c>
      <c r="S35" s="9"/>
      <c r="T35" s="9" t="s">
        <v>64</v>
      </c>
      <c r="U35" s="9" t="s">
        <v>63</v>
      </c>
      <c r="V35" s="9"/>
      <c r="W35" s="9"/>
      <c r="X35" s="9" t="s">
        <v>40</v>
      </c>
      <c r="Y35" s="9"/>
      <c r="Z35" s="9"/>
      <c r="AA35" s="9"/>
      <c r="AB35" s="9"/>
      <c r="AC35" s="9"/>
      <c r="AD35" s="9"/>
      <c r="AE35" s="9"/>
      <c r="AM35" s="29" t="s">
        <v>220</v>
      </c>
      <c r="AN35" s="29">
        <v>0</v>
      </c>
      <c r="AO35" s="29" t="s">
        <v>254</v>
      </c>
    </row>
    <row r="36" spans="1:41" x14ac:dyDescent="0.3">
      <c r="A36" s="29" t="s">
        <v>220</v>
      </c>
      <c r="B36" s="29"/>
      <c r="C36" s="29"/>
      <c r="D36" s="29"/>
      <c r="E36" s="29" t="s">
        <v>221</v>
      </c>
      <c r="F36" s="29" t="s">
        <v>111</v>
      </c>
      <c r="G36" s="29" t="s">
        <v>255</v>
      </c>
      <c r="H36" s="29" t="s">
        <v>112</v>
      </c>
      <c r="I36" s="29" t="s">
        <v>113</v>
      </c>
      <c r="K36" s="22">
        <v>325.88600000000002</v>
      </c>
      <c r="L36" s="22" t="b">
        <f>IF(FrzPt!B36&gt;0.0001, K36, FALSE)</f>
        <v>0</v>
      </c>
      <c r="M36" s="27">
        <v>-181.331826571845</v>
      </c>
      <c r="N36" s="27"/>
      <c r="Q36" s="9"/>
      <c r="R36" s="9">
        <v>2</v>
      </c>
      <c r="S36" s="9" t="s">
        <v>41</v>
      </c>
      <c r="T36" s="9"/>
      <c r="U36" s="9"/>
      <c r="V36" s="9" t="s">
        <v>42</v>
      </c>
      <c r="W36" s="9"/>
      <c r="X36" s="9"/>
      <c r="Y36" s="9"/>
      <c r="Z36" s="9"/>
      <c r="AA36" s="9"/>
      <c r="AB36" s="9"/>
      <c r="AC36" s="9"/>
      <c r="AD36" s="9"/>
      <c r="AE36" s="9"/>
      <c r="AM36" s="29" t="s">
        <v>220</v>
      </c>
      <c r="AN36" s="29">
        <v>1.7862149E-5</v>
      </c>
      <c r="AO36" s="29" t="s">
        <v>255</v>
      </c>
    </row>
    <row r="37" spans="1:41" x14ac:dyDescent="0.3">
      <c r="A37" s="29" t="s">
        <v>220</v>
      </c>
      <c r="B37" s="29"/>
      <c r="C37" s="29"/>
      <c r="D37" s="29"/>
      <c r="E37" s="29" t="s">
        <v>221</v>
      </c>
      <c r="F37" s="29" t="s">
        <v>111</v>
      </c>
      <c r="G37" s="29" t="s">
        <v>256</v>
      </c>
      <c r="H37" s="29" t="s">
        <v>112</v>
      </c>
      <c r="I37" s="29" t="s">
        <v>113</v>
      </c>
      <c r="K37" s="22">
        <v>369.68</v>
      </c>
      <c r="L37" s="22" t="b">
        <f>IF(FrzPt!B37&gt;0.0001, K37, FALSE)</f>
        <v>0</v>
      </c>
      <c r="M37" s="27">
        <v>-178.52861992803699</v>
      </c>
      <c r="N37" s="27"/>
      <c r="Q37" s="9"/>
      <c r="R37" s="9">
        <v>3</v>
      </c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M37" s="29" t="s">
        <v>220</v>
      </c>
      <c r="AN37" s="29">
        <v>2.8989951899999998E-6</v>
      </c>
      <c r="AO37" s="29" t="s">
        <v>256</v>
      </c>
    </row>
    <row r="38" spans="1:41" x14ac:dyDescent="0.3">
      <c r="A38" s="29" t="s">
        <v>220</v>
      </c>
      <c r="B38" s="29"/>
      <c r="C38" s="29"/>
      <c r="D38" s="29"/>
      <c r="E38" s="29" t="s">
        <v>221</v>
      </c>
      <c r="F38" s="29" t="s">
        <v>111</v>
      </c>
      <c r="G38" s="29" t="s">
        <v>257</v>
      </c>
      <c r="H38" s="29" t="s">
        <v>112</v>
      </c>
      <c r="I38" s="29" t="s">
        <v>113</v>
      </c>
      <c r="K38" s="22">
        <v>360.71600000000001</v>
      </c>
      <c r="L38" s="22" t="b">
        <f>IF(FrzPt!B38&gt;0.0001, K38, FALSE)</f>
        <v>0</v>
      </c>
      <c r="M38" s="27">
        <v>-234.83852788269601</v>
      </c>
      <c r="N38" s="27"/>
      <c r="Q38" s="9"/>
      <c r="R38" s="9">
        <v>4</v>
      </c>
      <c r="S38" s="9" t="s">
        <v>345</v>
      </c>
      <c r="T38" s="9"/>
      <c r="U38" s="9"/>
      <c r="V38" s="9" t="s">
        <v>46</v>
      </c>
      <c r="W38" s="9"/>
      <c r="X38" s="9"/>
      <c r="Y38" s="9"/>
      <c r="Z38" s="9"/>
      <c r="AA38" s="9"/>
      <c r="AB38" s="9"/>
      <c r="AC38" s="9"/>
      <c r="AD38" s="9"/>
      <c r="AE38" s="9"/>
      <c r="AM38" s="29" t="s">
        <v>220</v>
      </c>
      <c r="AN38" s="29">
        <v>0</v>
      </c>
      <c r="AO38" s="29" t="s">
        <v>257</v>
      </c>
    </row>
    <row r="39" spans="1:41" x14ac:dyDescent="0.3">
      <c r="A39" s="29" t="s">
        <v>220</v>
      </c>
      <c r="B39" s="29"/>
      <c r="C39" s="29"/>
      <c r="D39" s="29"/>
      <c r="E39" s="29" t="s">
        <v>221</v>
      </c>
      <c r="F39" s="29" t="s">
        <v>111</v>
      </c>
      <c r="G39" s="29" t="s">
        <v>258</v>
      </c>
      <c r="H39" s="29" t="s">
        <v>112</v>
      </c>
      <c r="I39" s="29" t="s">
        <v>113</v>
      </c>
      <c r="K39" s="22">
        <v>650.92999999999995</v>
      </c>
      <c r="L39" s="22" t="b">
        <f>IF(FrzPt!B39&gt;0.0001, K39, FALSE)</f>
        <v>0</v>
      </c>
      <c r="M39" s="27">
        <v>213.760662747845</v>
      </c>
      <c r="N39" s="27"/>
      <c r="Q39" s="9"/>
      <c r="R39" s="9">
        <v>5</v>
      </c>
      <c r="S39" s="9" t="s">
        <v>344</v>
      </c>
      <c r="T39" s="9" t="s">
        <v>343</v>
      </c>
      <c r="U39" s="9"/>
      <c r="V39" s="9" t="s">
        <v>59</v>
      </c>
      <c r="W39" s="9"/>
      <c r="X39" s="9"/>
      <c r="Y39" s="9"/>
      <c r="Z39" s="9"/>
      <c r="AA39" s="9"/>
      <c r="AB39" s="9"/>
      <c r="AC39" s="9"/>
      <c r="AD39" s="9"/>
      <c r="AE39" s="9"/>
      <c r="AM39" s="29" t="s">
        <v>220</v>
      </c>
      <c r="AN39" s="29">
        <v>0</v>
      </c>
      <c r="AO39" s="29" t="s">
        <v>258</v>
      </c>
    </row>
    <row r="40" spans="1:41" x14ac:dyDescent="0.3">
      <c r="A40" s="29" t="s">
        <v>220</v>
      </c>
      <c r="B40" s="29"/>
      <c r="C40" s="29"/>
      <c r="D40" s="29"/>
      <c r="E40" s="29" t="s">
        <v>221</v>
      </c>
      <c r="F40" s="29" t="s">
        <v>111</v>
      </c>
      <c r="G40" s="29" t="s">
        <v>259</v>
      </c>
      <c r="H40" s="29" t="s">
        <v>112</v>
      </c>
      <c r="I40" s="29" t="s">
        <v>113</v>
      </c>
      <c r="K40" s="22">
        <v>814.55</v>
      </c>
      <c r="L40" s="22" t="b">
        <f>IF(FrzPt!B40&gt;0.0001, K40, FALSE)</f>
        <v>0</v>
      </c>
      <c r="M40" s="27"/>
      <c r="N40" s="27"/>
      <c r="Q40" s="9"/>
      <c r="R40" s="9">
        <v>6</v>
      </c>
      <c r="S40" s="9"/>
      <c r="T40" s="9"/>
      <c r="U40" s="9"/>
      <c r="V40" s="9"/>
      <c r="W40" s="9"/>
      <c r="X40" s="9" t="s">
        <v>67</v>
      </c>
      <c r="Y40" s="9"/>
      <c r="Z40" s="9"/>
      <c r="AA40" s="9"/>
      <c r="AB40" s="13" t="s">
        <v>68</v>
      </c>
      <c r="AC40" s="9"/>
      <c r="AD40" s="9"/>
      <c r="AE40" s="9"/>
      <c r="AM40" s="29" t="s">
        <v>220</v>
      </c>
      <c r="AN40" s="29">
        <v>0</v>
      </c>
      <c r="AO40" s="29" t="s">
        <v>259</v>
      </c>
    </row>
    <row r="41" spans="1:41" x14ac:dyDescent="0.3">
      <c r="A41" s="29" t="s">
        <v>220</v>
      </c>
      <c r="B41" s="29"/>
      <c r="C41" s="29"/>
      <c r="D41" s="29"/>
      <c r="E41" s="29" t="s">
        <v>221</v>
      </c>
      <c r="F41" s="29" t="s">
        <v>111</v>
      </c>
      <c r="G41" s="29" t="s">
        <v>260</v>
      </c>
      <c r="H41" s="29" t="s">
        <v>112</v>
      </c>
      <c r="I41" s="29" t="s">
        <v>113</v>
      </c>
      <c r="K41" s="22">
        <v>155.678</v>
      </c>
      <c r="L41" s="22" t="b">
        <f>IF(FrzPt!B41&gt;0.0001, K41, FALSE)</f>
        <v>0</v>
      </c>
      <c r="M41" s="27">
        <v>-214.75556525304299</v>
      </c>
      <c r="N41" s="27"/>
      <c r="Q41" s="9"/>
      <c r="R41" s="9">
        <v>7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M41" s="29" t="s">
        <v>220</v>
      </c>
      <c r="AN41" s="29">
        <v>7.7705989600000004E-7</v>
      </c>
      <c r="AO41" s="29" t="s">
        <v>260</v>
      </c>
    </row>
    <row r="42" spans="1:41" x14ac:dyDescent="0.3">
      <c r="A42" s="29" t="s">
        <v>220</v>
      </c>
      <c r="B42" s="29"/>
      <c r="C42" s="29"/>
      <c r="D42" s="29"/>
      <c r="E42" s="29" t="s">
        <v>221</v>
      </c>
      <c r="F42" s="29" t="s">
        <v>111</v>
      </c>
      <c r="G42" s="29" t="s">
        <v>261</v>
      </c>
      <c r="H42" s="29" t="s">
        <v>112</v>
      </c>
      <c r="I42" s="29" t="s">
        <v>113</v>
      </c>
      <c r="K42" s="22">
        <v>421.34</v>
      </c>
      <c r="L42" s="22" t="b">
        <f>IF(FrzPt!B42&gt;0.0001, K42, FALSE)</f>
        <v>0</v>
      </c>
      <c r="M42" s="27">
        <v>-22.835936561961599</v>
      </c>
      <c r="N42" s="27"/>
      <c r="Q42" s="9"/>
      <c r="R42" s="9">
        <v>8</v>
      </c>
      <c r="S42" s="9" t="s">
        <v>346</v>
      </c>
      <c r="T42" s="9" t="s">
        <v>347</v>
      </c>
      <c r="U42" s="9" t="s">
        <v>349</v>
      </c>
      <c r="V42" s="9" t="s">
        <v>50</v>
      </c>
      <c r="W42" s="9"/>
      <c r="X42" s="9" t="s">
        <v>348</v>
      </c>
      <c r="Y42" s="9"/>
      <c r="Z42" s="9"/>
      <c r="AA42" s="9"/>
      <c r="AB42" s="9"/>
      <c r="AC42" s="9"/>
      <c r="AD42" s="9"/>
      <c r="AE42" s="9"/>
      <c r="AM42" s="29" t="s">
        <v>220</v>
      </c>
      <c r="AN42" s="29">
        <v>2.10466866E-2</v>
      </c>
      <c r="AO42" s="29" t="s">
        <v>261</v>
      </c>
    </row>
    <row r="43" spans="1:41" x14ac:dyDescent="0.3">
      <c r="A43" s="29" t="s">
        <v>220</v>
      </c>
      <c r="B43" s="29"/>
      <c r="C43" s="29"/>
      <c r="D43" s="29"/>
      <c r="E43" s="29" t="s">
        <v>221</v>
      </c>
      <c r="F43" s="29" t="s">
        <v>111</v>
      </c>
      <c r="G43" s="29" t="s">
        <v>262</v>
      </c>
      <c r="H43" s="29" t="s">
        <v>112</v>
      </c>
      <c r="I43" s="29" t="s">
        <v>113</v>
      </c>
      <c r="K43" s="22">
        <v>197.33</v>
      </c>
      <c r="L43" s="22" t="b">
        <f>IF(FrzPt!B43&gt;0.0001, K43, FALSE)</f>
        <v>0</v>
      </c>
      <c r="M43" s="27">
        <v>-237.41897587989101</v>
      </c>
      <c r="N43" s="27"/>
      <c r="Q43" s="9"/>
      <c r="R43" s="9">
        <v>9</v>
      </c>
      <c r="S43" s="9"/>
      <c r="T43" s="9"/>
      <c r="U43" s="9"/>
      <c r="V43" s="9"/>
      <c r="W43" s="9"/>
      <c r="X43" s="13" t="s">
        <v>69</v>
      </c>
      <c r="Y43" s="9"/>
      <c r="Z43" s="9" t="s">
        <v>53</v>
      </c>
      <c r="AA43" s="9"/>
      <c r="AB43" s="13" t="s">
        <v>58</v>
      </c>
      <c r="AC43" s="9"/>
      <c r="AD43" s="9"/>
      <c r="AE43" s="9"/>
      <c r="AM43" s="29" t="s">
        <v>220</v>
      </c>
      <c r="AN43" s="29">
        <v>7.3091861500000003E-4</v>
      </c>
      <c r="AO43" s="29" t="s">
        <v>262</v>
      </c>
    </row>
    <row r="44" spans="1:41" x14ac:dyDescent="0.3">
      <c r="A44" s="29" t="s">
        <v>220</v>
      </c>
      <c r="B44" s="29"/>
      <c r="C44" s="29"/>
      <c r="D44" s="29"/>
      <c r="E44" s="29" t="s">
        <v>221</v>
      </c>
      <c r="F44" s="29" t="s">
        <v>111</v>
      </c>
      <c r="G44" s="29" t="s">
        <v>263</v>
      </c>
      <c r="H44" s="29" t="s">
        <v>112</v>
      </c>
      <c r="I44" s="29" t="s">
        <v>113</v>
      </c>
      <c r="K44" s="22">
        <v>330.26</v>
      </c>
      <c r="L44" s="22" t="b">
        <f>IF(FrzPt!B44&gt;0.0001, K44, FALSE)</f>
        <v>0</v>
      </c>
      <c r="M44" s="27">
        <v>-172.31484742585201</v>
      </c>
      <c r="N44" s="27"/>
      <c r="Q44" s="9"/>
      <c r="R44" s="9">
        <v>10</v>
      </c>
      <c r="S44" s="9"/>
      <c r="T44" s="9"/>
      <c r="U44" s="9" t="s">
        <v>70</v>
      </c>
      <c r="V44" s="9"/>
      <c r="W44" s="9"/>
      <c r="X44" s="9"/>
      <c r="Y44" s="9"/>
      <c r="Z44" s="9"/>
      <c r="AA44" s="9"/>
      <c r="AB44" s="13" t="s">
        <v>56</v>
      </c>
      <c r="AC44" s="9"/>
      <c r="AD44" s="9"/>
      <c r="AE44" s="9"/>
      <c r="AM44" s="29" t="s">
        <v>220</v>
      </c>
      <c r="AN44" s="29">
        <v>0.13344968500000001</v>
      </c>
      <c r="AO44" s="29" t="s">
        <v>263</v>
      </c>
    </row>
    <row r="45" spans="1:41" x14ac:dyDescent="0.3">
      <c r="A45" s="29" t="s">
        <v>220</v>
      </c>
      <c r="B45" s="29"/>
      <c r="C45" s="29"/>
      <c r="D45" s="29"/>
      <c r="E45" s="29" t="s">
        <v>221</v>
      </c>
      <c r="F45" s="29" t="s">
        <v>111</v>
      </c>
      <c r="G45" s="29" t="s">
        <v>264</v>
      </c>
      <c r="H45" s="29" t="s">
        <v>112</v>
      </c>
      <c r="I45" s="29" t="s">
        <v>113</v>
      </c>
      <c r="K45" s="22">
        <v>218.24600000000001</v>
      </c>
      <c r="L45" s="22" t="b">
        <f>IF(FrzPt!B45&gt;0.0001, K45, FALSE)</f>
        <v>0</v>
      </c>
      <c r="M45" s="27">
        <v>-300.31901810688998</v>
      </c>
      <c r="N45" s="27"/>
      <c r="Q45" s="9"/>
      <c r="R45" s="9"/>
      <c r="S45" s="12"/>
      <c r="T45" s="12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M45" s="29" t="s">
        <v>220</v>
      </c>
      <c r="AN45" s="29">
        <v>2.4983644400000001E-2</v>
      </c>
      <c r="AO45" s="29" t="s">
        <v>264</v>
      </c>
    </row>
    <row r="46" spans="1:41" x14ac:dyDescent="0.3">
      <c r="A46" s="29" t="s">
        <v>220</v>
      </c>
      <c r="B46" s="29"/>
      <c r="C46" s="29"/>
      <c r="D46" s="29"/>
      <c r="E46" s="29" t="s">
        <v>221</v>
      </c>
      <c r="F46" s="29" t="s">
        <v>111</v>
      </c>
      <c r="G46" s="29" t="s">
        <v>265</v>
      </c>
      <c r="H46" s="29" t="s">
        <v>112</v>
      </c>
      <c r="I46" s="29" t="s">
        <v>113</v>
      </c>
      <c r="K46" s="22">
        <v>250.7396</v>
      </c>
      <c r="L46" s="22" t="b">
        <f>IF(FrzPt!B46&gt;0.0001, K46, FALSE)</f>
        <v>0</v>
      </c>
      <c r="M46" s="27">
        <v>-367.53137965348299</v>
      </c>
      <c r="N46" s="27"/>
      <c r="Q46" s="9"/>
      <c r="R46" s="9"/>
      <c r="S46" s="9">
        <v>7</v>
      </c>
      <c r="T46" s="9">
        <v>8</v>
      </c>
      <c r="U46" s="9">
        <v>9</v>
      </c>
      <c r="V46" s="9">
        <v>10</v>
      </c>
      <c r="W46" s="9">
        <v>11</v>
      </c>
      <c r="X46" s="9">
        <v>12</v>
      </c>
      <c r="Y46" s="9">
        <v>13</v>
      </c>
      <c r="Z46" s="9">
        <v>14</v>
      </c>
      <c r="AA46" s="9">
        <v>15</v>
      </c>
      <c r="AB46" s="9">
        <v>16</v>
      </c>
      <c r="AC46" s="9">
        <v>17</v>
      </c>
      <c r="AD46" s="9">
        <v>18</v>
      </c>
      <c r="AE46" s="9">
        <v>19</v>
      </c>
      <c r="AM46" s="29" t="s">
        <v>220</v>
      </c>
      <c r="AN46" s="29">
        <v>8.3731204000000004E-2</v>
      </c>
      <c r="AO46" s="29" t="s">
        <v>265</v>
      </c>
    </row>
    <row r="47" spans="1:41" x14ac:dyDescent="0.3">
      <c r="A47" s="29" t="s">
        <v>220</v>
      </c>
      <c r="B47" s="29"/>
      <c r="C47" s="29"/>
      <c r="D47" s="29"/>
      <c r="E47" s="29" t="s">
        <v>221</v>
      </c>
      <c r="F47" s="29" t="s">
        <v>111</v>
      </c>
      <c r="G47" s="29" t="s">
        <v>266</v>
      </c>
      <c r="H47" s="29" t="s">
        <v>112</v>
      </c>
      <c r="I47" s="29" t="s">
        <v>113</v>
      </c>
      <c r="K47" s="22">
        <v>177.29599999999999</v>
      </c>
      <c r="L47" s="22" t="b">
        <f>IF(FrzPt!B47&gt;0.0001, K47, FALSE)</f>
        <v>0</v>
      </c>
      <c r="M47" s="27">
        <v>-326.83414852397402</v>
      </c>
      <c r="N47" s="27"/>
      <c r="Q47" s="9"/>
      <c r="R47" s="9">
        <v>1</v>
      </c>
      <c r="S47" s="9"/>
      <c r="T47" s="9">
        <f>B69</f>
        <v>0</v>
      </c>
      <c r="U47" s="9">
        <f>B68</f>
        <v>0</v>
      </c>
      <c r="V47" s="9"/>
      <c r="W47" s="9"/>
      <c r="X47" s="9">
        <f>B42</f>
        <v>0</v>
      </c>
      <c r="Y47" s="9"/>
      <c r="Z47" s="9"/>
      <c r="AA47" s="9"/>
      <c r="AB47" s="9"/>
      <c r="AC47" s="9"/>
      <c r="AD47" s="9"/>
      <c r="AE47" s="9"/>
      <c r="AM47" s="29" t="s">
        <v>220</v>
      </c>
      <c r="AN47" s="29">
        <v>1.5047274100000001E-4</v>
      </c>
      <c r="AO47" s="29" t="s">
        <v>266</v>
      </c>
    </row>
    <row r="48" spans="1:41" x14ac:dyDescent="0.3">
      <c r="A48" s="29" t="s">
        <v>220</v>
      </c>
      <c r="B48" s="29"/>
      <c r="C48" s="29"/>
      <c r="D48" s="29"/>
      <c r="E48" s="29" t="s">
        <v>221</v>
      </c>
      <c r="F48" s="29" t="s">
        <v>111</v>
      </c>
      <c r="G48" s="29" t="s">
        <v>267</v>
      </c>
      <c r="H48" s="29" t="s">
        <v>112</v>
      </c>
      <c r="I48" s="29" t="s">
        <v>113</v>
      </c>
      <c r="K48" s="22">
        <v>357.76580000000001</v>
      </c>
      <c r="L48" s="22" t="b">
        <f>IF(FrzPt!B48&gt;0.0001, K48, FALSE)</f>
        <v>0</v>
      </c>
      <c r="M48" s="27">
        <v>-159.82855797805399</v>
      </c>
      <c r="N48" s="27"/>
      <c r="Q48" s="9"/>
      <c r="R48" s="9">
        <v>2</v>
      </c>
      <c r="S48" s="9">
        <f>B43</f>
        <v>0</v>
      </c>
      <c r="T48" s="9"/>
      <c r="U48" s="9"/>
      <c r="V48" s="9">
        <f>B44</f>
        <v>0</v>
      </c>
      <c r="W48" s="9"/>
      <c r="X48" s="9"/>
      <c r="Y48" s="9"/>
      <c r="Z48" s="9"/>
      <c r="AA48" s="9"/>
      <c r="AB48" s="9"/>
      <c r="AC48" s="9"/>
      <c r="AD48" s="9"/>
      <c r="AE48" s="9"/>
      <c r="AM48" s="29" t="s">
        <v>220</v>
      </c>
      <c r="AN48" s="29">
        <v>7.9090250099999995E-2</v>
      </c>
      <c r="AO48" s="29" t="s">
        <v>267</v>
      </c>
    </row>
    <row r="49" spans="1:41" x14ac:dyDescent="0.3">
      <c r="A49" s="29" t="s">
        <v>220</v>
      </c>
      <c r="B49" s="29"/>
      <c r="C49" s="29"/>
      <c r="D49" s="29"/>
      <c r="E49" s="29" t="s">
        <v>221</v>
      </c>
      <c r="F49" s="29" t="s">
        <v>111</v>
      </c>
      <c r="G49" s="29" t="s">
        <v>268</v>
      </c>
      <c r="H49" s="29" t="s">
        <v>112</v>
      </c>
      <c r="I49" s="29" t="s">
        <v>113</v>
      </c>
      <c r="K49" s="22">
        <v>462.27199999999999</v>
      </c>
      <c r="L49" s="22" t="b">
        <f>IF(FrzPt!B49&gt;0.0001, K49, FALSE)</f>
        <v>0</v>
      </c>
      <c r="M49" s="42">
        <v>38.93</v>
      </c>
      <c r="N49" s="27" t="s">
        <v>408</v>
      </c>
      <c r="Q49" s="9"/>
      <c r="R49" s="9">
        <v>3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M49" s="29" t="s">
        <v>220</v>
      </c>
      <c r="AN49" s="29">
        <v>5.66229628E-6</v>
      </c>
      <c r="AO49" s="29" t="s">
        <v>268</v>
      </c>
    </row>
    <row r="50" spans="1:41" x14ac:dyDescent="0.3">
      <c r="A50" s="29" t="s">
        <v>220</v>
      </c>
      <c r="B50" s="29"/>
      <c r="C50" s="29"/>
      <c r="D50" s="29"/>
      <c r="E50" s="29" t="s">
        <v>221</v>
      </c>
      <c r="F50" s="29" t="s">
        <v>111</v>
      </c>
      <c r="G50" s="29" t="s">
        <v>269</v>
      </c>
      <c r="H50" s="29" t="s">
        <v>112</v>
      </c>
      <c r="I50" s="29" t="s">
        <v>113</v>
      </c>
      <c r="K50" s="22">
        <v>397.91300000000001</v>
      </c>
      <c r="L50" s="22" t="b">
        <f>IF(FrzPt!B50&gt;0.0001, K50, FALSE)</f>
        <v>0</v>
      </c>
      <c r="M50" s="27">
        <v>-338.66292211125102</v>
      </c>
      <c r="N50" s="27"/>
      <c r="Q50" s="9"/>
      <c r="R50" s="9">
        <v>4</v>
      </c>
      <c r="S50" s="9">
        <f>B45+B67+B76+B77</f>
        <v>0</v>
      </c>
      <c r="T50" s="9"/>
      <c r="U50" s="9"/>
      <c r="V50" s="9">
        <f>+B48</f>
        <v>0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M50" s="29" t="s">
        <v>220</v>
      </c>
      <c r="AN50" s="29">
        <v>5.5258618199999998E-2</v>
      </c>
      <c r="AO50" s="29" t="s">
        <v>269</v>
      </c>
    </row>
    <row r="51" spans="1:41" x14ac:dyDescent="0.3">
      <c r="A51" s="29" t="s">
        <v>220</v>
      </c>
      <c r="B51" s="29"/>
      <c r="C51" s="29"/>
      <c r="D51" s="29"/>
      <c r="E51" s="29" t="s">
        <v>221</v>
      </c>
      <c r="F51" s="29" t="s">
        <v>111</v>
      </c>
      <c r="G51" s="29" t="s">
        <v>270</v>
      </c>
      <c r="H51" s="29" t="s">
        <v>112</v>
      </c>
      <c r="I51" s="29" t="s">
        <v>113</v>
      </c>
      <c r="K51" s="22">
        <v>291.72199999999998</v>
      </c>
      <c r="L51" s="22" t="b">
        <f>IF(FrzPt!B51&gt;0.0001, K51, FALSE)</f>
        <v>0</v>
      </c>
      <c r="M51" s="27">
        <v>-190.89236815695901</v>
      </c>
      <c r="N51" s="27"/>
      <c r="Q51" s="9"/>
      <c r="R51" s="9">
        <v>5</v>
      </c>
      <c r="S51" s="9">
        <f>+B72</f>
        <v>0</v>
      </c>
      <c r="T51" s="9">
        <f>+B46+B74</f>
        <v>0</v>
      </c>
      <c r="U51" s="9"/>
      <c r="V51" s="9">
        <v>0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M51" s="29" t="s">
        <v>220</v>
      </c>
      <c r="AN51" s="29">
        <v>0.16961599699999999</v>
      </c>
      <c r="AO51" s="29" t="s">
        <v>270</v>
      </c>
    </row>
    <row r="52" spans="1:41" x14ac:dyDescent="0.3">
      <c r="A52" s="29" t="s">
        <v>220</v>
      </c>
      <c r="B52" s="29"/>
      <c r="C52" s="29"/>
      <c r="D52" s="29"/>
      <c r="E52" s="29" t="s">
        <v>221</v>
      </c>
      <c r="F52" s="29" t="s">
        <v>111</v>
      </c>
      <c r="G52" s="29" t="s">
        <v>271</v>
      </c>
      <c r="H52" s="29" t="s">
        <v>112</v>
      </c>
      <c r="I52" s="29" t="s">
        <v>113</v>
      </c>
      <c r="K52" s="22">
        <v>378.14</v>
      </c>
      <c r="L52" s="22" t="b">
        <f>IF(FrzPt!B52&gt;0.0001, K52, FALSE)</f>
        <v>0</v>
      </c>
      <c r="M52" s="27">
        <v>-189.373645528119</v>
      </c>
      <c r="N52" s="27"/>
      <c r="Q52" s="9"/>
      <c r="R52" s="9">
        <v>6</v>
      </c>
      <c r="S52" s="9"/>
      <c r="T52" s="9"/>
      <c r="U52" s="9"/>
      <c r="V52" s="9"/>
      <c r="W52" s="9"/>
      <c r="X52" s="9">
        <f>+B49+B50</f>
        <v>0</v>
      </c>
      <c r="Y52" s="9"/>
      <c r="Z52" s="9"/>
      <c r="AA52" s="9"/>
      <c r="AB52" s="13"/>
      <c r="AC52" s="9"/>
      <c r="AD52" s="9"/>
      <c r="AE52" s="9"/>
      <c r="AF52" s="9"/>
      <c r="AG52" s="9"/>
      <c r="AM52" s="29" t="s">
        <v>220</v>
      </c>
      <c r="AN52" s="29">
        <v>7.3701747299999995E-2</v>
      </c>
      <c r="AO52" s="29" t="s">
        <v>271</v>
      </c>
    </row>
    <row r="53" spans="1:41" x14ac:dyDescent="0.3">
      <c r="A53" s="29" t="s">
        <v>220</v>
      </c>
      <c r="B53" s="29"/>
      <c r="C53" s="29"/>
      <c r="D53" s="29"/>
      <c r="E53" s="29" t="s">
        <v>221</v>
      </c>
      <c r="F53" s="29" t="s">
        <v>111</v>
      </c>
      <c r="G53" s="29" t="s">
        <v>272</v>
      </c>
      <c r="H53" s="29" t="s">
        <v>112</v>
      </c>
      <c r="I53" s="29" t="s">
        <v>113</v>
      </c>
      <c r="K53" s="22">
        <v>670.91</v>
      </c>
      <c r="L53" s="22" t="b">
        <f>IF(FrzPt!B53&gt;0.0001, K53, FALSE)</f>
        <v>0</v>
      </c>
      <c r="M53" s="27">
        <v>-113.710658778115</v>
      </c>
      <c r="N53" s="27"/>
      <c r="Q53" s="9"/>
      <c r="R53" s="9">
        <v>7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M53" s="29" t="s">
        <v>220</v>
      </c>
      <c r="AN53" s="29">
        <v>1.0101354499999999E-20</v>
      </c>
      <c r="AO53" s="29" t="s">
        <v>272</v>
      </c>
    </row>
    <row r="54" spans="1:41" x14ac:dyDescent="0.3">
      <c r="A54" s="29" t="s">
        <v>220</v>
      </c>
      <c r="B54" s="29"/>
      <c r="C54" s="29"/>
      <c r="D54" s="29"/>
      <c r="E54" s="29" t="s">
        <v>221</v>
      </c>
      <c r="F54" s="29" t="s">
        <v>111</v>
      </c>
      <c r="G54" s="29" t="s">
        <v>273</v>
      </c>
      <c r="H54" s="29" t="s">
        <v>112</v>
      </c>
      <c r="I54" s="29" t="s">
        <v>113</v>
      </c>
      <c r="K54" s="22">
        <v>742.64</v>
      </c>
      <c r="L54" s="22" t="b">
        <f>IF(FrzPt!B54&gt;0.0001, K54, FALSE)</f>
        <v>0</v>
      </c>
      <c r="M54" s="27">
        <v>-34.6869936399438</v>
      </c>
      <c r="N54" s="27"/>
      <c r="Q54" s="9"/>
      <c r="R54" s="9">
        <v>8</v>
      </c>
      <c r="S54" s="9">
        <f>+B79</f>
        <v>0</v>
      </c>
      <c r="T54" s="9">
        <f>+B51+B80</f>
        <v>0</v>
      </c>
      <c r="U54" s="9">
        <f>+B30+B82</f>
        <v>0</v>
      </c>
      <c r="V54" s="9">
        <f>+B52</f>
        <v>0</v>
      </c>
      <c r="W54" s="9"/>
      <c r="X54" s="9">
        <f>+B81</f>
        <v>0</v>
      </c>
      <c r="Y54" s="9"/>
      <c r="Z54" s="9"/>
      <c r="AA54" s="9"/>
      <c r="AB54" s="9"/>
      <c r="AC54" s="9"/>
      <c r="AD54" s="9"/>
      <c r="AE54" s="9"/>
      <c r="AF54" s="9"/>
      <c r="AG54" s="9"/>
      <c r="AM54" s="29" t="s">
        <v>220</v>
      </c>
      <c r="AN54" s="29">
        <v>1.00011687E-24</v>
      </c>
      <c r="AO54" s="29" t="s">
        <v>273</v>
      </c>
    </row>
    <row r="55" spans="1:41" x14ac:dyDescent="0.3">
      <c r="A55" s="29" t="s">
        <v>220</v>
      </c>
      <c r="B55" s="29"/>
      <c r="C55" s="29"/>
      <c r="D55" s="29"/>
      <c r="E55" s="29" t="s">
        <v>221</v>
      </c>
      <c r="F55" s="29" t="s">
        <v>111</v>
      </c>
      <c r="G55" s="29" t="s">
        <v>274</v>
      </c>
      <c r="H55" s="29" t="s">
        <v>112</v>
      </c>
      <c r="I55" s="29" t="s">
        <v>113</v>
      </c>
      <c r="K55" s="22">
        <v>536.9</v>
      </c>
      <c r="L55" s="22" t="b">
        <f>IF(FrzPt!B55&gt;0.0001, K55, FALSE)</f>
        <v>0</v>
      </c>
      <c r="M55" s="27">
        <v>-16.474348384374601</v>
      </c>
      <c r="N55" s="27"/>
      <c r="Q55" s="9"/>
      <c r="R55" s="9">
        <v>9</v>
      </c>
      <c r="S55" s="9"/>
      <c r="T55" s="9"/>
      <c r="U55" s="9"/>
      <c r="V55" s="9"/>
      <c r="W55" s="9"/>
      <c r="X55" s="13">
        <f>+B57+B59</f>
        <v>0</v>
      </c>
      <c r="Y55" s="9"/>
      <c r="Z55" s="9">
        <f>+B55</f>
        <v>0</v>
      </c>
      <c r="AA55" s="9"/>
      <c r="AB55" s="13">
        <f>+B60</f>
        <v>0</v>
      </c>
      <c r="AC55" s="9"/>
      <c r="AD55" s="9"/>
      <c r="AE55" s="9"/>
      <c r="AF55" s="9"/>
      <c r="AG55" s="9"/>
      <c r="AM55" s="29" t="s">
        <v>220</v>
      </c>
      <c r="AN55" s="29">
        <v>5.3666728500000002E-12</v>
      </c>
      <c r="AO55" s="29" t="s">
        <v>274</v>
      </c>
    </row>
    <row r="56" spans="1:41" x14ac:dyDescent="0.3">
      <c r="A56" s="29" t="s">
        <v>220</v>
      </c>
      <c r="B56" s="29"/>
      <c r="C56" s="29"/>
      <c r="D56" s="29"/>
      <c r="E56" s="29" t="s">
        <v>221</v>
      </c>
      <c r="F56" s="29" t="s">
        <v>111</v>
      </c>
      <c r="G56" s="29" t="s">
        <v>275</v>
      </c>
      <c r="H56" s="29" t="s">
        <v>112</v>
      </c>
      <c r="I56" s="29" t="s">
        <v>113</v>
      </c>
      <c r="K56" s="22">
        <v>352.346</v>
      </c>
      <c r="L56" s="22" t="b">
        <f>IF(FrzPt!B56&gt;0.0001, K56, FALSE)</f>
        <v>0</v>
      </c>
      <c r="M56" s="27">
        <v>-305.31097636419202</v>
      </c>
      <c r="N56" s="27"/>
      <c r="Q56" s="9"/>
      <c r="R56" s="9">
        <v>10</v>
      </c>
      <c r="S56" s="9"/>
      <c r="T56" s="9"/>
      <c r="U56" s="9">
        <f>+B56</f>
        <v>0</v>
      </c>
      <c r="V56" s="9"/>
      <c r="W56" s="9"/>
      <c r="X56" s="9"/>
      <c r="Y56" s="9"/>
      <c r="Z56" s="9"/>
      <c r="AA56" s="9"/>
      <c r="AB56" s="13">
        <f>+B58</f>
        <v>0</v>
      </c>
      <c r="AC56" s="9"/>
      <c r="AD56" s="9"/>
      <c r="AE56" s="9"/>
      <c r="AF56" s="9"/>
      <c r="AG56" s="9"/>
      <c r="AM56" s="29" t="s">
        <v>220</v>
      </c>
      <c r="AN56" s="29">
        <v>3.95860746E-2</v>
      </c>
      <c r="AO56" s="29" t="s">
        <v>275</v>
      </c>
    </row>
    <row r="57" spans="1:41" x14ac:dyDescent="0.3">
      <c r="A57" s="29" t="s">
        <v>220</v>
      </c>
      <c r="B57" s="29"/>
      <c r="C57" s="29"/>
      <c r="D57" s="29"/>
      <c r="E57" s="29" t="s">
        <v>221</v>
      </c>
      <c r="F57" s="29" t="s">
        <v>111</v>
      </c>
      <c r="G57" s="29" t="s">
        <v>276</v>
      </c>
      <c r="H57" s="29" t="s">
        <v>112</v>
      </c>
      <c r="I57" s="29" t="s">
        <v>113</v>
      </c>
      <c r="K57" s="22">
        <v>456.53</v>
      </c>
      <c r="L57" s="22" t="b">
        <f>IF(FrzPt!B57&gt;0.0001, K57, FALSE)</f>
        <v>0</v>
      </c>
      <c r="M57" s="27">
        <v>-51.005211385233601</v>
      </c>
      <c r="N57" s="27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M57" s="29" t="s">
        <v>220</v>
      </c>
      <c r="AN57" s="29">
        <v>7.2463788999999999E-6</v>
      </c>
      <c r="AO57" s="29" t="s">
        <v>276</v>
      </c>
    </row>
    <row r="58" spans="1:41" x14ac:dyDescent="0.3">
      <c r="A58" s="29" t="s">
        <v>220</v>
      </c>
      <c r="B58" s="29"/>
      <c r="C58" s="29"/>
      <c r="D58" s="29"/>
      <c r="E58" s="29" t="s">
        <v>221</v>
      </c>
      <c r="F58" s="29" t="s">
        <v>111</v>
      </c>
      <c r="G58" s="29" t="s">
        <v>277</v>
      </c>
      <c r="H58" s="29" t="s">
        <v>112</v>
      </c>
      <c r="I58" s="29" t="s">
        <v>113</v>
      </c>
      <c r="K58" s="22">
        <v>590.44100000000003</v>
      </c>
      <c r="L58" s="22" t="b">
        <f>IF(FrzPt!B58&gt;0.0001, K58, FALSE)</f>
        <v>0</v>
      </c>
      <c r="M58" s="42">
        <v>-32.44</v>
      </c>
      <c r="N58" s="27" t="s">
        <v>409</v>
      </c>
      <c r="Q58" s="9"/>
      <c r="R58" s="9"/>
      <c r="S58" s="9">
        <f>SUMIF(S62:AE71, "&lt;&gt;", S47:AE56)</f>
        <v>0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M58" s="29" t="s">
        <v>220</v>
      </c>
      <c r="AN58" s="29">
        <v>2.19606E-17</v>
      </c>
      <c r="AO58" s="29" t="s">
        <v>277</v>
      </c>
    </row>
    <row r="59" spans="1:41" x14ac:dyDescent="0.3">
      <c r="A59" s="29" t="s">
        <v>220</v>
      </c>
      <c r="B59" s="29"/>
      <c r="C59" s="29"/>
      <c r="D59" s="29"/>
      <c r="E59" s="29" t="s">
        <v>221</v>
      </c>
      <c r="F59" s="29" t="s">
        <v>111</v>
      </c>
      <c r="G59" s="29" t="s">
        <v>278</v>
      </c>
      <c r="H59" s="29" t="s">
        <v>112</v>
      </c>
      <c r="I59" s="29" t="s">
        <v>113</v>
      </c>
      <c r="K59" s="22">
        <v>505.4</v>
      </c>
      <c r="L59" s="22" t="b">
        <f>IF(FrzPt!B59&gt;0.0001, K59, FALSE)</f>
        <v>0</v>
      </c>
      <c r="M59" s="27">
        <v>-39.455668370093299</v>
      </c>
      <c r="N59" s="27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M59" s="29" t="s">
        <v>220</v>
      </c>
      <c r="AN59" s="29">
        <v>2.42979945E-8</v>
      </c>
      <c r="AO59" s="29" t="s">
        <v>278</v>
      </c>
    </row>
    <row r="60" spans="1:41" x14ac:dyDescent="0.3">
      <c r="A60" s="29" t="s">
        <v>220</v>
      </c>
      <c r="B60" s="29"/>
      <c r="C60" s="29"/>
      <c r="D60" s="29"/>
      <c r="E60" s="29" t="s">
        <v>221</v>
      </c>
      <c r="F60" s="29" t="s">
        <v>111</v>
      </c>
      <c r="G60" s="29" t="s">
        <v>279</v>
      </c>
      <c r="H60" s="29" t="s">
        <v>112</v>
      </c>
      <c r="I60" s="29" t="s">
        <v>113</v>
      </c>
      <c r="K60" s="22">
        <v>633.20000000000005</v>
      </c>
      <c r="L60" s="22" t="b">
        <f>IF(FrzPt!B60&gt;0.0001, K60, FALSE)</f>
        <v>0</v>
      </c>
      <c r="M60" s="42">
        <v>143.6</v>
      </c>
      <c r="N60" s="27" t="s">
        <v>410</v>
      </c>
      <c r="Q60" s="9"/>
      <c r="R60" s="9"/>
      <c r="S60" s="12"/>
      <c r="T60" s="12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M60" s="29" t="s">
        <v>220</v>
      </c>
      <c r="AN60" s="29">
        <v>3.9709085200000001E-19</v>
      </c>
      <c r="AO60" s="29" t="s">
        <v>279</v>
      </c>
    </row>
    <row r="61" spans="1:41" x14ac:dyDescent="0.3">
      <c r="A61" s="29" t="s">
        <v>220</v>
      </c>
      <c r="B61" s="29"/>
      <c r="C61" s="29"/>
      <c r="D61" s="29"/>
      <c r="E61" s="29" t="s">
        <v>221</v>
      </c>
      <c r="F61" s="29" t="s">
        <v>111</v>
      </c>
      <c r="G61" s="29" t="s">
        <v>280</v>
      </c>
      <c r="H61" s="29" t="s">
        <v>112</v>
      </c>
      <c r="I61" s="29" t="s">
        <v>113</v>
      </c>
      <c r="K61" s="22">
        <v>450.5</v>
      </c>
      <c r="L61" s="22" t="b">
        <f>IF(FrzPt!B61&gt;0.0001, K61, FALSE)</f>
        <v>0</v>
      </c>
      <c r="M61" s="27">
        <v>-112.119936011582</v>
      </c>
      <c r="N61" s="27"/>
      <c r="Q61" s="9" t="s">
        <v>71</v>
      </c>
      <c r="R61" s="9" t="s">
        <v>66</v>
      </c>
      <c r="S61" s="9" t="s">
        <v>72</v>
      </c>
      <c r="T61" s="9" t="s">
        <v>73</v>
      </c>
      <c r="U61" s="9" t="s">
        <v>74</v>
      </c>
      <c r="V61" s="9" t="s">
        <v>75</v>
      </c>
      <c r="W61" s="9" t="s">
        <v>76</v>
      </c>
      <c r="X61" s="9" t="s">
        <v>77</v>
      </c>
      <c r="Y61" s="9" t="s">
        <v>78</v>
      </c>
      <c r="Z61" s="9" t="s">
        <v>79</v>
      </c>
      <c r="AA61" s="9" t="s">
        <v>80</v>
      </c>
      <c r="AB61" s="9" t="s">
        <v>81</v>
      </c>
      <c r="AC61" s="9" t="s">
        <v>82</v>
      </c>
      <c r="AD61" s="9" t="s">
        <v>83</v>
      </c>
      <c r="AE61" s="9" t="s">
        <v>84</v>
      </c>
      <c r="AF61" s="9"/>
      <c r="AG61" s="9" t="s">
        <v>85</v>
      </c>
      <c r="AM61" s="29" t="s">
        <v>220</v>
      </c>
      <c r="AN61" s="29">
        <v>3.9919947E-4</v>
      </c>
      <c r="AO61" s="29" t="s">
        <v>280</v>
      </c>
    </row>
    <row r="62" spans="1:41" x14ac:dyDescent="0.3">
      <c r="A62" s="29" t="s">
        <v>220</v>
      </c>
      <c r="B62" s="29"/>
      <c r="C62" s="29"/>
      <c r="D62" s="29"/>
      <c r="E62" s="29" t="s">
        <v>221</v>
      </c>
      <c r="F62" s="29" t="s">
        <v>111</v>
      </c>
      <c r="G62" s="29" t="s">
        <v>281</v>
      </c>
      <c r="H62" s="29" t="s">
        <v>112</v>
      </c>
      <c r="I62" s="29" t="s">
        <v>113</v>
      </c>
      <c r="K62" s="22">
        <v>99.194000000000401</v>
      </c>
      <c r="L62" s="22" t="b">
        <f>IF(FrzPt!B62&gt;0.0001, K62, FALSE)</f>
        <v>0</v>
      </c>
      <c r="M62" s="27">
        <v>-294.009413150098</v>
      </c>
      <c r="N62" s="27"/>
      <c r="Q62" s="9"/>
      <c r="R62" s="9" t="s">
        <v>86</v>
      </c>
      <c r="S62" s="9">
        <v>-91</v>
      </c>
      <c r="T62" s="9">
        <v>-56.8</v>
      </c>
      <c r="U62" s="9">
        <v>-51</v>
      </c>
      <c r="V62" s="9">
        <v>-30</v>
      </c>
      <c r="W62" s="9">
        <v>-25.6</v>
      </c>
      <c r="X62" s="9">
        <v>-12</v>
      </c>
      <c r="Y62" s="9">
        <v>-5.5</v>
      </c>
      <c r="Z62" s="9">
        <v>5.9</v>
      </c>
      <c r="AA62" s="9">
        <v>10</v>
      </c>
      <c r="AB62" s="9">
        <v>18.2</v>
      </c>
      <c r="AC62" s="9">
        <v>22</v>
      </c>
      <c r="AD62" s="9">
        <v>28</v>
      </c>
      <c r="AE62" s="9">
        <v>30</v>
      </c>
      <c r="AF62" s="9"/>
      <c r="AG62" s="9">
        <v>3.02</v>
      </c>
      <c r="AM62" s="29" t="s">
        <v>220</v>
      </c>
      <c r="AN62" s="29">
        <v>1.07412752E-13</v>
      </c>
      <c r="AO62" s="29" t="s">
        <v>281</v>
      </c>
    </row>
    <row r="63" spans="1:41" x14ac:dyDescent="0.3">
      <c r="A63" s="29" t="s">
        <v>220</v>
      </c>
      <c r="B63" s="29"/>
      <c r="C63" s="29"/>
      <c r="D63" s="29"/>
      <c r="E63" s="29" t="s">
        <v>221</v>
      </c>
      <c r="F63" s="29" t="s">
        <v>111</v>
      </c>
      <c r="G63" s="29" t="s">
        <v>282</v>
      </c>
      <c r="H63" s="29" t="s">
        <v>112</v>
      </c>
      <c r="I63" s="29" t="s">
        <v>113</v>
      </c>
      <c r="K63" s="22">
        <v>96.9080000000003</v>
      </c>
      <c r="L63" s="22" t="b">
        <f>IF(FrzPt!B63&gt;0.0001, K63, FALSE)</f>
        <v>0</v>
      </c>
      <c r="M63" s="27">
        <v>-276.50350229141998</v>
      </c>
      <c r="N63" s="27"/>
      <c r="Q63" s="9"/>
      <c r="R63" s="9" t="s">
        <v>87</v>
      </c>
      <c r="S63" s="9">
        <v>-136.9</v>
      </c>
      <c r="T63" s="9">
        <v>-117.6</v>
      </c>
      <c r="U63" s="9">
        <v>-100.3</v>
      </c>
      <c r="V63" s="9">
        <v>-86.5</v>
      </c>
      <c r="W63" s="9">
        <v>-74</v>
      </c>
      <c r="X63" s="9">
        <v>-60.8</v>
      </c>
      <c r="Y63" s="9">
        <v>-51.8</v>
      </c>
      <c r="Z63" s="9">
        <v>-32</v>
      </c>
      <c r="AA63" s="9">
        <v>-22.5</v>
      </c>
      <c r="AB63" s="9">
        <v>-24</v>
      </c>
      <c r="AC63" s="9">
        <v>-8.1999999999999993</v>
      </c>
      <c r="AD63" s="9">
        <v>-2.9</v>
      </c>
      <c r="AE63" s="9">
        <v>-1.7</v>
      </c>
      <c r="AF63" s="9"/>
      <c r="AG63" s="9">
        <v>2.2200000000000002</v>
      </c>
      <c r="AM63" s="29" t="s">
        <v>220</v>
      </c>
      <c r="AN63" s="29">
        <v>3.3843448199999998E-12</v>
      </c>
      <c r="AO63" s="29" t="s">
        <v>282</v>
      </c>
    </row>
    <row r="64" spans="1:41" x14ac:dyDescent="0.3">
      <c r="A64" s="29" t="s">
        <v>220</v>
      </c>
      <c r="B64" s="29"/>
      <c r="C64" s="29"/>
      <c r="D64" s="29"/>
      <c r="E64" s="29" t="s">
        <v>221</v>
      </c>
      <c r="F64" s="29" t="s">
        <v>111</v>
      </c>
      <c r="G64" s="29" t="s">
        <v>283</v>
      </c>
      <c r="H64" s="29" t="s">
        <v>112</v>
      </c>
      <c r="I64" s="29" t="s">
        <v>113</v>
      </c>
      <c r="K64" s="22">
        <v>-76.629999999999498</v>
      </c>
      <c r="L64" s="22" t="b">
        <f>IF(FrzPt!B64&gt;0.0001, K64, FALSE)</f>
        <v>0</v>
      </c>
      <c r="M64" s="27">
        <v>-368.998766322797</v>
      </c>
      <c r="N64" s="27"/>
      <c r="Q64" s="9"/>
      <c r="R64" s="9" t="s">
        <v>88</v>
      </c>
      <c r="S64" s="9">
        <v>-126</v>
      </c>
      <c r="T64" s="9">
        <v>-112.7</v>
      </c>
      <c r="U64" s="9">
        <v>-111.2</v>
      </c>
      <c r="V64" s="9">
        <v>-53.9</v>
      </c>
      <c r="W64" s="9">
        <v>-69.2</v>
      </c>
      <c r="X64" s="9">
        <v>-57.3</v>
      </c>
      <c r="Y64" s="9">
        <v>-57</v>
      </c>
      <c r="Z64" s="9">
        <v>-57</v>
      </c>
      <c r="AA64" s="9">
        <v>-10.1</v>
      </c>
      <c r="AB64" s="9">
        <v>-3.7</v>
      </c>
      <c r="AC64" s="9">
        <v>3.7</v>
      </c>
      <c r="AD64" s="9">
        <v>-46.5</v>
      </c>
      <c r="AE64" s="9">
        <v>-10.3</v>
      </c>
      <c r="AF64" s="9"/>
      <c r="AG64" s="9">
        <v>-1.75</v>
      </c>
      <c r="AM64" s="29" t="s">
        <v>220</v>
      </c>
      <c r="AN64" s="29">
        <v>0</v>
      </c>
      <c r="AO64" s="29" t="s">
        <v>283</v>
      </c>
    </row>
    <row r="65" spans="1:41" x14ac:dyDescent="0.3">
      <c r="A65" s="29" t="s">
        <v>220</v>
      </c>
      <c r="B65" s="29"/>
      <c r="C65" s="29"/>
      <c r="D65" s="29"/>
      <c r="E65" s="29" t="s">
        <v>221</v>
      </c>
      <c r="F65" s="29" t="s">
        <v>111</v>
      </c>
      <c r="G65" s="29" t="s">
        <v>284</v>
      </c>
      <c r="H65" s="29" t="s">
        <v>112</v>
      </c>
      <c r="I65" s="29" t="s">
        <v>113</v>
      </c>
      <c r="K65" s="22">
        <v>1100.7392</v>
      </c>
      <c r="L65" s="22" t="b">
        <f>IF(FrzPt!B65&gt;0.0001, K65, FALSE)</f>
        <v>0</v>
      </c>
      <c r="M65" s="27" t="b">
        <v>0</v>
      </c>
      <c r="N65" s="27"/>
      <c r="Q65" s="9"/>
      <c r="R65" s="9" t="s">
        <v>89</v>
      </c>
      <c r="S65" s="9">
        <v>-126.6</v>
      </c>
      <c r="T65" s="9">
        <v>-115</v>
      </c>
      <c r="U65" s="9">
        <v>-97.6</v>
      </c>
      <c r="V65" s="9">
        <v>-74.7</v>
      </c>
      <c r="W65" s="9">
        <v>-65.3</v>
      </c>
      <c r="X65" s="9">
        <v>-43</v>
      </c>
      <c r="Y65" s="9">
        <v>-30.5</v>
      </c>
      <c r="Z65" s="9">
        <v>-24.4</v>
      </c>
      <c r="AA65" s="9">
        <v>-16.2</v>
      </c>
      <c r="AB65" s="9"/>
      <c r="AC65" s="9"/>
      <c r="AD65" s="9"/>
      <c r="AE65" s="9"/>
      <c r="AF65" s="9"/>
      <c r="AG65" s="9">
        <v>-1.41</v>
      </c>
      <c r="AM65" s="29" t="s">
        <v>220</v>
      </c>
      <c r="AN65" s="29">
        <v>4.80260092E-37</v>
      </c>
      <c r="AO65" s="29" t="s">
        <v>284</v>
      </c>
    </row>
    <row r="66" spans="1:41" x14ac:dyDescent="0.3">
      <c r="A66" s="29" t="s">
        <v>220</v>
      </c>
      <c r="B66" s="29"/>
      <c r="C66" s="29"/>
      <c r="D66" s="29"/>
      <c r="E66" s="29" t="s">
        <v>221</v>
      </c>
      <c r="F66" s="29" t="s">
        <v>111</v>
      </c>
      <c r="G66" s="29" t="s">
        <v>285</v>
      </c>
      <c r="H66" s="29" t="s">
        <v>112</v>
      </c>
      <c r="I66" s="29" t="s">
        <v>113</v>
      </c>
      <c r="K66" s="22">
        <v>666.41</v>
      </c>
      <c r="L66" s="22" t="b">
        <f>IF(FrzPt!B66&gt;0.0001, K66, FALSE)</f>
        <v>0</v>
      </c>
      <c r="M66" s="27" t="b">
        <v>0</v>
      </c>
      <c r="N66" s="27"/>
      <c r="Q66" s="9"/>
      <c r="R66" s="9" t="s">
        <v>90</v>
      </c>
      <c r="S66" s="9">
        <v>-110.1</v>
      </c>
      <c r="T66" s="9">
        <v>-66.099999999999994</v>
      </c>
      <c r="U66" s="9">
        <v>-94.7</v>
      </c>
      <c r="V66" s="9">
        <v>-85.3</v>
      </c>
      <c r="W66" s="9">
        <v>-52.7</v>
      </c>
      <c r="X66" s="9">
        <v>-23.1</v>
      </c>
      <c r="Y66" s="9">
        <v>-35.4</v>
      </c>
      <c r="Z66" s="9">
        <v>-18.8</v>
      </c>
      <c r="AA66" s="9">
        <v>-60.5</v>
      </c>
      <c r="AB66" s="9">
        <v>-9.6</v>
      </c>
      <c r="AC66" s="9"/>
      <c r="AD66" s="9"/>
      <c r="AE66" s="9"/>
      <c r="AF66" s="9"/>
      <c r="AG66" s="9">
        <v>2.6</v>
      </c>
      <c r="AM66" s="29" t="s">
        <v>220</v>
      </c>
      <c r="AN66" s="29">
        <v>1.8366178599999999E-26</v>
      </c>
      <c r="AO66" s="29" t="s">
        <v>285</v>
      </c>
    </row>
    <row r="67" spans="1:41" x14ac:dyDescent="0.3">
      <c r="A67" s="29" t="s">
        <v>220</v>
      </c>
      <c r="B67" s="29"/>
      <c r="C67" s="29"/>
      <c r="D67" s="29"/>
      <c r="E67" s="29" t="s">
        <v>221</v>
      </c>
      <c r="F67" s="29" t="s">
        <v>111</v>
      </c>
      <c r="G67" s="29" t="s">
        <v>286</v>
      </c>
      <c r="H67" s="29" t="s">
        <v>112</v>
      </c>
      <c r="I67" s="29" t="s">
        <v>113</v>
      </c>
      <c r="K67" s="22">
        <v>213.68119999999999</v>
      </c>
      <c r="L67" s="22" t="b">
        <f>IF(FrzPt!B67&gt;0.0001, K67, FALSE)</f>
        <v>0</v>
      </c>
      <c r="M67" s="27">
        <v>-293.85396459425601</v>
      </c>
      <c r="N67" s="27"/>
      <c r="Q67" s="9"/>
      <c r="R67" s="9" t="s">
        <v>91</v>
      </c>
      <c r="S67" s="9"/>
      <c r="T67" s="9">
        <v>-93</v>
      </c>
      <c r="U67" s="9">
        <v>-30</v>
      </c>
      <c r="V67" s="9">
        <v>-36.700000000000003</v>
      </c>
      <c r="W67" s="9">
        <v>-45.3</v>
      </c>
      <c r="X67" s="9">
        <v>-19</v>
      </c>
      <c r="Y67" s="9">
        <v>-66.599999999999994</v>
      </c>
      <c r="Z67" s="9">
        <v>-55.9</v>
      </c>
      <c r="AA67" s="9">
        <v>-23.7</v>
      </c>
      <c r="AB67" s="9"/>
      <c r="AC67" s="9"/>
      <c r="AD67" s="9"/>
      <c r="AE67" s="9"/>
      <c r="AF67" s="9"/>
      <c r="AG67" s="9">
        <v>3.31</v>
      </c>
      <c r="AM67" s="29" t="s">
        <v>220</v>
      </c>
      <c r="AN67" s="29">
        <v>5.7526438200000002E-2</v>
      </c>
      <c r="AO67" s="29" t="s">
        <v>286</v>
      </c>
    </row>
    <row r="68" spans="1:41" x14ac:dyDescent="0.3">
      <c r="A68" s="29" t="s">
        <v>220</v>
      </c>
      <c r="B68" s="29"/>
      <c r="C68" s="29"/>
      <c r="D68" s="29"/>
      <c r="E68" s="29" t="s">
        <v>221</v>
      </c>
      <c r="F68" s="29" t="s">
        <v>111</v>
      </c>
      <c r="G68" s="29" t="s">
        <v>287</v>
      </c>
      <c r="H68" s="29" t="s">
        <v>112</v>
      </c>
      <c r="I68" s="29" t="s">
        <v>113</v>
      </c>
      <c r="K68" s="22">
        <v>303.36799999999999</v>
      </c>
      <c r="L68" s="22" t="b">
        <f>IF(FrzPt!B68&gt;0.0001, K68, FALSE)</f>
        <v>0</v>
      </c>
      <c r="M68" s="27">
        <v>-136.837236040043</v>
      </c>
      <c r="N68" s="27"/>
      <c r="Q68" s="9"/>
      <c r="R68" s="9" t="s">
        <v>92</v>
      </c>
      <c r="S68" s="9">
        <v>-95</v>
      </c>
      <c r="T68" s="9">
        <v>-95</v>
      </c>
      <c r="U68" s="9">
        <v>-97.7</v>
      </c>
      <c r="V68" s="9">
        <v>-68.2</v>
      </c>
      <c r="W68" s="9">
        <v>-52.3</v>
      </c>
      <c r="X68" s="9">
        <v>-43.3</v>
      </c>
      <c r="Y68" s="9">
        <v>-48</v>
      </c>
      <c r="Z68" s="9">
        <v>-38</v>
      </c>
      <c r="AA68" s="9"/>
      <c r="AB68" s="9"/>
      <c r="AC68" s="9"/>
      <c r="AD68" s="9"/>
      <c r="AE68" s="9"/>
      <c r="AF68" s="9"/>
      <c r="AG68" s="9">
        <v>-10</v>
      </c>
      <c r="AM68" s="29" t="s">
        <v>220</v>
      </c>
      <c r="AN68" s="29">
        <v>0.17974201000000001</v>
      </c>
      <c r="AO68" s="29" t="s">
        <v>287</v>
      </c>
    </row>
    <row r="69" spans="1:41" x14ac:dyDescent="0.3">
      <c r="A69" s="29" t="s">
        <v>220</v>
      </c>
      <c r="B69" s="29"/>
      <c r="C69" s="29"/>
      <c r="D69" s="29"/>
      <c r="E69" s="29" t="s">
        <v>221</v>
      </c>
      <c r="F69" s="29" t="s">
        <v>111</v>
      </c>
      <c r="G69" s="29" t="s">
        <v>288</v>
      </c>
      <c r="H69" s="29" t="s">
        <v>112</v>
      </c>
      <c r="I69" s="29" t="s">
        <v>113</v>
      </c>
      <c r="K69" s="22">
        <v>258.11599999999999</v>
      </c>
      <c r="L69" s="22" t="b">
        <f>IF(FrzPt!B69&gt;0.0001, K69, FALSE)</f>
        <v>0</v>
      </c>
      <c r="M69" s="27">
        <v>-134.76818631564501</v>
      </c>
      <c r="N69" s="27"/>
      <c r="Q69" s="9"/>
      <c r="R69" s="9" t="s">
        <v>93</v>
      </c>
      <c r="S69" s="9"/>
      <c r="T69" s="9">
        <v>-19.899999999999999</v>
      </c>
      <c r="U69" s="9">
        <v>-70.599999999999994</v>
      </c>
      <c r="V69" s="9">
        <v>-45.2</v>
      </c>
      <c r="W69" s="9">
        <v>-45.7</v>
      </c>
      <c r="X69" s="9">
        <v>-25.4</v>
      </c>
      <c r="Y69" s="9">
        <v>-45.7</v>
      </c>
      <c r="Z69" s="9"/>
      <c r="AA69" s="9"/>
      <c r="AB69" s="9"/>
      <c r="AC69" s="9"/>
      <c r="AD69" s="9"/>
      <c r="AE69" s="9"/>
      <c r="AF69" s="9"/>
      <c r="AG69" s="9">
        <v>1.54</v>
      </c>
      <c r="AM69" s="29" t="s">
        <v>220</v>
      </c>
      <c r="AN69" s="29">
        <v>7.7606777599999996E-2</v>
      </c>
      <c r="AO69" s="29" t="s">
        <v>288</v>
      </c>
    </row>
    <row r="70" spans="1:41" x14ac:dyDescent="0.3">
      <c r="A70" s="29" t="s">
        <v>220</v>
      </c>
      <c r="B70" s="29"/>
      <c r="C70" s="29"/>
      <c r="D70" s="29"/>
      <c r="E70" s="29" t="s">
        <v>221</v>
      </c>
      <c r="F70" s="29" t="s">
        <v>111</v>
      </c>
      <c r="G70" s="29" t="s">
        <v>289</v>
      </c>
      <c r="H70" s="29" t="s">
        <v>112</v>
      </c>
      <c r="I70" s="29" t="s">
        <v>113</v>
      </c>
      <c r="K70" s="22"/>
      <c r="L70" s="27" t="b">
        <f>IF(FrzPt!B70&gt;0.0001, K70, FALSE)</f>
        <v>0</v>
      </c>
      <c r="Q70" s="9"/>
      <c r="R70" s="9" t="s">
        <v>94</v>
      </c>
      <c r="S70" s="9"/>
      <c r="T70" s="9"/>
      <c r="U70" s="9">
        <v>-2</v>
      </c>
      <c r="V70" s="9">
        <v>80.3</v>
      </c>
      <c r="W70" s="9">
        <v>2</v>
      </c>
      <c r="X70" s="9"/>
      <c r="Y70" s="9"/>
      <c r="Z70" s="9">
        <v>-5</v>
      </c>
      <c r="AA70" s="9"/>
      <c r="AB70" s="9"/>
      <c r="AC70" s="9"/>
      <c r="AD70" s="9"/>
      <c r="AE70" s="9"/>
      <c r="AF70" s="9"/>
      <c r="AG70" s="9">
        <v>-9.99</v>
      </c>
      <c r="AM70" s="29" t="s">
        <v>220</v>
      </c>
      <c r="AN70" s="29"/>
      <c r="AO70" s="29" t="s">
        <v>289</v>
      </c>
    </row>
    <row r="71" spans="1:41" x14ac:dyDescent="0.3">
      <c r="A71" s="29" t="s">
        <v>220</v>
      </c>
      <c r="B71" s="29"/>
      <c r="C71" s="29"/>
      <c r="D71" s="29"/>
      <c r="E71" s="29" t="s">
        <v>221</v>
      </c>
      <c r="F71" s="29" t="s">
        <v>111</v>
      </c>
      <c r="G71" s="29" t="s">
        <v>290</v>
      </c>
      <c r="H71" s="29" t="s">
        <v>112</v>
      </c>
      <c r="I71" s="29" t="s">
        <v>113</v>
      </c>
      <c r="K71" s="22"/>
      <c r="L71" s="27" t="b">
        <f>IF(FrzPt!B71&gt;0.0001, K71, FALSE)</f>
        <v>0</v>
      </c>
      <c r="Q71" s="9"/>
      <c r="R71" s="9" t="s">
        <v>95</v>
      </c>
      <c r="S71" s="9"/>
      <c r="T71" s="9"/>
      <c r="U71" s="9">
        <v>-51.4</v>
      </c>
      <c r="V71" s="9">
        <v>-35.799999999999997</v>
      </c>
      <c r="W71" s="9">
        <v>-24</v>
      </c>
      <c r="X71" s="9">
        <v>4</v>
      </c>
      <c r="Y71" s="9">
        <v>-29.6</v>
      </c>
      <c r="Z71" s="9"/>
      <c r="AA71" s="9"/>
      <c r="AB71" s="9"/>
      <c r="AC71" s="9"/>
      <c r="AD71" s="9"/>
      <c r="AE71" s="9"/>
      <c r="AF71" s="9"/>
      <c r="AG71" s="9">
        <v>2.79</v>
      </c>
      <c r="AM71" s="29" t="s">
        <v>220</v>
      </c>
      <c r="AN71" s="29"/>
      <c r="AO71" s="29" t="s">
        <v>290</v>
      </c>
    </row>
    <row r="72" spans="1:41" x14ac:dyDescent="0.3">
      <c r="A72" s="29" t="s">
        <v>220</v>
      </c>
      <c r="B72" s="29"/>
      <c r="C72" s="29"/>
      <c r="D72" s="29"/>
      <c r="E72" s="29" t="s">
        <v>221</v>
      </c>
      <c r="F72" s="29" t="s">
        <v>111</v>
      </c>
      <c r="G72" s="29" t="s">
        <v>319</v>
      </c>
      <c r="H72" s="29" t="s">
        <v>112</v>
      </c>
      <c r="I72" s="29" t="s">
        <v>113</v>
      </c>
      <c r="K72">
        <v>395.56939999999997</v>
      </c>
      <c r="L72" s="27" t="b">
        <f>IF(FrzPt!B72&gt;0.0001, K72, FALSE)</f>
        <v>0</v>
      </c>
      <c r="M72">
        <v>94.6</v>
      </c>
      <c r="Q72" s="9"/>
      <c r="R72" s="9"/>
      <c r="S72" s="12"/>
      <c r="T72" s="12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M72" s="29" t="s">
        <v>220</v>
      </c>
      <c r="AN72" s="29">
        <v>0</v>
      </c>
      <c r="AO72" s="29" t="s">
        <v>319</v>
      </c>
    </row>
    <row r="73" spans="1:41" x14ac:dyDescent="0.3">
      <c r="A73" s="29" t="s">
        <v>220</v>
      </c>
      <c r="B73" s="29"/>
      <c r="C73" s="29"/>
      <c r="D73" s="29"/>
      <c r="E73" s="29" t="s">
        <v>221</v>
      </c>
      <c r="F73" s="29" t="s">
        <v>111</v>
      </c>
      <c r="G73" s="29" t="s">
        <v>322</v>
      </c>
      <c r="H73" s="29" t="s">
        <v>112</v>
      </c>
      <c r="I73" s="29" t="s">
        <v>113</v>
      </c>
      <c r="K73">
        <v>475.952</v>
      </c>
      <c r="L73" s="27" t="b">
        <f>IF(FrzPt!B73&gt;0.0001, K73, FALSE)</f>
        <v>0</v>
      </c>
      <c r="M73">
        <v>220</v>
      </c>
      <c r="Q73" s="9"/>
      <c r="R73" s="9" t="s">
        <v>96</v>
      </c>
      <c r="S73" s="9">
        <v>9.99</v>
      </c>
      <c r="T73" s="9">
        <v>2.98</v>
      </c>
      <c r="U73" s="9">
        <v>4.7699999999999996</v>
      </c>
      <c r="V73" s="9">
        <v>2.8</v>
      </c>
      <c r="W73" s="9">
        <v>-1.4</v>
      </c>
      <c r="X73" s="9">
        <v>5.19</v>
      </c>
      <c r="Y73" s="9">
        <v>-3.29</v>
      </c>
      <c r="Z73" s="9">
        <v>5.3</v>
      </c>
      <c r="AA73" s="9">
        <v>6.69</v>
      </c>
      <c r="AB73" s="9">
        <v>0.08</v>
      </c>
      <c r="AC73" s="9">
        <v>8.52</v>
      </c>
      <c r="AD73" s="9">
        <v>9.98</v>
      </c>
      <c r="AE73" s="9">
        <v>-0.32</v>
      </c>
      <c r="AF73" s="9"/>
      <c r="AG73" s="9"/>
      <c r="AM73" s="29" t="s">
        <v>220</v>
      </c>
      <c r="AN73" s="29">
        <v>0</v>
      </c>
      <c r="AO73" s="29" t="s">
        <v>322</v>
      </c>
    </row>
    <row r="74" spans="1:41" x14ac:dyDescent="0.3">
      <c r="A74" s="29" t="s">
        <v>220</v>
      </c>
      <c r="B74" s="29"/>
      <c r="C74" s="29"/>
      <c r="D74" s="29"/>
      <c r="E74" s="29" t="s">
        <v>221</v>
      </c>
      <c r="F74" s="29" t="s">
        <v>111</v>
      </c>
      <c r="G74" s="29" t="s">
        <v>323</v>
      </c>
      <c r="H74" s="29" t="s">
        <v>112</v>
      </c>
      <c r="I74" s="29" t="s">
        <v>113</v>
      </c>
      <c r="K74">
        <v>501.8</v>
      </c>
      <c r="L74" s="27" t="b">
        <f>IF(FrzPt!B74&gt;0.0001, K74, FALSE)</f>
        <v>0</v>
      </c>
      <c r="M74">
        <v>130</v>
      </c>
      <c r="Q74" s="9"/>
      <c r="R74" s="9"/>
      <c r="S74" s="12"/>
      <c r="T74" s="12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M74" s="29" t="s">
        <v>220</v>
      </c>
      <c r="AN74" s="29">
        <v>0</v>
      </c>
      <c r="AO74" s="29" t="s">
        <v>323</v>
      </c>
    </row>
    <row r="75" spans="1:41" x14ac:dyDescent="0.3">
      <c r="A75" s="29" t="s">
        <v>220</v>
      </c>
      <c r="B75" s="29"/>
      <c r="C75" s="29"/>
      <c r="D75" s="29"/>
      <c r="E75" s="29" t="s">
        <v>221</v>
      </c>
      <c r="F75" s="29" t="s">
        <v>111</v>
      </c>
      <c r="G75" s="29" t="s">
        <v>324</v>
      </c>
      <c r="H75" s="29" t="s">
        <v>112</v>
      </c>
      <c r="I75" s="29" t="s">
        <v>113</v>
      </c>
      <c r="K75">
        <v>161.25800000000001</v>
      </c>
      <c r="L75" s="27" t="b">
        <f>IF(FrzPt!B75&gt;0.0001, K75, FALSE)</f>
        <v>0</v>
      </c>
      <c r="M75">
        <v>-224</v>
      </c>
      <c r="Q75" s="9" t="s">
        <v>97</v>
      </c>
      <c r="R75" s="9"/>
      <c r="S75" s="12"/>
      <c r="T75" s="12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M75" s="29" t="s">
        <v>220</v>
      </c>
      <c r="AN75" s="29">
        <v>0</v>
      </c>
      <c r="AO75" s="29" t="s">
        <v>324</v>
      </c>
    </row>
    <row r="76" spans="1:41" x14ac:dyDescent="0.3">
      <c r="A76" s="29" t="s">
        <v>220</v>
      </c>
      <c r="B76" s="29"/>
      <c r="C76" s="29"/>
      <c r="D76" s="29"/>
      <c r="E76" s="29" t="s">
        <v>221</v>
      </c>
      <c r="F76" s="29" t="s">
        <v>111</v>
      </c>
      <c r="G76" s="29" t="s">
        <v>325</v>
      </c>
      <c r="H76" s="29" t="s">
        <v>112</v>
      </c>
      <c r="I76" s="29" t="s">
        <v>113</v>
      </c>
      <c r="K76">
        <v>213.68119999999999</v>
      </c>
      <c r="L76" s="27" t="b">
        <f>IF(FrzPt!B76&gt;0.0001, K76, FALSE)</f>
        <v>0</v>
      </c>
      <c r="M76">
        <v>-194.8</v>
      </c>
      <c r="Q76" s="9"/>
      <c r="R76" s="9" t="s">
        <v>86</v>
      </c>
      <c r="S76" s="12">
        <f>S47*S62*S$73*$AG62</f>
        <v>0</v>
      </c>
      <c r="T76" s="12">
        <f>T47*T62*T$73*$AG62</f>
        <v>0</v>
      </c>
      <c r="U76" s="12">
        <f>U47*U62*U$73*$AG62</f>
        <v>0</v>
      </c>
      <c r="V76" s="12">
        <f>V47*V62*V$73*$AG62</f>
        <v>0</v>
      </c>
      <c r="W76" s="12">
        <f>W47*W62*W$73*$AG62</f>
        <v>0</v>
      </c>
      <c r="X76" s="12">
        <f>X47*X62*X$73*$AG62</f>
        <v>0</v>
      </c>
      <c r="Y76" s="12">
        <f>Y47*Y62*Y$73*$AG62</f>
        <v>0</v>
      </c>
      <c r="Z76" s="12">
        <f>Z47*Z62*Z$73*$AG62</f>
        <v>0</v>
      </c>
      <c r="AA76" s="12">
        <f>AA47*AA62*AA$73*$AG62</f>
        <v>0</v>
      </c>
      <c r="AB76" s="12">
        <f>AB47*AB62*AB$73*$AG62</f>
        <v>0</v>
      </c>
      <c r="AC76" s="12">
        <f>AC47*AC62*AC$73*$AG62</f>
        <v>0</v>
      </c>
      <c r="AD76" s="12">
        <f>AD47*AD62*AD$73*$AG62</f>
        <v>0</v>
      </c>
      <c r="AE76" s="12">
        <f>AE47*AE62*AE$73*$AG62</f>
        <v>0</v>
      </c>
      <c r="AF76" s="9"/>
      <c r="AG76" s="9"/>
      <c r="AM76" s="29" t="s">
        <v>220</v>
      </c>
      <c r="AN76" s="29">
        <v>0</v>
      </c>
      <c r="AO76" s="29" t="s">
        <v>325</v>
      </c>
    </row>
    <row r="77" spans="1:41" x14ac:dyDescent="0.3">
      <c r="A77" s="29" t="s">
        <v>220</v>
      </c>
      <c r="B77" s="29"/>
      <c r="C77" s="29"/>
      <c r="D77" s="29"/>
      <c r="E77" s="29" t="s">
        <v>221</v>
      </c>
      <c r="F77" s="29" t="s">
        <v>111</v>
      </c>
      <c r="G77" s="29" t="s">
        <v>326</v>
      </c>
      <c r="H77" s="29" t="s">
        <v>112</v>
      </c>
      <c r="I77" s="29" t="s">
        <v>113</v>
      </c>
      <c r="K77">
        <v>271.00580000000002</v>
      </c>
      <c r="L77" s="27" t="b">
        <f>IF(FrzPt!B77&gt;0.0001, K77, FALSE)</f>
        <v>0</v>
      </c>
      <c r="M77">
        <v>-103</v>
      </c>
      <c r="Q77" s="9"/>
      <c r="R77" s="9" t="s">
        <v>87</v>
      </c>
      <c r="S77" s="12">
        <f>S48*S63*S$73*$AG63</f>
        <v>0</v>
      </c>
      <c r="T77" s="12">
        <f>T48*T63*T$73*$AG63</f>
        <v>0</v>
      </c>
      <c r="U77" s="12">
        <f>U48*U63*U$73*$AG63</f>
        <v>0</v>
      </c>
      <c r="V77" s="12">
        <f>V48*V63*V$73*$AG63</f>
        <v>0</v>
      </c>
      <c r="W77" s="12">
        <f>W48*W63*W$73*$AG63</f>
        <v>0</v>
      </c>
      <c r="X77" s="12">
        <f>X48*X63*X$73*$AG63</f>
        <v>0</v>
      </c>
      <c r="Y77" s="12">
        <f>Y48*Y63*Y$73*$AG63</f>
        <v>0</v>
      </c>
      <c r="Z77" s="12">
        <f>Z48*Z63*Z$73*$AG63</f>
        <v>0</v>
      </c>
      <c r="AA77" s="12">
        <f>AA48*AA63*AA$73*$AG63</f>
        <v>0</v>
      </c>
      <c r="AB77" s="12">
        <f>AB48*AB63*AB$73*$AG63</f>
        <v>0</v>
      </c>
      <c r="AC77" s="12">
        <f>AC48*AC63*AC$73*$AG63</f>
        <v>0</v>
      </c>
      <c r="AD77" s="12">
        <f>AD48*AD63*AD$73*$AG63</f>
        <v>0</v>
      </c>
      <c r="AE77" s="12">
        <f>AE48*AE63*AE$73*$AG63</f>
        <v>0</v>
      </c>
      <c r="AF77" s="9"/>
      <c r="AG77" s="9"/>
      <c r="AM77" s="29" t="s">
        <v>220</v>
      </c>
      <c r="AN77" s="29">
        <v>0</v>
      </c>
      <c r="AO77" s="29" t="s">
        <v>326</v>
      </c>
    </row>
    <row r="78" spans="1:41" x14ac:dyDescent="0.3">
      <c r="A78" s="29" t="s">
        <v>220</v>
      </c>
      <c r="B78" s="29"/>
      <c r="C78" s="29"/>
      <c r="D78" s="29"/>
      <c r="E78" s="29" t="s">
        <v>221</v>
      </c>
      <c r="F78" s="29" t="s">
        <v>111</v>
      </c>
      <c r="G78" s="29" t="s">
        <v>327</v>
      </c>
      <c r="H78" s="29" t="s">
        <v>112</v>
      </c>
      <c r="I78" s="29" t="s">
        <v>113</v>
      </c>
      <c r="K78">
        <v>312.02600000000001</v>
      </c>
      <c r="L78" s="27" t="b">
        <f>IF(FrzPt!B78&gt;0.0001, K78, FALSE)</f>
        <v>0</v>
      </c>
      <c r="M78">
        <v>74.5</v>
      </c>
      <c r="Q78" s="9"/>
      <c r="R78" s="9" t="s">
        <v>88</v>
      </c>
      <c r="S78" s="12">
        <f>S49*S64*S$73*$AG64</f>
        <v>0</v>
      </c>
      <c r="T78" s="12">
        <f>T49*T64*T$73*$AG64</f>
        <v>0</v>
      </c>
      <c r="U78" s="12">
        <f>U49*U64*U$73*$AG64</f>
        <v>0</v>
      </c>
      <c r="V78" s="12">
        <f>V49*V64*V$73*$AG64</f>
        <v>0</v>
      </c>
      <c r="W78" s="12">
        <f>W49*W64*W$73*$AG64</f>
        <v>0</v>
      </c>
      <c r="X78" s="12">
        <f>X49*X64*X$73*$AG64</f>
        <v>0</v>
      </c>
      <c r="Y78" s="12">
        <f>Y49*Y64*Y$73*$AG64</f>
        <v>0</v>
      </c>
      <c r="Z78" s="12">
        <f>Z49*Z64*Z$73*$AG64</f>
        <v>0</v>
      </c>
      <c r="AA78" s="12">
        <f>AA49*AA64*AA$73*$AG64</f>
        <v>0</v>
      </c>
      <c r="AB78" s="12">
        <f>AB49*AB64*AB$73*$AG64</f>
        <v>0</v>
      </c>
      <c r="AC78" s="12">
        <f>AC49*AC64*AC$73*$AG64</f>
        <v>0</v>
      </c>
      <c r="AD78" s="12">
        <f>AD49*AD64*AD$73*$AG64</f>
        <v>0</v>
      </c>
      <c r="AE78" s="12">
        <f>AE49*AE64*AE$73*$AG64</f>
        <v>0</v>
      </c>
      <c r="AF78" s="9"/>
      <c r="AG78" s="9"/>
      <c r="AM78" s="29" t="s">
        <v>220</v>
      </c>
      <c r="AN78" s="29">
        <v>0</v>
      </c>
      <c r="AO78" s="29" t="s">
        <v>327</v>
      </c>
    </row>
    <row r="79" spans="1:41" x14ac:dyDescent="0.3">
      <c r="A79" s="29" t="s">
        <v>220</v>
      </c>
      <c r="B79" s="29"/>
      <c r="C79" s="29"/>
      <c r="D79" s="29"/>
      <c r="E79" s="29" t="s">
        <v>221</v>
      </c>
      <c r="F79" s="29" t="s">
        <v>111</v>
      </c>
      <c r="G79" s="29" t="s">
        <v>329</v>
      </c>
      <c r="H79" s="29" t="s">
        <v>112</v>
      </c>
      <c r="I79" s="29" t="s">
        <v>113</v>
      </c>
      <c r="K79">
        <v>308.44400000000002</v>
      </c>
      <c r="L79" s="27" t="b">
        <f>IF(FrzPt!B79&gt;0.0001, K79, FALSE)</f>
        <v>0</v>
      </c>
      <c r="M79">
        <v>-139</v>
      </c>
      <c r="Q79" s="9"/>
      <c r="R79" s="9" t="s">
        <v>89</v>
      </c>
      <c r="S79" s="12">
        <f>S50*S65*S$73*$AG65</f>
        <v>0</v>
      </c>
      <c r="T79" s="12">
        <f>T50*T65*T$73*$AG65</f>
        <v>0</v>
      </c>
      <c r="U79" s="12">
        <f>U50*U65*U$73*$AG65</f>
        <v>0</v>
      </c>
      <c r="V79" s="12">
        <f>V50*V65*V$73*$AG65</f>
        <v>0</v>
      </c>
      <c r="W79" s="12">
        <f>W50*W65*W$73*$AG65</f>
        <v>0</v>
      </c>
      <c r="X79" s="12">
        <f>X50*X65*X$73*$AG65</f>
        <v>0</v>
      </c>
      <c r="Y79" s="12">
        <f>Y50*Y65*Y$73*$AG65</f>
        <v>0</v>
      </c>
      <c r="Z79" s="12">
        <f>Z50*Z65*Z$73*$AG65</f>
        <v>0</v>
      </c>
      <c r="AA79" s="12">
        <f>AA50*AA65*AA$73*$AG65</f>
        <v>0</v>
      </c>
      <c r="AB79" s="12">
        <f>AB50*AB65*AB$73*$AG65</f>
        <v>0</v>
      </c>
      <c r="AC79" s="12">
        <f>AC50*AC65*AC$73*$AG65</f>
        <v>0</v>
      </c>
      <c r="AD79" s="12">
        <f>AD50*AD65*AD$73*$AG65</f>
        <v>0</v>
      </c>
      <c r="AE79" s="12">
        <f>AE50*AE65*AE$73*$AG65</f>
        <v>0</v>
      </c>
      <c r="AF79" s="9"/>
      <c r="AG79" s="9"/>
      <c r="AM79" s="29" t="s">
        <v>220</v>
      </c>
      <c r="AN79" s="29">
        <v>0</v>
      </c>
      <c r="AO79" s="29" t="s">
        <v>329</v>
      </c>
    </row>
    <row r="80" spans="1:41" x14ac:dyDescent="0.3">
      <c r="A80" s="29" t="s">
        <v>220</v>
      </c>
      <c r="B80" s="29"/>
      <c r="C80" s="29"/>
      <c r="D80" s="29"/>
      <c r="E80" s="29" t="s">
        <v>221</v>
      </c>
      <c r="F80" s="29" t="s">
        <v>111</v>
      </c>
      <c r="G80" s="29" t="s">
        <v>331</v>
      </c>
      <c r="H80" s="29" t="s">
        <v>112</v>
      </c>
      <c r="I80" s="29" t="s">
        <v>113</v>
      </c>
      <c r="K80">
        <v>404.06720000000001</v>
      </c>
      <c r="L80" s="27" t="b">
        <f>IF(FrzPt!B80&gt;0.0001, K80, FALSE)</f>
        <v>0</v>
      </c>
      <c r="M80">
        <v>-139</v>
      </c>
      <c r="Q80" s="9"/>
      <c r="R80" s="9" t="s">
        <v>90</v>
      </c>
      <c r="S80" s="12">
        <f>S51*S66*S$73*$AG66</f>
        <v>0</v>
      </c>
      <c r="T80" s="12">
        <f>T51*T66*T$73*$AG66</f>
        <v>0</v>
      </c>
      <c r="U80" s="12">
        <f>U51*U66*U$73*$AG66</f>
        <v>0</v>
      </c>
      <c r="V80" s="12">
        <f>V51*V66*V$73*$AG66</f>
        <v>0</v>
      </c>
      <c r="W80" s="12">
        <f>W51*W66*W$73*$AG66</f>
        <v>0</v>
      </c>
      <c r="X80" s="12">
        <f>X51*X66*X$73*$AG66</f>
        <v>0</v>
      </c>
      <c r="Y80" s="12">
        <f>Y51*Y66*Y$73*$AG66</f>
        <v>0</v>
      </c>
      <c r="Z80" s="12">
        <f>Z51*Z66*Z$73*$AG66</f>
        <v>0</v>
      </c>
      <c r="AA80" s="12">
        <f>AA51*AA66*AA$73*$AG66</f>
        <v>0</v>
      </c>
      <c r="AB80" s="12">
        <f>AB51*AB66*AB$73*$AG66</f>
        <v>0</v>
      </c>
      <c r="AC80" s="12">
        <f>AC51*AC66*AC$73*$AG66</f>
        <v>0</v>
      </c>
      <c r="AD80" s="12">
        <f>AD51*AD66*AD$73*$AG66</f>
        <v>0</v>
      </c>
      <c r="AE80" s="12">
        <f>AE51*AE66*AE$73*$AG66</f>
        <v>0</v>
      </c>
      <c r="AF80" s="9"/>
      <c r="AG80" s="9"/>
      <c r="AM80" s="29" t="s">
        <v>220</v>
      </c>
      <c r="AN80" s="29">
        <v>0</v>
      </c>
      <c r="AO80" s="29" t="s">
        <v>331</v>
      </c>
    </row>
    <row r="81" spans="1:78" x14ac:dyDescent="0.3">
      <c r="A81" s="29" t="s">
        <v>220</v>
      </c>
      <c r="B81" s="29"/>
      <c r="C81" s="29"/>
      <c r="D81" s="29"/>
      <c r="E81" s="29" t="s">
        <v>221</v>
      </c>
      <c r="F81" s="29" t="s">
        <v>111</v>
      </c>
      <c r="G81" s="29" t="s">
        <v>333</v>
      </c>
      <c r="H81" s="29" t="s">
        <v>112</v>
      </c>
      <c r="I81" s="29" t="s">
        <v>113</v>
      </c>
      <c r="K81">
        <v>464.21600000000001</v>
      </c>
      <c r="L81" s="27" t="b">
        <f>IF(FrzPt!B81&gt;0.0001, K81, FALSE)</f>
        <v>0</v>
      </c>
      <c r="M81">
        <v>-47.2</v>
      </c>
      <c r="Q81" s="9"/>
      <c r="R81" s="9" t="s">
        <v>91</v>
      </c>
      <c r="S81" s="12">
        <f>S52*S67*S$73*$AG67</f>
        <v>0</v>
      </c>
      <c r="T81" s="12">
        <f>T52*T67*T$73*$AG67</f>
        <v>0</v>
      </c>
      <c r="U81" s="12">
        <f>U52*U67*U$73*$AG67</f>
        <v>0</v>
      </c>
      <c r="V81" s="12">
        <f>V52*V67*V$73*$AG67</f>
        <v>0</v>
      </c>
      <c r="W81" s="12">
        <f>W52*W67*W$73*$AG67</f>
        <v>0</v>
      </c>
      <c r="X81" s="12">
        <f>X52*X67*X$73*$AG67</f>
        <v>0</v>
      </c>
      <c r="Y81" s="12">
        <f>Y52*Y67*Y$73*$AG67</f>
        <v>0</v>
      </c>
      <c r="Z81" s="12">
        <f>Z52*Z67*Z$73*$AG67</f>
        <v>0</v>
      </c>
      <c r="AA81" s="12">
        <f>AA52*AA67*AA$73*$AG67</f>
        <v>0</v>
      </c>
      <c r="AB81" s="12">
        <f>AB52*AB67*AB$73*$AG67</f>
        <v>0</v>
      </c>
      <c r="AC81" s="12">
        <f>AC52*AC67*AC$73*$AG67</f>
        <v>0</v>
      </c>
      <c r="AD81" s="12">
        <f>AD52*AD67*AD$73*$AG67</f>
        <v>0</v>
      </c>
      <c r="AE81" s="12">
        <f>AE52*AE67*AE$73*$AG67</f>
        <v>0</v>
      </c>
      <c r="AF81" s="9"/>
      <c r="AG81" s="9"/>
      <c r="AM81" s="29" t="s">
        <v>220</v>
      </c>
      <c r="AN81" s="29">
        <v>0</v>
      </c>
      <c r="AO81" s="29" t="s">
        <v>333</v>
      </c>
    </row>
    <row r="82" spans="1:78" x14ac:dyDescent="0.3">
      <c r="A82" s="29" t="s">
        <v>220</v>
      </c>
      <c r="B82" s="29"/>
      <c r="C82" s="29"/>
      <c r="D82" s="29"/>
      <c r="E82" s="29" t="s">
        <v>221</v>
      </c>
      <c r="F82" s="29" t="s">
        <v>111</v>
      </c>
      <c r="G82" s="29" t="s">
        <v>335</v>
      </c>
      <c r="H82" s="29" t="s">
        <v>112</v>
      </c>
      <c r="I82" s="29" t="s">
        <v>113</v>
      </c>
      <c r="K82">
        <v>428.45179999999999</v>
      </c>
      <c r="L82" s="27" t="b">
        <f>IF(FrzPt!B82&gt;0.0001, K82, FALSE)</f>
        <v>0</v>
      </c>
      <c r="M82">
        <v>150.80000000000001</v>
      </c>
      <c r="Q82" s="9"/>
      <c r="R82" s="9" t="s">
        <v>92</v>
      </c>
      <c r="S82" s="12">
        <f>S53*S68*S$73*$AG68</f>
        <v>0</v>
      </c>
      <c r="T82" s="12">
        <f>T53*T68*T$73*$AG68</f>
        <v>0</v>
      </c>
      <c r="U82" s="12">
        <f>U53*U68*U$73*$AG68</f>
        <v>0</v>
      </c>
      <c r="V82" s="12">
        <f>V53*V68*V$73*$AG68</f>
        <v>0</v>
      </c>
      <c r="W82" s="12">
        <f>W53*W68*W$73*$AG68</f>
        <v>0</v>
      </c>
      <c r="X82" s="12">
        <f>X53*X68*X$73*$AG68</f>
        <v>0</v>
      </c>
      <c r="Y82" s="12">
        <f>Y53*Y68*Y$73*$AG68</f>
        <v>0</v>
      </c>
      <c r="Z82" s="12">
        <f>Z53*Z68*Z$73*$AG68</f>
        <v>0</v>
      </c>
      <c r="AA82" s="12">
        <f>AA53*AA68*AA$73*$AG68</f>
        <v>0</v>
      </c>
      <c r="AB82" s="12">
        <f>AB53*AB68*AB$73*$AG68</f>
        <v>0</v>
      </c>
      <c r="AC82" s="12">
        <f>AC53*AC68*AC$73*$AG68</f>
        <v>0</v>
      </c>
      <c r="AD82" s="12">
        <f>AD53*AD68*AD$73*$AG68</f>
        <v>0</v>
      </c>
      <c r="AE82" s="12">
        <f>AE53*AE68*AE$73*$AG68</f>
        <v>0</v>
      </c>
      <c r="AF82" s="9"/>
      <c r="AG82" s="9"/>
      <c r="AM82" s="29" t="s">
        <v>220</v>
      </c>
      <c r="AN82" s="29">
        <v>0</v>
      </c>
      <c r="AO82" s="29" t="s">
        <v>335</v>
      </c>
    </row>
    <row r="83" spans="1:78" x14ac:dyDescent="0.3">
      <c r="L83" s="27" t="s">
        <v>184</v>
      </c>
      <c r="Q83" s="9"/>
      <c r="R83" s="9" t="s">
        <v>93</v>
      </c>
      <c r="S83" s="12">
        <f>S54*S69*S$73*$AG69</f>
        <v>0</v>
      </c>
      <c r="T83" s="12">
        <f>T54*T69*T$73*$AG69</f>
        <v>0</v>
      </c>
      <c r="U83" s="12">
        <f>U54*U69*U$73*$AG69</f>
        <v>0</v>
      </c>
      <c r="V83" s="12">
        <f>V54*V69*V$73*$AG69</f>
        <v>0</v>
      </c>
      <c r="W83" s="12">
        <f>W54*W69*W$73*$AG69</f>
        <v>0</v>
      </c>
      <c r="X83" s="12">
        <f>X54*X69*X$73*$AG69</f>
        <v>0</v>
      </c>
      <c r="Y83" s="12">
        <f>Y54*Y69*Y$73*$AG69</f>
        <v>0</v>
      </c>
      <c r="Z83" s="12">
        <f>Z54*Z69*Z$73*$AG69</f>
        <v>0</v>
      </c>
      <c r="AA83" s="12">
        <f>AA54*AA69*AA$73*$AG69</f>
        <v>0</v>
      </c>
      <c r="AB83" s="12">
        <f>AB54*AB69*AB$73*$AG69</f>
        <v>0</v>
      </c>
      <c r="AC83" s="12">
        <f>AC54*AC69*AC$73*$AG69</f>
        <v>0</v>
      </c>
      <c r="AD83" s="12">
        <f>AD54*AD69*AD$73*$AG69</f>
        <v>0</v>
      </c>
      <c r="AE83" s="12">
        <f>AE54*AE69*AE$73*$AG69</f>
        <v>0</v>
      </c>
      <c r="AF83" s="9"/>
      <c r="AG83" s="9"/>
    </row>
    <row r="84" spans="1:78" x14ac:dyDescent="0.3">
      <c r="B84" t="e">
        <f>INDEX(G2:G82, MATCH(MAX(B2:B82), B2:B82, 0))</f>
        <v>#N/A</v>
      </c>
      <c r="L84" s="27">
        <f>MIN(L2:L82)</f>
        <v>0</v>
      </c>
      <c r="Q84" s="9"/>
      <c r="R84" s="9" t="s">
        <v>94</v>
      </c>
      <c r="S84" s="12">
        <f>S55*S70*S$73*$AG70</f>
        <v>0</v>
      </c>
      <c r="T84" s="12">
        <f>T55*T70*T$73*$AG70</f>
        <v>0</v>
      </c>
      <c r="U84" s="12">
        <f>U55*U70*U$73*$AG70</f>
        <v>0</v>
      </c>
      <c r="V84" s="12">
        <f>V55*V70*V$73*$AG70</f>
        <v>0</v>
      </c>
      <c r="W84" s="12">
        <f>W55*W70*W$73*$AG70</f>
        <v>0</v>
      </c>
      <c r="X84" s="12">
        <f>X55*X70*X$73*$AG70</f>
        <v>0</v>
      </c>
      <c r="Y84" s="12">
        <f>Y55*Y70*Y$73*$AG70</f>
        <v>0</v>
      </c>
      <c r="Z84" s="12">
        <f>Z55*Z70*Z$73*$AG70</f>
        <v>0</v>
      </c>
      <c r="AA84" s="12">
        <f>AA55*AA70*AA$73*$AG70</f>
        <v>0</v>
      </c>
      <c r="AB84" s="12">
        <f>AB55*AB70*AB$73*$AG70</f>
        <v>0</v>
      </c>
      <c r="AC84" s="12">
        <f>AC55*AC70*AC$73*$AG70</f>
        <v>0</v>
      </c>
      <c r="AD84" s="12">
        <f>AD55*AD70*AD$73*$AG70</f>
        <v>0</v>
      </c>
      <c r="AE84" s="12">
        <f>AE55*AE70*AE$73*$AG70</f>
        <v>0</v>
      </c>
      <c r="AF84" s="9"/>
      <c r="AG84" s="9"/>
      <c r="AN84" s="27" t="s">
        <v>63</v>
      </c>
    </row>
    <row r="85" spans="1:78" x14ac:dyDescent="0.3">
      <c r="Q85" s="9"/>
      <c r="R85" s="9" t="s">
        <v>95</v>
      </c>
      <c r="S85" s="12">
        <f>S56*S71*S$73*$AG71</f>
        <v>0</v>
      </c>
      <c r="T85" s="12">
        <f>T56*T71*T$73*$AG71</f>
        <v>0</v>
      </c>
      <c r="U85" s="12">
        <f>U56*U71*U$73*$AG71</f>
        <v>0</v>
      </c>
      <c r="V85" s="12">
        <f>V56*V71*V$73*$AG71</f>
        <v>0</v>
      </c>
      <c r="W85" s="12">
        <f>W56*W71*W$73*$AG71</f>
        <v>0</v>
      </c>
      <c r="X85" s="12">
        <f>X56*X71*X$73*$AG71</f>
        <v>0</v>
      </c>
      <c r="Y85" s="12">
        <f>Y56*Y71*Y$73*$AG71</f>
        <v>0</v>
      </c>
      <c r="Z85" s="12">
        <f>Z56*Z71*Z$73*$AG71</f>
        <v>0</v>
      </c>
      <c r="AA85" s="12">
        <f>AA56*AA71*AA$73*$AG71</f>
        <v>0</v>
      </c>
      <c r="AB85" s="12">
        <f>AB56*AB71*AB$73*$AG71</f>
        <v>0</v>
      </c>
      <c r="AC85" s="12">
        <f>AC56*AC71*AC$73*$AG71</f>
        <v>0</v>
      </c>
      <c r="AD85" s="12">
        <f>AD56*AD71*AD$73*$AG71</f>
        <v>0</v>
      </c>
      <c r="AE85" s="12">
        <f>AE56*AE71*AE$73*$AG71</f>
        <v>0</v>
      </c>
      <c r="AF85" s="9"/>
      <c r="AG85" s="9"/>
    </row>
    <row r="87" spans="1:78" x14ac:dyDescent="0.3">
      <c r="Q87" s="9" t="s">
        <v>98</v>
      </c>
      <c r="R87" s="9"/>
      <c r="S87" s="9" t="e">
        <f>SUM(S76:AE85)/S58</f>
        <v>#DIV/0!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92" spans="1:78" x14ac:dyDescent="0.3">
      <c r="K92" s="27">
        <v>212</v>
      </c>
      <c r="L92" s="27">
        <v>-422.96799999999899</v>
      </c>
      <c r="M92" s="27">
        <v>-297.33159999999901</v>
      </c>
      <c r="N92" s="27">
        <v>-320.45079999999899</v>
      </c>
      <c r="O92" s="27">
        <v>-302.56599999999901</v>
      </c>
      <c r="P92" s="27">
        <v>-312.60999999999899</v>
      </c>
      <c r="Q92" s="27">
        <v>-109.21</v>
      </c>
      <c r="R92" s="27">
        <v>-258.66399999999902</v>
      </c>
      <c r="S92" s="27">
        <v>-127.444</v>
      </c>
      <c r="T92" s="27">
        <v>-43.797999999999597</v>
      </c>
      <c r="U92" s="27">
        <v>31.1180000000004</v>
      </c>
      <c r="V92" s="27">
        <v>-154.731999999999</v>
      </c>
      <c r="W92" s="27">
        <v>-53.859999999999602</v>
      </c>
      <c r="X92" s="27">
        <v>20.768000000000399</v>
      </c>
      <c r="Y92" s="27">
        <v>13.9640000000004</v>
      </c>
      <c r="Z92" s="27">
        <v>69.800000000000196</v>
      </c>
      <c r="AA92" s="27">
        <v>341.42</v>
      </c>
      <c r="AB92" s="27">
        <v>544.73</v>
      </c>
      <c r="AC92" s="27">
        <v>293.89999999999998</v>
      </c>
      <c r="AD92" s="27">
        <v>546.89</v>
      </c>
      <c r="AE92" s="27">
        <v>510.8</v>
      </c>
      <c r="AF92" s="27">
        <v>704.93</v>
      </c>
      <c r="AG92" s="27">
        <v>1160.33</v>
      </c>
      <c r="AH92" s="27">
        <v>701.33</v>
      </c>
      <c r="AI92" s="27">
        <v>742.73</v>
      </c>
      <c r="AJ92" s="27">
        <v>545.28800000000001</v>
      </c>
      <c r="AK92" s="27">
        <v>1198.4000000000001</v>
      </c>
      <c r="AL92" s="27">
        <v>1172.4000000000001</v>
      </c>
      <c r="AM92" s="27">
        <v>338.99</v>
      </c>
      <c r="AN92" s="27">
        <v>628.62620000000004</v>
      </c>
      <c r="AO92" s="27">
        <v>832.41319999999996</v>
      </c>
      <c r="AP92" s="27"/>
      <c r="AQ92" s="27">
        <v>4046.09</v>
      </c>
      <c r="AR92" s="27">
        <v>4046.09</v>
      </c>
      <c r="AS92" s="27">
        <v>325.88600000000002</v>
      </c>
      <c r="AT92" s="27">
        <v>369.68</v>
      </c>
      <c r="AU92" s="27">
        <v>360.71600000000001</v>
      </c>
      <c r="AV92" s="27">
        <v>650.92999999999995</v>
      </c>
      <c r="AW92" s="27">
        <v>814.55</v>
      </c>
      <c r="AX92" s="27">
        <v>155.678</v>
      </c>
      <c r="AY92" s="27">
        <v>421.34</v>
      </c>
      <c r="AZ92" s="27">
        <v>197.33</v>
      </c>
      <c r="BA92" s="27">
        <v>330.26</v>
      </c>
      <c r="BB92" s="27">
        <v>218.24600000000001</v>
      </c>
      <c r="BC92" s="27">
        <v>250.7396</v>
      </c>
      <c r="BD92" s="27">
        <v>177.29599999999999</v>
      </c>
      <c r="BE92" s="27">
        <v>357.76580000000001</v>
      </c>
      <c r="BF92" s="27">
        <v>462.27199999999999</v>
      </c>
      <c r="BG92" s="27">
        <v>397.91300000000001</v>
      </c>
      <c r="BH92" s="27">
        <v>291.72199999999998</v>
      </c>
      <c r="BI92" s="27">
        <v>378.14</v>
      </c>
      <c r="BJ92" s="27">
        <v>670.91</v>
      </c>
      <c r="BK92" s="27">
        <v>742.64</v>
      </c>
      <c r="BL92" s="27">
        <v>536.9</v>
      </c>
      <c r="BM92" s="27">
        <v>352.346</v>
      </c>
      <c r="BN92" s="27">
        <v>456.53</v>
      </c>
      <c r="BO92" s="27">
        <v>590.44100000000003</v>
      </c>
      <c r="BP92" s="27">
        <v>505.4</v>
      </c>
      <c r="BQ92" s="27">
        <v>633.20000000000005</v>
      </c>
      <c r="BR92" s="27">
        <v>450.5</v>
      </c>
      <c r="BS92" s="27">
        <v>99.194000000000401</v>
      </c>
      <c r="BT92" s="27">
        <v>96.9080000000003</v>
      </c>
      <c r="BU92" s="27">
        <v>-76.629999999999498</v>
      </c>
      <c r="BV92" s="27">
        <v>1100.7392</v>
      </c>
      <c r="BW92" s="27">
        <v>666.41</v>
      </c>
      <c r="BX92" s="27">
        <v>213.68119999999999</v>
      </c>
      <c r="BY92" s="27">
        <v>303.36799999999999</v>
      </c>
      <c r="BZ92" s="27">
        <v>258.11599999999999</v>
      </c>
    </row>
  </sheetData>
  <phoneticPr fontId="2" type="noConversion"/>
  <conditionalFormatting sqref="B2:B82">
    <cfRule type="colorScale" priority="2">
      <colorScale>
        <cfvo type="min"/>
        <cfvo type="max"/>
        <color rgb="FFFFEF9C"/>
        <color rgb="FF63BE7B"/>
      </colorScale>
    </cfRule>
  </conditionalFormatting>
  <conditionalFormatting sqref="AN2:AN8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DAF4-0027-4105-916D-DC76771C5C15}">
  <dimension ref="A1:W84"/>
  <sheetViews>
    <sheetView topLeftCell="A22" zoomScaleNormal="100" workbookViewId="0">
      <selection activeCell="T3" sqref="T3"/>
    </sheetView>
  </sheetViews>
  <sheetFormatPr defaultRowHeight="16.5" x14ac:dyDescent="0.3"/>
  <cols>
    <col min="11" max="11" width="9" style="27"/>
  </cols>
  <sheetData>
    <row r="1" spans="1:23" ht="33" x14ac:dyDescent="0.3">
      <c r="A1" s="25" t="s">
        <v>100</v>
      </c>
      <c r="B1" s="25" t="s">
        <v>101</v>
      </c>
      <c r="C1" s="25" t="s">
        <v>102</v>
      </c>
      <c r="D1" s="25" t="s">
        <v>103</v>
      </c>
      <c r="E1" s="25" t="s">
        <v>104</v>
      </c>
      <c r="F1" s="25" t="s">
        <v>105</v>
      </c>
      <c r="G1" s="25" t="s">
        <v>106</v>
      </c>
      <c r="H1" s="25" t="s">
        <v>107</v>
      </c>
      <c r="I1" s="25" t="s">
        <v>108</v>
      </c>
      <c r="K1" s="25" t="s">
        <v>183</v>
      </c>
      <c r="O1" s="25" t="s">
        <v>100</v>
      </c>
      <c r="P1" s="25" t="s">
        <v>101</v>
      </c>
      <c r="Q1" s="25" t="s">
        <v>102</v>
      </c>
      <c r="R1" s="25" t="s">
        <v>103</v>
      </c>
      <c r="S1" s="25" t="s">
        <v>104</v>
      </c>
      <c r="T1" s="25" t="s">
        <v>105</v>
      </c>
      <c r="U1" s="25" t="s">
        <v>106</v>
      </c>
      <c r="V1" s="25" t="s">
        <v>107</v>
      </c>
      <c r="W1" s="25" t="s">
        <v>108</v>
      </c>
    </row>
    <row r="2" spans="1:23" x14ac:dyDescent="0.3">
      <c r="A2" t="s">
        <v>363</v>
      </c>
      <c r="E2" t="s">
        <v>221</v>
      </c>
      <c r="F2" t="s">
        <v>111</v>
      </c>
      <c r="G2" t="s">
        <v>222</v>
      </c>
      <c r="H2" t="s">
        <v>364</v>
      </c>
      <c r="I2" t="s">
        <v>113</v>
      </c>
      <c r="K2" s="27">
        <v>212</v>
      </c>
      <c r="L2" t="b">
        <f>IF(B2&gt;0.0001, K2, FALSE)</f>
        <v>0</v>
      </c>
      <c r="O2" t="s">
        <v>370</v>
      </c>
      <c r="S2" t="s">
        <v>292</v>
      </c>
      <c r="T2" t="s">
        <v>371</v>
      </c>
      <c r="U2" t="s">
        <v>111</v>
      </c>
      <c r="V2" t="s">
        <v>372</v>
      </c>
      <c r="W2" t="s">
        <v>113</v>
      </c>
    </row>
    <row r="3" spans="1:23" x14ac:dyDescent="0.3">
      <c r="A3" t="s">
        <v>363</v>
      </c>
      <c r="E3" t="s">
        <v>221</v>
      </c>
      <c r="F3" t="s">
        <v>111</v>
      </c>
      <c r="G3" t="s">
        <v>223</v>
      </c>
      <c r="H3" t="s">
        <v>364</v>
      </c>
      <c r="I3" t="s">
        <v>113</v>
      </c>
      <c r="K3" s="27">
        <v>-422.96799999999899</v>
      </c>
      <c r="L3" s="27" t="b">
        <f>IF(B3&gt;0.0001, K3, FALSE)</f>
        <v>0</v>
      </c>
      <c r="O3" t="s">
        <v>370</v>
      </c>
      <c r="S3" t="s">
        <v>292</v>
      </c>
      <c r="T3" t="s">
        <v>373</v>
      </c>
      <c r="U3" t="s">
        <v>111</v>
      </c>
      <c r="V3" t="s">
        <v>372</v>
      </c>
      <c r="W3" t="s">
        <v>113</v>
      </c>
    </row>
    <row r="4" spans="1:23" x14ac:dyDescent="0.3">
      <c r="A4" t="s">
        <v>363</v>
      </c>
      <c r="E4" t="s">
        <v>221</v>
      </c>
      <c r="F4" t="s">
        <v>111</v>
      </c>
      <c r="G4" t="s">
        <v>224</v>
      </c>
      <c r="H4" t="s">
        <v>364</v>
      </c>
      <c r="I4" t="s">
        <v>113</v>
      </c>
      <c r="K4" s="27">
        <v>-297.33159999999901</v>
      </c>
      <c r="L4" s="27" t="b">
        <f>IF(B4&gt;0.0001, K4, FALSE)</f>
        <v>0</v>
      </c>
      <c r="O4" t="s">
        <v>374</v>
      </c>
      <c r="S4" t="s">
        <v>292</v>
      </c>
      <c r="T4" t="s">
        <v>373</v>
      </c>
      <c r="U4" t="s">
        <v>111</v>
      </c>
      <c r="V4" t="s">
        <v>364</v>
      </c>
      <c r="W4" t="s">
        <v>113</v>
      </c>
    </row>
    <row r="5" spans="1:23" x14ac:dyDescent="0.3">
      <c r="A5" t="s">
        <v>363</v>
      </c>
      <c r="E5" t="s">
        <v>221</v>
      </c>
      <c r="F5" t="s">
        <v>111</v>
      </c>
      <c r="G5" t="s">
        <v>225</v>
      </c>
      <c r="H5" t="s">
        <v>364</v>
      </c>
      <c r="I5" t="s">
        <v>113</v>
      </c>
      <c r="K5" s="27">
        <v>-320.45079999999899</v>
      </c>
      <c r="L5" s="27" t="b">
        <f>IF(B5&gt;0.0001, K5, FALSE)</f>
        <v>0</v>
      </c>
    </row>
    <row r="6" spans="1:23" x14ac:dyDescent="0.3">
      <c r="A6" t="s">
        <v>363</v>
      </c>
      <c r="E6" t="s">
        <v>221</v>
      </c>
      <c r="F6" t="s">
        <v>111</v>
      </c>
      <c r="G6" t="s">
        <v>226</v>
      </c>
      <c r="H6" t="s">
        <v>364</v>
      </c>
      <c r="I6" t="s">
        <v>113</v>
      </c>
      <c r="K6" s="27">
        <v>-302.56599999999901</v>
      </c>
      <c r="L6" s="27" t="b">
        <f>IF(B6&gt;0.0001, K6, FALSE)</f>
        <v>0</v>
      </c>
    </row>
    <row r="7" spans="1:23" x14ac:dyDescent="0.3">
      <c r="A7" t="s">
        <v>363</v>
      </c>
      <c r="E7" t="s">
        <v>221</v>
      </c>
      <c r="F7" t="s">
        <v>111</v>
      </c>
      <c r="G7" t="s">
        <v>227</v>
      </c>
      <c r="H7" t="s">
        <v>364</v>
      </c>
      <c r="I7" t="s">
        <v>113</v>
      </c>
      <c r="K7" s="27">
        <v>-312.60999999999899</v>
      </c>
      <c r="L7" s="27" t="b">
        <f>IF(B7&gt;0.0001, K7, FALSE)</f>
        <v>0</v>
      </c>
    </row>
    <row r="8" spans="1:23" x14ac:dyDescent="0.3">
      <c r="A8" t="s">
        <v>363</v>
      </c>
      <c r="E8" t="s">
        <v>221</v>
      </c>
      <c r="F8" t="s">
        <v>111</v>
      </c>
      <c r="G8" t="s">
        <v>228</v>
      </c>
      <c r="H8" t="s">
        <v>364</v>
      </c>
      <c r="I8" t="s">
        <v>113</v>
      </c>
      <c r="K8" s="27">
        <v>-109.21</v>
      </c>
      <c r="L8" s="27" t="b">
        <f>IF(B8&gt;0.0001, K8, FALSE)</f>
        <v>0</v>
      </c>
    </row>
    <row r="9" spans="1:23" x14ac:dyDescent="0.3">
      <c r="A9" t="s">
        <v>363</v>
      </c>
      <c r="E9" t="s">
        <v>221</v>
      </c>
      <c r="F9" t="s">
        <v>111</v>
      </c>
      <c r="G9" t="s">
        <v>229</v>
      </c>
      <c r="H9" t="s">
        <v>364</v>
      </c>
      <c r="I9" t="s">
        <v>113</v>
      </c>
      <c r="K9" s="27">
        <v>-258.66399999999902</v>
      </c>
      <c r="L9" s="27" t="b">
        <f>IF(B9&gt;0.0001, K9, FALSE)</f>
        <v>0</v>
      </c>
    </row>
    <row r="10" spans="1:23" x14ac:dyDescent="0.3">
      <c r="A10" t="s">
        <v>363</v>
      </c>
      <c r="E10" t="s">
        <v>221</v>
      </c>
      <c r="F10" t="s">
        <v>111</v>
      </c>
      <c r="G10" t="s">
        <v>230</v>
      </c>
      <c r="H10" t="s">
        <v>364</v>
      </c>
      <c r="I10" t="s">
        <v>113</v>
      </c>
      <c r="K10" s="27">
        <v>-127.444</v>
      </c>
      <c r="L10" s="27" t="b">
        <f>IF(B10&gt;0.0001, K10, FALSE)</f>
        <v>0</v>
      </c>
    </row>
    <row r="11" spans="1:23" x14ac:dyDescent="0.3">
      <c r="A11" t="s">
        <v>363</v>
      </c>
      <c r="E11" t="s">
        <v>221</v>
      </c>
      <c r="F11" t="s">
        <v>111</v>
      </c>
      <c r="G11" t="s">
        <v>231</v>
      </c>
      <c r="H11" t="s">
        <v>364</v>
      </c>
      <c r="I11" t="s">
        <v>113</v>
      </c>
      <c r="K11" s="27">
        <v>-43.797999999999597</v>
      </c>
      <c r="L11" s="27" t="b">
        <f>IF(B11&gt;0.0001, K11, FALSE)</f>
        <v>0</v>
      </c>
    </row>
    <row r="12" spans="1:23" x14ac:dyDescent="0.3">
      <c r="A12" t="s">
        <v>363</v>
      </c>
      <c r="E12" t="s">
        <v>221</v>
      </c>
      <c r="F12" t="s">
        <v>111</v>
      </c>
      <c r="G12" t="s">
        <v>232</v>
      </c>
      <c r="H12" t="s">
        <v>364</v>
      </c>
      <c r="I12" t="s">
        <v>113</v>
      </c>
      <c r="K12" s="27">
        <v>31.1180000000004</v>
      </c>
      <c r="L12" s="27" t="b">
        <f>IF(B12&gt;0.0001, K12, FALSE)</f>
        <v>0</v>
      </c>
    </row>
    <row r="13" spans="1:23" x14ac:dyDescent="0.3">
      <c r="A13" t="s">
        <v>363</v>
      </c>
      <c r="E13" t="s">
        <v>221</v>
      </c>
      <c r="F13" t="s">
        <v>111</v>
      </c>
      <c r="G13" t="s">
        <v>233</v>
      </c>
      <c r="H13" t="s">
        <v>364</v>
      </c>
      <c r="I13" t="s">
        <v>113</v>
      </c>
      <c r="K13" s="27">
        <v>-154.731999999999</v>
      </c>
      <c r="L13" s="27" t="b">
        <f>IF(B13&gt;0.0001, K13, FALSE)</f>
        <v>0</v>
      </c>
    </row>
    <row r="14" spans="1:23" x14ac:dyDescent="0.3">
      <c r="A14" t="s">
        <v>363</v>
      </c>
      <c r="E14" t="s">
        <v>221</v>
      </c>
      <c r="F14" t="s">
        <v>111</v>
      </c>
      <c r="G14" t="s">
        <v>234</v>
      </c>
      <c r="H14" t="s">
        <v>364</v>
      </c>
      <c r="I14" t="s">
        <v>113</v>
      </c>
      <c r="K14" s="27">
        <v>-53.859999999999602</v>
      </c>
      <c r="L14" s="27" t="b">
        <f>IF(B14&gt;0.0001, K14, FALSE)</f>
        <v>0</v>
      </c>
    </row>
    <row r="15" spans="1:23" x14ac:dyDescent="0.3">
      <c r="A15" t="s">
        <v>363</v>
      </c>
      <c r="E15" t="s">
        <v>221</v>
      </c>
      <c r="F15" t="s">
        <v>111</v>
      </c>
      <c r="G15" t="s">
        <v>235</v>
      </c>
      <c r="H15" t="s">
        <v>364</v>
      </c>
      <c r="I15" t="s">
        <v>113</v>
      </c>
      <c r="K15" s="27">
        <v>20.768000000000399</v>
      </c>
      <c r="L15" s="27" t="b">
        <f>IF(B15&gt;0.0001, K15, FALSE)</f>
        <v>0</v>
      </c>
    </row>
    <row r="16" spans="1:23" x14ac:dyDescent="0.3">
      <c r="A16" t="s">
        <v>363</v>
      </c>
      <c r="E16" t="s">
        <v>221</v>
      </c>
      <c r="F16" t="s">
        <v>111</v>
      </c>
      <c r="G16" t="s">
        <v>236</v>
      </c>
      <c r="H16" t="s">
        <v>364</v>
      </c>
      <c r="I16" t="s">
        <v>113</v>
      </c>
      <c r="K16" s="27">
        <v>13.9640000000004</v>
      </c>
      <c r="L16" s="27" t="b">
        <f>IF(B16&gt;0.0001, K16, FALSE)</f>
        <v>0</v>
      </c>
    </row>
    <row r="17" spans="1:12" x14ac:dyDescent="0.3">
      <c r="A17" t="s">
        <v>363</v>
      </c>
      <c r="E17" t="s">
        <v>221</v>
      </c>
      <c r="F17" t="s">
        <v>111</v>
      </c>
      <c r="G17" t="s">
        <v>237</v>
      </c>
      <c r="H17" t="s">
        <v>364</v>
      </c>
      <c r="I17" t="s">
        <v>113</v>
      </c>
      <c r="K17" s="27">
        <v>69.800000000000196</v>
      </c>
      <c r="L17" s="27" t="b">
        <f>IF(B17&gt;0.0001, K17, FALSE)</f>
        <v>0</v>
      </c>
    </row>
    <row r="18" spans="1:12" x14ac:dyDescent="0.3">
      <c r="A18" t="s">
        <v>363</v>
      </c>
      <c r="E18" t="s">
        <v>221</v>
      </c>
      <c r="F18" t="s">
        <v>111</v>
      </c>
      <c r="G18" t="s">
        <v>238</v>
      </c>
      <c r="H18" t="s">
        <v>364</v>
      </c>
      <c r="I18" t="s">
        <v>113</v>
      </c>
      <c r="K18" s="27">
        <v>341.42</v>
      </c>
      <c r="L18" s="27" t="b">
        <f>IF(B18&gt;0.0001, K18, FALSE)</f>
        <v>0</v>
      </c>
    </row>
    <row r="19" spans="1:12" x14ac:dyDescent="0.3">
      <c r="A19" t="s">
        <v>363</v>
      </c>
      <c r="E19" t="s">
        <v>221</v>
      </c>
      <c r="F19" t="s">
        <v>111</v>
      </c>
      <c r="G19" t="s">
        <v>239</v>
      </c>
      <c r="H19" t="s">
        <v>364</v>
      </c>
      <c r="I19" t="s">
        <v>113</v>
      </c>
      <c r="K19" s="27">
        <v>544.73</v>
      </c>
      <c r="L19" s="27" t="b">
        <f>IF(B19&gt;0.0001, K19, FALSE)</f>
        <v>0</v>
      </c>
    </row>
    <row r="20" spans="1:12" x14ac:dyDescent="0.3">
      <c r="A20" t="s">
        <v>363</v>
      </c>
      <c r="E20" t="s">
        <v>221</v>
      </c>
      <c r="F20" t="s">
        <v>111</v>
      </c>
      <c r="G20" t="s">
        <v>240</v>
      </c>
      <c r="H20" t="s">
        <v>364</v>
      </c>
      <c r="I20" t="s">
        <v>113</v>
      </c>
      <c r="K20" s="27">
        <v>293.89999999999998</v>
      </c>
      <c r="L20" s="27" t="b">
        <f>IF(B20&gt;0.0001, K20, FALSE)</f>
        <v>0</v>
      </c>
    </row>
    <row r="21" spans="1:12" x14ac:dyDescent="0.3">
      <c r="A21" t="s">
        <v>363</v>
      </c>
      <c r="E21" t="s">
        <v>221</v>
      </c>
      <c r="F21" t="s">
        <v>111</v>
      </c>
      <c r="G21" t="s">
        <v>241</v>
      </c>
      <c r="H21" t="s">
        <v>364</v>
      </c>
      <c r="I21" t="s">
        <v>113</v>
      </c>
      <c r="K21" s="27">
        <v>546.89</v>
      </c>
      <c r="L21" s="27" t="b">
        <f>IF(B21&gt;0.0001, K21, FALSE)</f>
        <v>0</v>
      </c>
    </row>
    <row r="22" spans="1:12" x14ac:dyDescent="0.3">
      <c r="A22" t="s">
        <v>363</v>
      </c>
      <c r="E22" t="s">
        <v>221</v>
      </c>
      <c r="F22" t="s">
        <v>111</v>
      </c>
      <c r="G22" t="s">
        <v>242</v>
      </c>
      <c r="H22" t="s">
        <v>364</v>
      </c>
      <c r="I22" t="s">
        <v>113</v>
      </c>
      <c r="K22" s="27">
        <v>510.8</v>
      </c>
      <c r="L22" s="27" t="b">
        <f>IF(B22&gt;0.0001, K22, FALSE)</f>
        <v>0</v>
      </c>
    </row>
    <row r="23" spans="1:12" x14ac:dyDescent="0.3">
      <c r="A23" t="s">
        <v>363</v>
      </c>
      <c r="E23" t="s">
        <v>221</v>
      </c>
      <c r="F23" t="s">
        <v>111</v>
      </c>
      <c r="G23" t="s">
        <v>243</v>
      </c>
      <c r="H23" t="s">
        <v>364</v>
      </c>
      <c r="I23" t="s">
        <v>113</v>
      </c>
      <c r="K23" s="27">
        <v>704.93</v>
      </c>
      <c r="L23" s="27" t="b">
        <f>IF(B23&gt;0.0001, K23, FALSE)</f>
        <v>0</v>
      </c>
    </row>
    <row r="24" spans="1:12" x14ac:dyDescent="0.3">
      <c r="A24" t="s">
        <v>363</v>
      </c>
      <c r="E24" t="s">
        <v>221</v>
      </c>
      <c r="F24" t="s">
        <v>111</v>
      </c>
      <c r="G24" t="s">
        <v>244</v>
      </c>
      <c r="H24" t="s">
        <v>364</v>
      </c>
      <c r="I24" t="s">
        <v>113</v>
      </c>
      <c r="K24" s="27">
        <v>1160.33</v>
      </c>
      <c r="L24" s="27" t="b">
        <f>IF(B24&gt;0.0001, K24, FALSE)</f>
        <v>0</v>
      </c>
    </row>
    <row r="25" spans="1:12" x14ac:dyDescent="0.3">
      <c r="A25" t="s">
        <v>363</v>
      </c>
      <c r="E25" t="s">
        <v>221</v>
      </c>
      <c r="F25" t="s">
        <v>111</v>
      </c>
      <c r="G25" t="s">
        <v>245</v>
      </c>
      <c r="H25" t="s">
        <v>364</v>
      </c>
      <c r="I25" t="s">
        <v>113</v>
      </c>
      <c r="K25" s="27">
        <v>701.33</v>
      </c>
      <c r="L25" s="27" t="b">
        <f>IF(B25&gt;0.0001, K25, FALSE)</f>
        <v>0</v>
      </c>
    </row>
    <row r="26" spans="1:12" x14ac:dyDescent="0.3">
      <c r="A26" t="s">
        <v>363</v>
      </c>
      <c r="E26" t="s">
        <v>221</v>
      </c>
      <c r="F26" t="s">
        <v>111</v>
      </c>
      <c r="G26" t="s">
        <v>246</v>
      </c>
      <c r="H26" t="s">
        <v>364</v>
      </c>
      <c r="I26" t="s">
        <v>113</v>
      </c>
      <c r="K26" s="27">
        <v>742.73</v>
      </c>
      <c r="L26" s="27" t="b">
        <f>IF(B26&gt;0.0001, K26, FALSE)</f>
        <v>0</v>
      </c>
    </row>
    <row r="27" spans="1:12" x14ac:dyDescent="0.3">
      <c r="A27" t="s">
        <v>363</v>
      </c>
      <c r="E27" t="s">
        <v>221</v>
      </c>
      <c r="F27" t="s">
        <v>111</v>
      </c>
      <c r="G27" t="s">
        <v>247</v>
      </c>
      <c r="H27" t="s">
        <v>364</v>
      </c>
      <c r="I27" t="s">
        <v>113</v>
      </c>
      <c r="K27" s="27">
        <v>545.28800000000001</v>
      </c>
      <c r="L27" s="27" t="b">
        <f>IF(B27&gt;0.0001, K27, FALSE)</f>
        <v>0</v>
      </c>
    </row>
    <row r="28" spans="1:12" x14ac:dyDescent="0.3">
      <c r="A28" t="s">
        <v>363</v>
      </c>
      <c r="E28" t="s">
        <v>221</v>
      </c>
      <c r="F28" t="s">
        <v>111</v>
      </c>
      <c r="G28" t="s">
        <v>248</v>
      </c>
      <c r="H28" t="s">
        <v>364</v>
      </c>
      <c r="I28" t="s">
        <v>113</v>
      </c>
      <c r="K28" s="27">
        <v>1198.4000000000001</v>
      </c>
      <c r="L28" s="27" t="b">
        <f>IF(B28&gt;0.0001, K28, FALSE)</f>
        <v>0</v>
      </c>
    </row>
    <row r="29" spans="1:12" x14ac:dyDescent="0.3">
      <c r="A29" t="s">
        <v>363</v>
      </c>
      <c r="E29" t="s">
        <v>221</v>
      </c>
      <c r="F29" t="s">
        <v>111</v>
      </c>
      <c r="G29" t="s">
        <v>249</v>
      </c>
      <c r="H29" t="s">
        <v>364</v>
      </c>
      <c r="I29" t="s">
        <v>113</v>
      </c>
      <c r="K29" s="27">
        <v>1172.4000000000001</v>
      </c>
      <c r="L29" s="27" t="b">
        <f>IF(B29&gt;0.0001, K29, FALSE)</f>
        <v>0</v>
      </c>
    </row>
    <row r="30" spans="1:12" x14ac:dyDescent="0.3">
      <c r="A30" t="s">
        <v>363</v>
      </c>
      <c r="E30" t="s">
        <v>221</v>
      </c>
      <c r="F30" t="s">
        <v>111</v>
      </c>
      <c r="G30" t="s">
        <v>250</v>
      </c>
      <c r="H30" t="s">
        <v>364</v>
      </c>
      <c r="I30" t="s">
        <v>113</v>
      </c>
      <c r="K30" s="27">
        <v>338.99</v>
      </c>
      <c r="L30" s="27" t="b">
        <f>IF(B30&gt;0.0001, K30, FALSE)</f>
        <v>0</v>
      </c>
    </row>
    <row r="31" spans="1:12" x14ac:dyDescent="0.3">
      <c r="A31" t="s">
        <v>363</v>
      </c>
      <c r="E31" t="s">
        <v>221</v>
      </c>
      <c r="F31" t="s">
        <v>111</v>
      </c>
      <c r="G31" t="s">
        <v>251</v>
      </c>
      <c r="H31" t="s">
        <v>364</v>
      </c>
      <c r="I31" t="s">
        <v>113</v>
      </c>
      <c r="K31" s="27">
        <v>628.62620000000004</v>
      </c>
      <c r="L31" s="27" t="b">
        <f>IF(B31&gt;0.0001, K31, FALSE)</f>
        <v>0</v>
      </c>
    </row>
    <row r="32" spans="1:12" x14ac:dyDescent="0.3">
      <c r="A32" t="s">
        <v>363</v>
      </c>
      <c r="E32" t="s">
        <v>221</v>
      </c>
      <c r="F32" t="s">
        <v>111</v>
      </c>
      <c r="G32" t="s">
        <v>252</v>
      </c>
      <c r="H32" t="s">
        <v>364</v>
      </c>
      <c r="I32" t="s">
        <v>113</v>
      </c>
      <c r="K32" s="27">
        <v>832.41319999999996</v>
      </c>
      <c r="L32" s="27" t="b">
        <f>IF(B32&gt;0.0001, K32, FALSE)</f>
        <v>0</v>
      </c>
    </row>
    <row r="33" spans="1:12" x14ac:dyDescent="0.3">
      <c r="A33" t="s">
        <v>363</v>
      </c>
      <c r="E33" t="s">
        <v>221</v>
      </c>
      <c r="F33" t="s">
        <v>111</v>
      </c>
      <c r="G33" t="s">
        <v>192</v>
      </c>
      <c r="H33" t="s">
        <v>364</v>
      </c>
      <c r="I33" t="s">
        <v>113</v>
      </c>
      <c r="L33" s="27" t="b">
        <f>IF(B33&gt;0.0001, K33, FALSE)</f>
        <v>0</v>
      </c>
    </row>
    <row r="34" spans="1:12" x14ac:dyDescent="0.3">
      <c r="A34" t="s">
        <v>363</v>
      </c>
      <c r="E34" t="s">
        <v>221</v>
      </c>
      <c r="F34" t="s">
        <v>111</v>
      </c>
      <c r="G34" t="s">
        <v>253</v>
      </c>
      <c r="H34" t="s">
        <v>364</v>
      </c>
      <c r="I34" t="s">
        <v>113</v>
      </c>
      <c r="K34" s="27">
        <v>4046.09</v>
      </c>
      <c r="L34" s="27" t="b">
        <f>IF(B34&gt;0.0001, K34, FALSE)</f>
        <v>0</v>
      </c>
    </row>
    <row r="35" spans="1:12" x14ac:dyDescent="0.3">
      <c r="A35" t="s">
        <v>363</v>
      </c>
      <c r="E35" t="s">
        <v>221</v>
      </c>
      <c r="F35" t="s">
        <v>111</v>
      </c>
      <c r="G35" t="s">
        <v>254</v>
      </c>
      <c r="H35" t="s">
        <v>364</v>
      </c>
      <c r="I35" t="s">
        <v>113</v>
      </c>
      <c r="K35" s="27">
        <v>4046.09</v>
      </c>
      <c r="L35" s="27" t="b">
        <f>IF(B35&gt;0.0001, K35, FALSE)</f>
        <v>0</v>
      </c>
    </row>
    <row r="36" spans="1:12" x14ac:dyDescent="0.3">
      <c r="A36" t="s">
        <v>363</v>
      </c>
      <c r="E36" t="s">
        <v>221</v>
      </c>
      <c r="F36" t="s">
        <v>111</v>
      </c>
      <c r="G36" t="s">
        <v>255</v>
      </c>
      <c r="H36" t="s">
        <v>364</v>
      </c>
      <c r="I36" t="s">
        <v>113</v>
      </c>
      <c r="K36" s="27">
        <v>325.88600000000002</v>
      </c>
      <c r="L36" s="27" t="b">
        <f>IF(B36&gt;0.0001, K36, FALSE)</f>
        <v>0</v>
      </c>
    </row>
    <row r="37" spans="1:12" x14ac:dyDescent="0.3">
      <c r="A37" t="s">
        <v>363</v>
      </c>
      <c r="E37" t="s">
        <v>221</v>
      </c>
      <c r="F37" t="s">
        <v>111</v>
      </c>
      <c r="G37" t="s">
        <v>256</v>
      </c>
      <c r="H37" t="s">
        <v>364</v>
      </c>
      <c r="I37" t="s">
        <v>113</v>
      </c>
      <c r="K37" s="27">
        <v>369.68</v>
      </c>
      <c r="L37" s="27" t="b">
        <f>IF(B37&gt;0.0001, K37, FALSE)</f>
        <v>0</v>
      </c>
    </row>
    <row r="38" spans="1:12" x14ac:dyDescent="0.3">
      <c r="A38" t="s">
        <v>363</v>
      </c>
      <c r="E38" t="s">
        <v>221</v>
      </c>
      <c r="F38" t="s">
        <v>111</v>
      </c>
      <c r="G38" t="s">
        <v>257</v>
      </c>
      <c r="H38" t="s">
        <v>364</v>
      </c>
      <c r="I38" t="s">
        <v>113</v>
      </c>
      <c r="K38" s="27">
        <v>360.71600000000001</v>
      </c>
      <c r="L38" s="27" t="b">
        <f>IF(B38&gt;0.0001, K38, FALSE)</f>
        <v>0</v>
      </c>
    </row>
    <row r="39" spans="1:12" x14ac:dyDescent="0.3">
      <c r="A39" t="s">
        <v>363</v>
      </c>
      <c r="E39" t="s">
        <v>221</v>
      </c>
      <c r="F39" t="s">
        <v>111</v>
      </c>
      <c r="G39" t="s">
        <v>258</v>
      </c>
      <c r="H39" t="s">
        <v>364</v>
      </c>
      <c r="I39" t="s">
        <v>113</v>
      </c>
      <c r="K39" s="27">
        <v>650.92999999999995</v>
      </c>
      <c r="L39" s="27" t="b">
        <f>IF(B39&gt;0.0001, K39, FALSE)</f>
        <v>0</v>
      </c>
    </row>
    <row r="40" spans="1:12" x14ac:dyDescent="0.3">
      <c r="A40" t="s">
        <v>363</v>
      </c>
      <c r="E40" t="s">
        <v>221</v>
      </c>
      <c r="F40" t="s">
        <v>111</v>
      </c>
      <c r="G40" t="s">
        <v>259</v>
      </c>
      <c r="H40" t="s">
        <v>364</v>
      </c>
      <c r="I40" t="s">
        <v>113</v>
      </c>
      <c r="K40" s="27">
        <v>814.55</v>
      </c>
      <c r="L40" s="27" t="b">
        <f>IF(B40&gt;0.0001, K40, FALSE)</f>
        <v>0</v>
      </c>
    </row>
    <row r="41" spans="1:12" x14ac:dyDescent="0.3">
      <c r="A41" t="s">
        <v>363</v>
      </c>
      <c r="E41" t="s">
        <v>221</v>
      </c>
      <c r="F41" t="s">
        <v>111</v>
      </c>
      <c r="G41" t="s">
        <v>260</v>
      </c>
      <c r="H41" t="s">
        <v>364</v>
      </c>
      <c r="I41" t="s">
        <v>113</v>
      </c>
      <c r="K41" s="27">
        <v>155.678</v>
      </c>
      <c r="L41" s="27" t="b">
        <f>IF(B41&gt;0.0001, K41, FALSE)</f>
        <v>0</v>
      </c>
    </row>
    <row r="42" spans="1:12" x14ac:dyDescent="0.3">
      <c r="A42" t="s">
        <v>363</v>
      </c>
      <c r="E42" t="s">
        <v>221</v>
      </c>
      <c r="F42" t="s">
        <v>111</v>
      </c>
      <c r="G42" t="s">
        <v>261</v>
      </c>
      <c r="H42" t="s">
        <v>364</v>
      </c>
      <c r="I42" t="s">
        <v>113</v>
      </c>
      <c r="K42" s="27">
        <v>421.34</v>
      </c>
      <c r="L42" s="27" t="b">
        <f>IF(B42&gt;0.0001, K42, FALSE)</f>
        <v>0</v>
      </c>
    </row>
    <row r="43" spans="1:12" x14ac:dyDescent="0.3">
      <c r="A43" t="s">
        <v>363</v>
      </c>
      <c r="E43" t="s">
        <v>221</v>
      </c>
      <c r="F43" t="s">
        <v>111</v>
      </c>
      <c r="G43" t="s">
        <v>262</v>
      </c>
      <c r="H43" t="s">
        <v>364</v>
      </c>
      <c r="I43" t="s">
        <v>113</v>
      </c>
      <c r="K43" s="27">
        <v>197.33</v>
      </c>
      <c r="L43" s="27" t="b">
        <f>IF(B43&gt;0.0001, K43, FALSE)</f>
        <v>0</v>
      </c>
    </row>
    <row r="44" spans="1:12" x14ac:dyDescent="0.3">
      <c r="A44" t="s">
        <v>363</v>
      </c>
      <c r="E44" t="s">
        <v>221</v>
      </c>
      <c r="F44" t="s">
        <v>111</v>
      </c>
      <c r="G44" t="s">
        <v>263</v>
      </c>
      <c r="H44" t="s">
        <v>364</v>
      </c>
      <c r="I44" t="s">
        <v>113</v>
      </c>
      <c r="K44" s="27">
        <v>330.26</v>
      </c>
      <c r="L44" s="27" t="b">
        <f>IF(B44&gt;0.0001, K44, FALSE)</f>
        <v>0</v>
      </c>
    </row>
    <row r="45" spans="1:12" x14ac:dyDescent="0.3">
      <c r="A45" t="s">
        <v>363</v>
      </c>
      <c r="E45" t="s">
        <v>221</v>
      </c>
      <c r="F45" t="s">
        <v>111</v>
      </c>
      <c r="G45" t="s">
        <v>264</v>
      </c>
      <c r="H45" t="s">
        <v>364</v>
      </c>
      <c r="I45" t="s">
        <v>113</v>
      </c>
      <c r="K45" s="27">
        <v>218.24600000000001</v>
      </c>
      <c r="L45" s="27" t="b">
        <f>IF(B45&gt;0.0001, K45, FALSE)</f>
        <v>0</v>
      </c>
    </row>
    <row r="46" spans="1:12" x14ac:dyDescent="0.3">
      <c r="A46" t="s">
        <v>363</v>
      </c>
      <c r="E46" t="s">
        <v>221</v>
      </c>
      <c r="F46" t="s">
        <v>111</v>
      </c>
      <c r="G46" t="s">
        <v>265</v>
      </c>
      <c r="H46" t="s">
        <v>364</v>
      </c>
      <c r="I46" t="s">
        <v>113</v>
      </c>
      <c r="K46" s="27">
        <v>250.7396</v>
      </c>
      <c r="L46" s="27" t="b">
        <f>IF(B46&gt;0.0001, K46, FALSE)</f>
        <v>0</v>
      </c>
    </row>
    <row r="47" spans="1:12" x14ac:dyDescent="0.3">
      <c r="A47" t="s">
        <v>363</v>
      </c>
      <c r="E47" t="s">
        <v>221</v>
      </c>
      <c r="F47" t="s">
        <v>111</v>
      </c>
      <c r="G47" t="s">
        <v>266</v>
      </c>
      <c r="H47" t="s">
        <v>364</v>
      </c>
      <c r="I47" t="s">
        <v>113</v>
      </c>
      <c r="K47" s="27">
        <v>177.29599999999999</v>
      </c>
      <c r="L47" s="27" t="b">
        <f>IF(B47&gt;0.0001, K47, FALSE)</f>
        <v>0</v>
      </c>
    </row>
    <row r="48" spans="1:12" x14ac:dyDescent="0.3">
      <c r="A48" t="s">
        <v>363</v>
      </c>
      <c r="E48" t="s">
        <v>221</v>
      </c>
      <c r="F48" t="s">
        <v>111</v>
      </c>
      <c r="G48" t="s">
        <v>267</v>
      </c>
      <c r="H48" t="s">
        <v>364</v>
      </c>
      <c r="I48" t="s">
        <v>113</v>
      </c>
      <c r="K48" s="27">
        <v>357.76580000000001</v>
      </c>
      <c r="L48" s="27" t="b">
        <f>IF(B48&gt;0.0001, K48, FALSE)</f>
        <v>0</v>
      </c>
    </row>
    <row r="49" spans="1:12" x14ac:dyDescent="0.3">
      <c r="A49" t="s">
        <v>363</v>
      </c>
      <c r="E49" t="s">
        <v>221</v>
      </c>
      <c r="F49" t="s">
        <v>111</v>
      </c>
      <c r="G49" t="s">
        <v>268</v>
      </c>
      <c r="H49" t="s">
        <v>364</v>
      </c>
      <c r="I49" t="s">
        <v>113</v>
      </c>
      <c r="K49" s="27">
        <v>462.27199999999999</v>
      </c>
      <c r="L49" s="27" t="b">
        <f>IF(B49&gt;0.0001, K49, FALSE)</f>
        <v>0</v>
      </c>
    </row>
    <row r="50" spans="1:12" x14ac:dyDescent="0.3">
      <c r="A50" t="s">
        <v>363</v>
      </c>
      <c r="E50" t="s">
        <v>221</v>
      </c>
      <c r="F50" t="s">
        <v>111</v>
      </c>
      <c r="G50" t="s">
        <v>269</v>
      </c>
      <c r="H50" t="s">
        <v>364</v>
      </c>
      <c r="I50" t="s">
        <v>113</v>
      </c>
      <c r="K50" s="27">
        <v>397.91300000000001</v>
      </c>
      <c r="L50" s="27" t="b">
        <f>IF(B50&gt;0.0001, K50, FALSE)</f>
        <v>0</v>
      </c>
    </row>
    <row r="51" spans="1:12" x14ac:dyDescent="0.3">
      <c r="A51" t="s">
        <v>363</v>
      </c>
      <c r="E51" t="s">
        <v>221</v>
      </c>
      <c r="F51" t="s">
        <v>111</v>
      </c>
      <c r="G51" t="s">
        <v>270</v>
      </c>
      <c r="H51" t="s">
        <v>364</v>
      </c>
      <c r="I51" t="s">
        <v>113</v>
      </c>
      <c r="K51" s="27">
        <v>291.72199999999998</v>
      </c>
      <c r="L51" s="27" t="b">
        <f>IF(B51&gt;0.0001, K51, FALSE)</f>
        <v>0</v>
      </c>
    </row>
    <row r="52" spans="1:12" x14ac:dyDescent="0.3">
      <c r="A52" t="s">
        <v>363</v>
      </c>
      <c r="E52" t="s">
        <v>221</v>
      </c>
      <c r="F52" t="s">
        <v>111</v>
      </c>
      <c r="G52" t="s">
        <v>271</v>
      </c>
      <c r="H52" t="s">
        <v>364</v>
      </c>
      <c r="I52" t="s">
        <v>113</v>
      </c>
      <c r="K52" s="27">
        <v>378.14</v>
      </c>
      <c r="L52" s="27" t="b">
        <f>IF(B52&gt;0.0001, K52, FALSE)</f>
        <v>0</v>
      </c>
    </row>
    <row r="53" spans="1:12" x14ac:dyDescent="0.3">
      <c r="A53" t="s">
        <v>363</v>
      </c>
      <c r="E53" t="s">
        <v>221</v>
      </c>
      <c r="F53" t="s">
        <v>111</v>
      </c>
      <c r="G53" t="s">
        <v>272</v>
      </c>
      <c r="H53" t="s">
        <v>364</v>
      </c>
      <c r="I53" t="s">
        <v>113</v>
      </c>
      <c r="K53" s="27">
        <v>670.91</v>
      </c>
      <c r="L53" s="27" t="b">
        <f>IF(B53&gt;0.0001, K53, FALSE)</f>
        <v>0</v>
      </c>
    </row>
    <row r="54" spans="1:12" x14ac:dyDescent="0.3">
      <c r="A54" t="s">
        <v>363</v>
      </c>
      <c r="E54" t="s">
        <v>221</v>
      </c>
      <c r="F54" t="s">
        <v>111</v>
      </c>
      <c r="G54" t="s">
        <v>273</v>
      </c>
      <c r="H54" t="s">
        <v>364</v>
      </c>
      <c r="I54" t="s">
        <v>113</v>
      </c>
      <c r="K54" s="27">
        <v>742.64</v>
      </c>
      <c r="L54" s="27" t="b">
        <f>IF(B54&gt;0.0001, K54, FALSE)</f>
        <v>0</v>
      </c>
    </row>
    <row r="55" spans="1:12" x14ac:dyDescent="0.3">
      <c r="A55" t="s">
        <v>363</v>
      </c>
      <c r="E55" t="s">
        <v>221</v>
      </c>
      <c r="F55" t="s">
        <v>111</v>
      </c>
      <c r="G55" t="s">
        <v>274</v>
      </c>
      <c r="H55" t="s">
        <v>364</v>
      </c>
      <c r="I55" t="s">
        <v>113</v>
      </c>
      <c r="K55" s="27">
        <v>536.9</v>
      </c>
      <c r="L55" s="27" t="b">
        <f>IF(B55&gt;0.0001, K55, FALSE)</f>
        <v>0</v>
      </c>
    </row>
    <row r="56" spans="1:12" x14ac:dyDescent="0.3">
      <c r="A56" t="s">
        <v>363</v>
      </c>
      <c r="E56" t="s">
        <v>221</v>
      </c>
      <c r="F56" t="s">
        <v>111</v>
      </c>
      <c r="G56" t="s">
        <v>275</v>
      </c>
      <c r="H56" t="s">
        <v>364</v>
      </c>
      <c r="I56" t="s">
        <v>113</v>
      </c>
      <c r="K56" s="27">
        <v>352.346</v>
      </c>
      <c r="L56" s="27" t="b">
        <f>IF(B56&gt;0.0001, K56, FALSE)</f>
        <v>0</v>
      </c>
    </row>
    <row r="57" spans="1:12" x14ac:dyDescent="0.3">
      <c r="A57" t="s">
        <v>363</v>
      </c>
      <c r="E57" t="s">
        <v>221</v>
      </c>
      <c r="F57" t="s">
        <v>111</v>
      </c>
      <c r="G57" t="s">
        <v>276</v>
      </c>
      <c r="H57" t="s">
        <v>364</v>
      </c>
      <c r="I57" t="s">
        <v>113</v>
      </c>
      <c r="K57" s="27">
        <v>456.53</v>
      </c>
      <c r="L57" s="27" t="b">
        <f>IF(B57&gt;0.0001, K57, FALSE)</f>
        <v>0</v>
      </c>
    </row>
    <row r="58" spans="1:12" x14ac:dyDescent="0.3">
      <c r="A58" t="s">
        <v>363</v>
      </c>
      <c r="E58" t="s">
        <v>221</v>
      </c>
      <c r="F58" t="s">
        <v>111</v>
      </c>
      <c r="G58" t="s">
        <v>277</v>
      </c>
      <c r="H58" t="s">
        <v>364</v>
      </c>
      <c r="I58" t="s">
        <v>113</v>
      </c>
      <c r="K58" s="27">
        <v>590.44100000000003</v>
      </c>
      <c r="L58" s="27" t="b">
        <f>IF(B58&gt;0.0001, K58, FALSE)</f>
        <v>0</v>
      </c>
    </row>
    <row r="59" spans="1:12" x14ac:dyDescent="0.3">
      <c r="A59" t="s">
        <v>363</v>
      </c>
      <c r="E59" t="s">
        <v>221</v>
      </c>
      <c r="F59" t="s">
        <v>111</v>
      </c>
      <c r="G59" t="s">
        <v>278</v>
      </c>
      <c r="H59" t="s">
        <v>364</v>
      </c>
      <c r="I59" t="s">
        <v>113</v>
      </c>
      <c r="K59" s="27">
        <v>505.4</v>
      </c>
      <c r="L59" s="27" t="b">
        <f>IF(B59&gt;0.0001, K59, FALSE)</f>
        <v>0</v>
      </c>
    </row>
    <row r="60" spans="1:12" x14ac:dyDescent="0.3">
      <c r="A60" t="s">
        <v>363</v>
      </c>
      <c r="E60" t="s">
        <v>221</v>
      </c>
      <c r="F60" t="s">
        <v>111</v>
      </c>
      <c r="G60" t="s">
        <v>279</v>
      </c>
      <c r="H60" t="s">
        <v>364</v>
      </c>
      <c r="I60" t="s">
        <v>113</v>
      </c>
      <c r="K60" s="27">
        <v>633.20000000000005</v>
      </c>
      <c r="L60" s="27" t="b">
        <f>IF(B60&gt;0.0001, K60, FALSE)</f>
        <v>0</v>
      </c>
    </row>
    <row r="61" spans="1:12" x14ac:dyDescent="0.3">
      <c r="A61" t="s">
        <v>363</v>
      </c>
      <c r="E61" t="s">
        <v>221</v>
      </c>
      <c r="F61" t="s">
        <v>111</v>
      </c>
      <c r="G61" t="s">
        <v>280</v>
      </c>
      <c r="H61" t="s">
        <v>364</v>
      </c>
      <c r="I61" t="s">
        <v>113</v>
      </c>
      <c r="K61" s="27">
        <v>450.5</v>
      </c>
      <c r="L61" s="27" t="b">
        <f>IF(B61&gt;0.0001, K61, FALSE)</f>
        <v>0</v>
      </c>
    </row>
    <row r="62" spans="1:12" x14ac:dyDescent="0.3">
      <c r="A62" t="s">
        <v>363</v>
      </c>
      <c r="E62" t="s">
        <v>221</v>
      </c>
      <c r="F62" t="s">
        <v>111</v>
      </c>
      <c r="G62" t="s">
        <v>281</v>
      </c>
      <c r="H62" t="s">
        <v>364</v>
      </c>
      <c r="I62" t="s">
        <v>113</v>
      </c>
      <c r="K62" s="27">
        <v>99.194000000000401</v>
      </c>
      <c r="L62" s="27" t="b">
        <f>IF(B62&gt;0.0001, K62, FALSE)</f>
        <v>0</v>
      </c>
    </row>
    <row r="63" spans="1:12" x14ac:dyDescent="0.3">
      <c r="A63" t="s">
        <v>363</v>
      </c>
      <c r="E63" t="s">
        <v>221</v>
      </c>
      <c r="F63" t="s">
        <v>111</v>
      </c>
      <c r="G63" t="s">
        <v>282</v>
      </c>
      <c r="H63" t="s">
        <v>364</v>
      </c>
      <c r="I63" t="s">
        <v>113</v>
      </c>
      <c r="K63" s="27">
        <v>96.9080000000003</v>
      </c>
      <c r="L63" s="27" t="b">
        <f>IF(B63&gt;0.0001, K63, FALSE)</f>
        <v>0</v>
      </c>
    </row>
    <row r="64" spans="1:12" x14ac:dyDescent="0.3">
      <c r="A64" t="s">
        <v>363</v>
      </c>
      <c r="E64" t="s">
        <v>221</v>
      </c>
      <c r="F64" t="s">
        <v>111</v>
      </c>
      <c r="G64" t="s">
        <v>283</v>
      </c>
      <c r="H64" t="s">
        <v>364</v>
      </c>
      <c r="I64" t="s">
        <v>113</v>
      </c>
      <c r="K64" s="27">
        <v>-76.629999999999498</v>
      </c>
      <c r="L64" s="27" t="b">
        <f>IF(B64&gt;0.0001, K64, FALSE)</f>
        <v>0</v>
      </c>
    </row>
    <row r="65" spans="1:12" x14ac:dyDescent="0.3">
      <c r="A65" t="s">
        <v>363</v>
      </c>
      <c r="E65" t="s">
        <v>221</v>
      </c>
      <c r="F65" t="s">
        <v>111</v>
      </c>
      <c r="G65" t="s">
        <v>284</v>
      </c>
      <c r="H65" t="s">
        <v>364</v>
      </c>
      <c r="I65" t="s">
        <v>113</v>
      </c>
      <c r="K65" s="27">
        <v>1100.7392</v>
      </c>
      <c r="L65" s="27" t="b">
        <f>IF(B65&gt;0.0001, K65, FALSE)</f>
        <v>0</v>
      </c>
    </row>
    <row r="66" spans="1:12" x14ac:dyDescent="0.3">
      <c r="A66" t="s">
        <v>363</v>
      </c>
      <c r="E66" t="s">
        <v>221</v>
      </c>
      <c r="F66" t="s">
        <v>111</v>
      </c>
      <c r="G66" t="s">
        <v>285</v>
      </c>
      <c r="H66" t="s">
        <v>364</v>
      </c>
      <c r="I66" t="s">
        <v>113</v>
      </c>
      <c r="K66" s="27">
        <v>666.41</v>
      </c>
      <c r="L66" s="27" t="b">
        <f>IF(B66&gt;0.0001, K66, FALSE)</f>
        <v>0</v>
      </c>
    </row>
    <row r="67" spans="1:12" x14ac:dyDescent="0.3">
      <c r="A67" t="s">
        <v>363</v>
      </c>
      <c r="E67" t="s">
        <v>221</v>
      </c>
      <c r="F67" t="s">
        <v>111</v>
      </c>
      <c r="G67" t="s">
        <v>286</v>
      </c>
      <c r="H67" t="s">
        <v>364</v>
      </c>
      <c r="I67" t="s">
        <v>113</v>
      </c>
      <c r="K67" s="27">
        <v>213.68119999999999</v>
      </c>
      <c r="L67" s="27" t="b">
        <f>IF(B67&gt;0.0001, K67, FALSE)</f>
        <v>0</v>
      </c>
    </row>
    <row r="68" spans="1:12" x14ac:dyDescent="0.3">
      <c r="A68" t="s">
        <v>363</v>
      </c>
      <c r="E68" t="s">
        <v>221</v>
      </c>
      <c r="F68" t="s">
        <v>111</v>
      </c>
      <c r="G68" t="s">
        <v>287</v>
      </c>
      <c r="H68" t="s">
        <v>364</v>
      </c>
      <c r="I68" t="s">
        <v>113</v>
      </c>
      <c r="K68" s="27">
        <v>303.36799999999999</v>
      </c>
      <c r="L68" s="27" t="b">
        <f>IF(B68&gt;0.0001, K68, FALSE)</f>
        <v>0</v>
      </c>
    </row>
    <row r="69" spans="1:12" x14ac:dyDescent="0.3">
      <c r="A69" t="s">
        <v>363</v>
      </c>
      <c r="E69" t="s">
        <v>221</v>
      </c>
      <c r="F69" t="s">
        <v>111</v>
      </c>
      <c r="G69" t="s">
        <v>288</v>
      </c>
      <c r="H69" t="s">
        <v>364</v>
      </c>
      <c r="I69" t="s">
        <v>113</v>
      </c>
      <c r="K69" s="27">
        <v>258.11599999999999</v>
      </c>
      <c r="L69" s="27" t="b">
        <f>IF(B69&gt;0.0001, K69, FALSE)</f>
        <v>0</v>
      </c>
    </row>
    <row r="70" spans="1:12" x14ac:dyDescent="0.3">
      <c r="A70" t="s">
        <v>363</v>
      </c>
      <c r="E70" t="s">
        <v>221</v>
      </c>
      <c r="F70" t="s">
        <v>111</v>
      </c>
      <c r="G70" t="s">
        <v>319</v>
      </c>
      <c r="H70" t="s">
        <v>364</v>
      </c>
      <c r="I70" t="s">
        <v>113</v>
      </c>
      <c r="K70" s="27">
        <v>395.56939999999997</v>
      </c>
      <c r="L70" s="27" t="b">
        <f>IF(B70&gt;0.0001, K70, FALSE)</f>
        <v>0</v>
      </c>
    </row>
    <row r="71" spans="1:12" x14ac:dyDescent="0.3">
      <c r="A71" t="s">
        <v>363</v>
      </c>
      <c r="E71" t="s">
        <v>221</v>
      </c>
      <c r="F71" t="s">
        <v>111</v>
      </c>
      <c r="G71" t="s">
        <v>322</v>
      </c>
      <c r="H71" t="s">
        <v>364</v>
      </c>
      <c r="I71" t="s">
        <v>113</v>
      </c>
      <c r="K71" s="27">
        <v>475.952</v>
      </c>
      <c r="L71" s="27" t="b">
        <f>IF(B71&gt;0.0001, K71, FALSE)</f>
        <v>0</v>
      </c>
    </row>
    <row r="72" spans="1:12" x14ac:dyDescent="0.3">
      <c r="A72" t="s">
        <v>363</v>
      </c>
      <c r="E72" t="s">
        <v>221</v>
      </c>
      <c r="F72" t="s">
        <v>111</v>
      </c>
      <c r="G72" t="s">
        <v>323</v>
      </c>
      <c r="H72" t="s">
        <v>364</v>
      </c>
      <c r="I72" t="s">
        <v>113</v>
      </c>
      <c r="K72" s="27">
        <v>501.8</v>
      </c>
      <c r="L72" s="27" t="b">
        <f>IF(B72&gt;0.0001, K72, FALSE)</f>
        <v>0</v>
      </c>
    </row>
    <row r="73" spans="1:12" x14ac:dyDescent="0.3">
      <c r="A73" t="s">
        <v>363</v>
      </c>
      <c r="E73" t="s">
        <v>221</v>
      </c>
      <c r="F73" t="s">
        <v>111</v>
      </c>
      <c r="G73" t="s">
        <v>324</v>
      </c>
      <c r="H73" t="s">
        <v>364</v>
      </c>
      <c r="I73" t="s">
        <v>113</v>
      </c>
      <c r="K73" s="27">
        <v>161.25800000000001</v>
      </c>
      <c r="L73" s="27" t="b">
        <f>IF(B73&gt;0.0001, K73, FALSE)</f>
        <v>0</v>
      </c>
    </row>
    <row r="74" spans="1:12" x14ac:dyDescent="0.3">
      <c r="A74" t="s">
        <v>363</v>
      </c>
      <c r="E74" t="s">
        <v>221</v>
      </c>
      <c r="F74" t="s">
        <v>111</v>
      </c>
      <c r="G74" t="s">
        <v>325</v>
      </c>
      <c r="H74" t="s">
        <v>364</v>
      </c>
      <c r="I74" t="s">
        <v>113</v>
      </c>
      <c r="K74" s="27">
        <v>213.68119999999999</v>
      </c>
      <c r="L74" s="27" t="b">
        <f>IF(B74&gt;0.0001, K74, FALSE)</f>
        <v>0</v>
      </c>
    </row>
    <row r="75" spans="1:12" x14ac:dyDescent="0.3">
      <c r="A75" t="s">
        <v>363</v>
      </c>
      <c r="E75" t="s">
        <v>221</v>
      </c>
      <c r="F75" t="s">
        <v>111</v>
      </c>
      <c r="G75" t="s">
        <v>326</v>
      </c>
      <c r="H75" t="s">
        <v>364</v>
      </c>
      <c r="I75" t="s">
        <v>113</v>
      </c>
      <c r="K75" s="27">
        <v>271.00580000000002</v>
      </c>
      <c r="L75" s="27" t="b">
        <f>IF(B75&gt;0.0001, K75, FALSE)</f>
        <v>0</v>
      </c>
    </row>
    <row r="76" spans="1:12" x14ac:dyDescent="0.3">
      <c r="A76" t="s">
        <v>363</v>
      </c>
      <c r="E76" t="s">
        <v>221</v>
      </c>
      <c r="F76" t="s">
        <v>111</v>
      </c>
      <c r="G76" t="s">
        <v>327</v>
      </c>
      <c r="H76" t="s">
        <v>364</v>
      </c>
      <c r="I76" t="s">
        <v>113</v>
      </c>
      <c r="K76" s="27">
        <v>312.02600000000001</v>
      </c>
      <c r="L76" s="27" t="b">
        <f>IF(B76&gt;0.0001, K76, FALSE)</f>
        <v>0</v>
      </c>
    </row>
    <row r="77" spans="1:12" x14ac:dyDescent="0.3">
      <c r="A77" t="s">
        <v>363</v>
      </c>
      <c r="E77" t="s">
        <v>221</v>
      </c>
      <c r="F77" t="s">
        <v>111</v>
      </c>
      <c r="G77" t="s">
        <v>329</v>
      </c>
      <c r="H77" t="s">
        <v>364</v>
      </c>
      <c r="I77" t="s">
        <v>113</v>
      </c>
      <c r="K77" s="27">
        <v>308.44400000000002</v>
      </c>
      <c r="L77" s="27" t="b">
        <f>IF(B77&gt;0.0001, K77, FALSE)</f>
        <v>0</v>
      </c>
    </row>
    <row r="78" spans="1:12" x14ac:dyDescent="0.3">
      <c r="A78" t="s">
        <v>363</v>
      </c>
      <c r="E78" t="s">
        <v>221</v>
      </c>
      <c r="F78" t="s">
        <v>111</v>
      </c>
      <c r="G78" t="s">
        <v>331</v>
      </c>
      <c r="H78" t="s">
        <v>364</v>
      </c>
      <c r="I78" t="s">
        <v>113</v>
      </c>
      <c r="K78" s="27">
        <v>404.06720000000001</v>
      </c>
      <c r="L78" s="27" t="b">
        <f>IF(B78&gt;0.0001, K78, FALSE)</f>
        <v>0</v>
      </c>
    </row>
    <row r="79" spans="1:12" x14ac:dyDescent="0.3">
      <c r="A79" t="s">
        <v>363</v>
      </c>
      <c r="E79" t="s">
        <v>221</v>
      </c>
      <c r="F79" t="s">
        <v>111</v>
      </c>
      <c r="G79" t="s">
        <v>333</v>
      </c>
      <c r="H79" t="s">
        <v>364</v>
      </c>
      <c r="I79" t="s">
        <v>113</v>
      </c>
      <c r="K79" s="27">
        <v>464.21600000000001</v>
      </c>
      <c r="L79" s="27" t="b">
        <f>IF(B79&gt;0.0001, K79, FALSE)</f>
        <v>0</v>
      </c>
    </row>
    <row r="80" spans="1:12" x14ac:dyDescent="0.3">
      <c r="A80" t="s">
        <v>363</v>
      </c>
      <c r="E80" t="s">
        <v>221</v>
      </c>
      <c r="F80" t="s">
        <v>111</v>
      </c>
      <c r="G80" t="s">
        <v>335</v>
      </c>
      <c r="H80" t="s">
        <v>364</v>
      </c>
      <c r="I80" t="s">
        <v>113</v>
      </c>
      <c r="K80" s="27">
        <v>428.45179999999999</v>
      </c>
      <c r="L80" s="27" t="b">
        <f>IF(B80&gt;0.0001, K80, FALSE)</f>
        <v>0</v>
      </c>
    </row>
    <row r="81" spans="1:12" x14ac:dyDescent="0.3">
      <c r="A81" t="s">
        <v>363</v>
      </c>
      <c r="E81" t="s">
        <v>221</v>
      </c>
      <c r="F81" t="s">
        <v>111</v>
      </c>
      <c r="G81" t="s">
        <v>289</v>
      </c>
      <c r="H81" t="s">
        <v>364</v>
      </c>
      <c r="I81" t="s">
        <v>113</v>
      </c>
      <c r="L81" s="27" t="b">
        <f>IF(B81&gt;0.0001, K81, FALSE)</f>
        <v>0</v>
      </c>
    </row>
    <row r="82" spans="1:12" x14ac:dyDescent="0.3">
      <c r="A82" t="s">
        <v>363</v>
      </c>
      <c r="E82" t="s">
        <v>221</v>
      </c>
      <c r="F82" t="s">
        <v>111</v>
      </c>
      <c r="G82" t="s">
        <v>290</v>
      </c>
      <c r="H82" t="s">
        <v>364</v>
      </c>
      <c r="I82" t="s">
        <v>113</v>
      </c>
      <c r="L82" s="27" t="b">
        <f>IF(B82&gt;0.0001, K82, FALSE)</f>
        <v>0</v>
      </c>
    </row>
    <row r="83" spans="1:12" x14ac:dyDescent="0.3">
      <c r="L83" s="18" t="s">
        <v>342</v>
      </c>
    </row>
    <row r="84" spans="1:12" x14ac:dyDescent="0.3">
      <c r="L84" s="18">
        <f>MIN(L2:L82)</f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A0AC-DEF2-4494-8D7A-4275D5D0D036}">
  <dimension ref="A3:X27"/>
  <sheetViews>
    <sheetView workbookViewId="0">
      <selection activeCell="H26" sqref="H26"/>
    </sheetView>
  </sheetViews>
  <sheetFormatPr defaultRowHeight="16.5" x14ac:dyDescent="0.3"/>
  <cols>
    <col min="1" max="1" width="36.5" bestFit="1" customWidth="1"/>
    <col min="2" max="2" width="14.5" bestFit="1" customWidth="1"/>
    <col min="4" max="4" width="15.625" bestFit="1" customWidth="1"/>
    <col min="12" max="12" width="9.625" bestFit="1" customWidth="1"/>
    <col min="18" max="18" width="13" bestFit="1" customWidth="1"/>
  </cols>
  <sheetData>
    <row r="3" spans="1:9" x14ac:dyDescent="0.3">
      <c r="A3" s="43" t="s">
        <v>0</v>
      </c>
      <c r="B3" s="43"/>
    </row>
    <row r="4" spans="1:9" x14ac:dyDescent="0.3">
      <c r="A4" s="1" t="s">
        <v>1</v>
      </c>
      <c r="B4" s="40">
        <v>428267000</v>
      </c>
      <c r="D4" s="7">
        <f>B4+SUM(R20:R26)</f>
        <v>428267000</v>
      </c>
    </row>
    <row r="5" spans="1:9" x14ac:dyDescent="0.3">
      <c r="A5" s="2" t="s">
        <v>2</v>
      </c>
      <c r="B5" s="2">
        <v>179230000</v>
      </c>
      <c r="D5" s="14">
        <f>B5</f>
        <v>179230000</v>
      </c>
    </row>
    <row r="6" spans="1:9" x14ac:dyDescent="0.3">
      <c r="A6" s="3" t="s">
        <v>3</v>
      </c>
      <c r="B6" s="3">
        <v>79990200</v>
      </c>
      <c r="D6" s="21">
        <f>B6+U22</f>
        <v>79990200</v>
      </c>
    </row>
    <row r="7" spans="1:9" x14ac:dyDescent="0.3">
      <c r="A7" s="4" t="s">
        <v>4</v>
      </c>
      <c r="B7" s="4">
        <v>77023300</v>
      </c>
      <c r="D7" s="14">
        <f>B7</f>
        <v>77023300</v>
      </c>
    </row>
    <row r="8" spans="1:9" x14ac:dyDescent="0.3">
      <c r="A8" s="3" t="s">
        <v>5</v>
      </c>
      <c r="B8" s="3">
        <v>72579300</v>
      </c>
      <c r="D8" s="7">
        <f>B16*8000</f>
        <v>0</v>
      </c>
    </row>
    <row r="9" spans="1:9" x14ac:dyDescent="0.3">
      <c r="A9" s="4" t="s">
        <v>6</v>
      </c>
      <c r="B9" s="4">
        <v>20</v>
      </c>
      <c r="D9" s="14"/>
    </row>
    <row r="10" spans="1:9" x14ac:dyDescent="0.3">
      <c r="A10" s="3" t="s">
        <v>7</v>
      </c>
      <c r="B10" s="3">
        <v>0</v>
      </c>
      <c r="D10" s="14"/>
    </row>
    <row r="11" spans="1:9" x14ac:dyDescent="0.3">
      <c r="A11" s="4" t="s">
        <v>8</v>
      </c>
      <c r="B11" s="4">
        <v>191439500</v>
      </c>
    </row>
    <row r="12" spans="1:9" x14ac:dyDescent="0.3">
      <c r="A12" s="5" t="s">
        <v>9</v>
      </c>
      <c r="B12" s="5">
        <v>224758900</v>
      </c>
    </row>
    <row r="14" spans="1:9" x14ac:dyDescent="0.3">
      <c r="A14" t="s">
        <v>10</v>
      </c>
    </row>
    <row r="15" spans="1:9" ht="33" x14ac:dyDescent="0.3">
      <c r="A15" s="6" t="s">
        <v>100</v>
      </c>
      <c r="B15" s="6" t="s">
        <v>101</v>
      </c>
      <c r="C15" s="6" t="s">
        <v>102</v>
      </c>
      <c r="D15" s="6" t="s">
        <v>103</v>
      </c>
      <c r="E15" s="6" t="s">
        <v>104</v>
      </c>
      <c r="F15" s="6" t="s">
        <v>105</v>
      </c>
      <c r="G15" s="6" t="s">
        <v>106</v>
      </c>
      <c r="H15" s="6" t="s">
        <v>107</v>
      </c>
      <c r="I15" s="6" t="s">
        <v>108</v>
      </c>
    </row>
    <row r="16" spans="1:9" x14ac:dyDescent="0.3">
      <c r="A16" t="s">
        <v>124</v>
      </c>
      <c r="D16" t="s">
        <v>413</v>
      </c>
      <c r="E16" t="s">
        <v>125</v>
      </c>
      <c r="H16" t="s">
        <v>126</v>
      </c>
      <c r="I16" t="s">
        <v>127</v>
      </c>
    </row>
    <row r="18" spans="1:24" x14ac:dyDescent="0.3">
      <c r="L18" s="14" t="s">
        <v>128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66" x14ac:dyDescent="0.3">
      <c r="A19" s="10" t="s">
        <v>100</v>
      </c>
      <c r="B19" s="10" t="s">
        <v>101</v>
      </c>
      <c r="C19" s="10" t="s">
        <v>102</v>
      </c>
      <c r="D19" s="10" t="s">
        <v>103</v>
      </c>
      <c r="E19" s="10" t="s">
        <v>104</v>
      </c>
      <c r="F19" s="10" t="s">
        <v>105</v>
      </c>
      <c r="G19" s="10" t="s">
        <v>106</v>
      </c>
      <c r="H19" s="10" t="s">
        <v>107</v>
      </c>
      <c r="I19" s="10" t="s">
        <v>108</v>
      </c>
      <c r="L19" s="15" t="s">
        <v>129</v>
      </c>
      <c r="M19" s="15" t="s">
        <v>130</v>
      </c>
      <c r="N19" s="15" t="s">
        <v>131</v>
      </c>
      <c r="O19" s="15" t="s">
        <v>132</v>
      </c>
      <c r="P19" s="15"/>
      <c r="Q19" s="15" t="s">
        <v>133</v>
      </c>
      <c r="R19" s="15" t="s">
        <v>134</v>
      </c>
      <c r="S19" s="15"/>
      <c r="T19" s="15" t="s">
        <v>135</v>
      </c>
      <c r="U19" s="15" t="s">
        <v>136</v>
      </c>
      <c r="V19" s="14"/>
      <c r="W19" s="15" t="s">
        <v>137</v>
      </c>
      <c r="X19" s="15" t="s">
        <v>138</v>
      </c>
    </row>
    <row r="20" spans="1:24" x14ac:dyDescent="0.3">
      <c r="A20" t="s">
        <v>114</v>
      </c>
      <c r="E20" t="s">
        <v>115</v>
      </c>
      <c r="F20" t="s">
        <v>111</v>
      </c>
      <c r="H20">
        <v>510</v>
      </c>
      <c r="I20" t="s">
        <v>113</v>
      </c>
      <c r="L20" s="14" t="s">
        <v>139</v>
      </c>
      <c r="M20" s="14" t="s">
        <v>140</v>
      </c>
      <c r="N20" s="14">
        <v>9600</v>
      </c>
      <c r="O20" s="14" t="s">
        <v>99</v>
      </c>
      <c r="P20" s="14"/>
      <c r="Q20" s="15">
        <v>5266304</v>
      </c>
      <c r="R20" s="19">
        <f>Q20*B20/N20</f>
        <v>0</v>
      </c>
      <c r="S20" s="14"/>
      <c r="T20" s="14"/>
      <c r="U20" s="14"/>
      <c r="V20" s="14"/>
      <c r="W20" s="14"/>
      <c r="X20" s="14"/>
    </row>
    <row r="21" spans="1:24" x14ac:dyDescent="0.3">
      <c r="A21" t="s">
        <v>116</v>
      </c>
      <c r="E21" t="s">
        <v>117</v>
      </c>
      <c r="F21" t="s">
        <v>111</v>
      </c>
      <c r="H21">
        <v>200</v>
      </c>
      <c r="I21" t="s">
        <v>113</v>
      </c>
      <c r="L21" s="14" t="s">
        <v>141</v>
      </c>
      <c r="M21" s="14" t="s">
        <v>142</v>
      </c>
      <c r="N21" s="14">
        <v>2058</v>
      </c>
      <c r="O21" s="14" t="s">
        <v>143</v>
      </c>
      <c r="P21" s="14"/>
      <c r="Q21" s="14">
        <v>7020728</v>
      </c>
      <c r="R21" s="19">
        <f>Q21*B21/N21</f>
        <v>0</v>
      </c>
      <c r="S21" s="14"/>
      <c r="T21" s="14"/>
      <c r="U21" s="14"/>
      <c r="V21" s="14"/>
      <c r="W21" s="14"/>
      <c r="X21" s="14"/>
    </row>
    <row r="22" spans="1:24" x14ac:dyDescent="0.3">
      <c r="A22" t="s">
        <v>118</v>
      </c>
      <c r="E22" t="s">
        <v>110</v>
      </c>
      <c r="F22" t="s">
        <v>111</v>
      </c>
      <c r="H22">
        <v>404</v>
      </c>
      <c r="I22" t="s">
        <v>113</v>
      </c>
      <c r="L22" s="14" t="s">
        <v>144</v>
      </c>
      <c r="M22" s="14" t="s">
        <v>145</v>
      </c>
      <c r="N22" s="14">
        <v>24717.514124293783</v>
      </c>
      <c r="O22" s="14" t="s">
        <v>24</v>
      </c>
      <c r="P22" s="14"/>
      <c r="Q22" s="14">
        <v>780993</v>
      </c>
      <c r="R22" s="19">
        <f>Q22*B22/N22</f>
        <v>0</v>
      </c>
      <c r="S22" s="14"/>
      <c r="T22" s="14">
        <v>5078</v>
      </c>
      <c r="U22" s="19">
        <f>T22/N22*B22</f>
        <v>0</v>
      </c>
      <c r="V22" s="14"/>
      <c r="W22" s="14"/>
      <c r="X22" s="14"/>
    </row>
    <row r="23" spans="1:24" x14ac:dyDescent="0.3">
      <c r="A23" t="s">
        <v>119</v>
      </c>
      <c r="E23" t="s">
        <v>115</v>
      </c>
      <c r="F23" t="s">
        <v>111</v>
      </c>
      <c r="H23" t="s">
        <v>120</v>
      </c>
      <c r="I23" t="s">
        <v>113</v>
      </c>
      <c r="L23" s="14" t="s">
        <v>146</v>
      </c>
      <c r="M23" s="14" t="s">
        <v>147</v>
      </c>
      <c r="N23" s="14">
        <v>862853</v>
      </c>
      <c r="O23" s="14" t="s">
        <v>99</v>
      </c>
      <c r="P23" s="14"/>
      <c r="Q23" s="14">
        <v>297930841</v>
      </c>
      <c r="R23" s="19">
        <f>Q23*B23/N23</f>
        <v>0</v>
      </c>
      <c r="S23" s="14"/>
      <c r="T23" s="14"/>
      <c r="U23" s="14"/>
      <c r="V23" s="14"/>
      <c r="W23" s="14"/>
      <c r="X23" s="14"/>
    </row>
    <row r="24" spans="1:24" x14ac:dyDescent="0.3">
      <c r="A24" t="s">
        <v>121</v>
      </c>
      <c r="E24" t="s">
        <v>110</v>
      </c>
      <c r="F24" t="s">
        <v>111</v>
      </c>
      <c r="H24">
        <v>255</v>
      </c>
      <c r="I24" t="s">
        <v>113</v>
      </c>
      <c r="L24" s="14" t="s">
        <v>148</v>
      </c>
      <c r="M24" s="14" t="s">
        <v>149</v>
      </c>
      <c r="N24" s="14">
        <v>35.314999999999998</v>
      </c>
      <c r="O24" s="14" t="s">
        <v>24</v>
      </c>
      <c r="P24" s="14"/>
      <c r="Q24" s="14"/>
      <c r="R24" s="19">
        <f>B24/N24/W24*X24</f>
        <v>0</v>
      </c>
      <c r="S24" s="14"/>
      <c r="T24" s="14"/>
      <c r="U24" s="14"/>
      <c r="V24" s="14"/>
      <c r="W24" s="14">
        <v>0.5</v>
      </c>
      <c r="X24" s="14">
        <v>189.49333333333334</v>
      </c>
    </row>
    <row r="25" spans="1:24" x14ac:dyDescent="0.3">
      <c r="A25" t="s">
        <v>122</v>
      </c>
      <c r="E25" t="s">
        <v>110</v>
      </c>
      <c r="F25" t="s">
        <v>111</v>
      </c>
      <c r="H25">
        <v>210</v>
      </c>
      <c r="I25" t="s">
        <v>113</v>
      </c>
      <c r="L25" s="14" t="s">
        <v>150</v>
      </c>
      <c r="M25" s="14" t="s">
        <v>151</v>
      </c>
      <c r="N25" s="14">
        <v>35.314999999999998</v>
      </c>
      <c r="O25" s="14" t="s">
        <v>24</v>
      </c>
      <c r="P25" s="14"/>
      <c r="Q25" s="14"/>
      <c r="R25" s="19">
        <f>B25/N25/W25*X25</f>
        <v>0</v>
      </c>
      <c r="S25" s="14"/>
      <c r="T25" s="14"/>
      <c r="U25" s="14"/>
      <c r="V25" s="14"/>
      <c r="W25" s="14">
        <v>0.5</v>
      </c>
      <c r="X25" s="14">
        <v>189.49333333333334</v>
      </c>
    </row>
    <row r="26" spans="1:24" x14ac:dyDescent="0.3">
      <c r="A26" t="s">
        <v>123</v>
      </c>
      <c r="E26" t="s">
        <v>110</v>
      </c>
      <c r="F26" t="s">
        <v>111</v>
      </c>
      <c r="H26">
        <v>272</v>
      </c>
      <c r="I26" t="s">
        <v>113</v>
      </c>
      <c r="L26" s="14" t="s">
        <v>152</v>
      </c>
      <c r="M26" s="14" t="s">
        <v>153</v>
      </c>
      <c r="N26" s="14">
        <v>35.314999999999998</v>
      </c>
      <c r="O26" s="14" t="s">
        <v>24</v>
      </c>
      <c r="P26" s="14"/>
      <c r="Q26" s="14"/>
      <c r="R26" s="19">
        <f>B26/N26/W26*X26</f>
        <v>0</v>
      </c>
      <c r="S26" s="14"/>
      <c r="T26" s="14"/>
      <c r="U26" s="14"/>
      <c r="V26" s="14"/>
      <c r="W26" s="14">
        <v>0.22</v>
      </c>
      <c r="X26" s="14">
        <v>48.952444444444446</v>
      </c>
    </row>
    <row r="27" spans="1:24" x14ac:dyDescent="0.3"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1">
    <mergeCell ref="A3:B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20250531_220044_OilComponent</vt:lpstr>
      <vt:lpstr>20250531_223825_Grid</vt:lpstr>
      <vt:lpstr>20250602_153217_ARMB2</vt:lpstr>
      <vt:lpstr>20250603_135559_BO_SEP</vt:lpstr>
      <vt:lpstr>20250604_133649_OilComp551</vt:lpstr>
      <vt:lpstr>20250606_192743</vt:lpstr>
      <vt:lpstr>20250606_192743_D1</vt:lpstr>
      <vt:lpstr>20250607_065115_D2</vt:lpstr>
      <vt:lpstr>20250607_173844_D3</vt:lpstr>
      <vt:lpstr>20250608_211122_TSOL2</vt:lpstr>
      <vt:lpstr>20250608_211122_CUT</vt:lpstr>
      <vt:lpstr>20250608_223227_retune</vt:lpstr>
      <vt:lpstr>InteractiveSheet</vt:lpstr>
      <vt:lpstr>FrzPt</vt:lpstr>
      <vt:lpstr>DiesFlash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2025-05-29T08:02:29Z</dcterms:created>
  <dcterms:modified xsi:type="dcterms:W3CDTF">2025-06-09T07:12:55Z</dcterms:modified>
</cp:coreProperties>
</file>