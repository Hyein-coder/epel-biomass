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13_ncr:1_{949C2899-6E6D-4FF1-9AA7-7DB593D4E132}" xr6:coauthVersionLast="36" xr6:coauthVersionMax="36" xr10:uidLastSave="{00000000-0000-0000-0000-000000000000}"/>
  <bookViews>
    <workbookView xWindow="0" yWindow="0" windowWidth="28800" windowHeight="12180" firstSheet="2" activeTab="5" xr2:uid="{374492E3-6639-47D5-8845-62766B21D92C}"/>
  </bookViews>
  <sheets>
    <sheet name="Base" sheetId="1" r:id="rId1"/>
    <sheet name="Ammonia" sheetId="2" r:id="rId2"/>
    <sheet name="PEM" sheetId="3" r:id="rId3"/>
    <sheet name="SMR" sheetId="4" r:id="rId4"/>
    <sheet name="WTWa_ftjet" sheetId="6" r:id="rId5"/>
    <sheet name="WTWa_conventional" sheetId="7" r:id="rId6"/>
    <sheet name="WTWa_example" sheetId="5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7" l="1"/>
  <c r="D9" i="7"/>
  <c r="E9" i="7"/>
  <c r="F9" i="7"/>
  <c r="G9" i="7"/>
  <c r="H9" i="7"/>
  <c r="I9" i="7"/>
  <c r="J9" i="7"/>
  <c r="K9" i="7"/>
  <c r="L9" i="7"/>
  <c r="M9" i="7"/>
  <c r="N9" i="7"/>
  <c r="O9" i="7"/>
  <c r="P9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C13" i="7"/>
  <c r="C15" i="7" s="1"/>
  <c r="D13" i="7"/>
  <c r="E13" i="7"/>
  <c r="E15" i="7" s="1"/>
  <c r="F13" i="7"/>
  <c r="F15" i="7" s="1"/>
  <c r="G13" i="7"/>
  <c r="G15" i="7" s="1"/>
  <c r="H13" i="7"/>
  <c r="H15" i="7" s="1"/>
  <c r="I13" i="7"/>
  <c r="I15" i="7" s="1"/>
  <c r="J13" i="7"/>
  <c r="K13" i="7"/>
  <c r="K15" i="7" s="1"/>
  <c r="L13" i="7"/>
  <c r="L15" i="7" s="1"/>
  <c r="M13" i="7"/>
  <c r="N13" i="7"/>
  <c r="O13" i="7"/>
  <c r="P13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B10" i="7"/>
  <c r="B11" i="7"/>
  <c r="B12" i="7"/>
  <c r="B13" i="7"/>
  <c r="B15" i="7" s="1"/>
  <c r="B14" i="7"/>
  <c r="B9" i="7"/>
  <c r="P15" i="7"/>
  <c r="O15" i="7"/>
  <c r="N15" i="7"/>
  <c r="M15" i="7"/>
  <c r="D15" i="7"/>
  <c r="AA19" i="5" l="1"/>
  <c r="V19" i="5"/>
  <c r="P15" i="5" l="1"/>
  <c r="P10" i="6"/>
  <c r="O10" i="6"/>
  <c r="N10" i="6"/>
  <c r="M10" i="6"/>
  <c r="L10" i="6"/>
  <c r="K10" i="6"/>
  <c r="I10" i="6"/>
  <c r="H10" i="6"/>
  <c r="G10" i="6"/>
  <c r="F10" i="6"/>
  <c r="E10" i="6"/>
  <c r="D10" i="6"/>
  <c r="C10" i="6"/>
  <c r="B10" i="6"/>
  <c r="P6" i="6"/>
  <c r="K6" i="6"/>
  <c r="O6" i="6" s="1"/>
  <c r="P5" i="6"/>
  <c r="N5" i="6"/>
  <c r="M5" i="6"/>
  <c r="L5" i="6"/>
  <c r="K5" i="6"/>
  <c r="I5" i="6"/>
  <c r="H5" i="6"/>
  <c r="G5" i="6"/>
  <c r="F5" i="6"/>
  <c r="E5" i="6"/>
  <c r="D5" i="6"/>
  <c r="C5" i="6"/>
  <c r="B5" i="6"/>
  <c r="O19" i="5"/>
  <c r="M19" i="5"/>
  <c r="L19" i="5"/>
  <c r="I19" i="5"/>
  <c r="G19" i="5"/>
  <c r="F19" i="5"/>
  <c r="E19" i="5"/>
  <c r="C19" i="5"/>
  <c r="B19" i="5"/>
  <c r="V17" i="5"/>
  <c r="O18" i="5" s="1"/>
  <c r="O22" i="5" s="1"/>
  <c r="U14" i="5"/>
  <c r="R11" i="5"/>
  <c r="P10" i="5"/>
  <c r="O10" i="5"/>
  <c r="R10" i="5" s="1"/>
  <c r="N10" i="5"/>
  <c r="M10" i="5"/>
  <c r="L10" i="5"/>
  <c r="K10" i="5"/>
  <c r="I10" i="5"/>
  <c r="H10" i="5"/>
  <c r="G10" i="5"/>
  <c r="F10" i="5"/>
  <c r="E10" i="5"/>
  <c r="D10" i="5"/>
  <c r="C10" i="5"/>
  <c r="B10" i="5"/>
  <c r="W9" i="5"/>
  <c r="W11" i="5" s="1"/>
  <c r="V9" i="5"/>
  <c r="V11" i="5" s="1"/>
  <c r="AA11" i="5" s="1"/>
  <c r="R9" i="5"/>
  <c r="R8" i="5"/>
  <c r="W7" i="5"/>
  <c r="V7" i="5"/>
  <c r="R7" i="5"/>
  <c r="P6" i="5"/>
  <c r="K6" i="5"/>
  <c r="O6" i="5" s="1"/>
  <c r="P5" i="5"/>
  <c r="N5" i="5"/>
  <c r="M5" i="5"/>
  <c r="L5" i="5"/>
  <c r="K5" i="5"/>
  <c r="I5" i="5"/>
  <c r="H5" i="5"/>
  <c r="G5" i="5"/>
  <c r="F5" i="5"/>
  <c r="E5" i="5"/>
  <c r="D5" i="5"/>
  <c r="C5" i="5"/>
  <c r="B5" i="5"/>
  <c r="R4" i="5"/>
  <c r="U3" i="5"/>
  <c r="R3" i="5"/>
  <c r="R2" i="5"/>
  <c r="O5" i="6" l="1"/>
  <c r="F18" i="5"/>
  <c r="F22" i="5" s="1"/>
  <c r="B18" i="5"/>
  <c r="B22" i="5" s="1"/>
  <c r="I18" i="5"/>
  <c r="I22" i="5" s="1"/>
  <c r="E18" i="5"/>
  <c r="E22" i="5" s="1"/>
  <c r="G18" i="5"/>
  <c r="G22" i="5" s="1"/>
  <c r="R6" i="5"/>
  <c r="O5" i="5"/>
  <c r="R5" i="5" s="1"/>
  <c r="L18" i="5"/>
  <c r="L22" i="5" s="1"/>
  <c r="K18" i="5"/>
  <c r="K22" i="5" s="1"/>
  <c r="N18" i="5"/>
  <c r="N22" i="5" s="1"/>
  <c r="D18" i="5"/>
  <c r="D22" i="5" s="1"/>
  <c r="P18" i="5"/>
  <c r="P22" i="5" s="1"/>
  <c r="J18" i="5"/>
  <c r="J22" i="5" s="1"/>
  <c r="M18" i="5"/>
  <c r="M22" i="5" s="1"/>
  <c r="M23" i="5" s="1"/>
  <c r="C18" i="5"/>
  <c r="C22" i="5" s="1"/>
  <c r="H18" i="5"/>
  <c r="H22" i="5" s="1"/>
  <c r="D23" i="5" l="1"/>
  <c r="P23" i="5"/>
  <c r="J23" i="5"/>
  <c r="I23" i="5"/>
  <c r="L23" i="5"/>
  <c r="N23" i="5"/>
  <c r="F23" i="5"/>
  <c r="K23" i="5"/>
  <c r="I15" i="5"/>
  <c r="D15" i="5"/>
  <c r="C15" i="5"/>
  <c r="M15" i="5"/>
  <c r="L15" i="5"/>
  <c r="H15" i="5"/>
  <c r="G15" i="5"/>
  <c r="O15" i="5"/>
  <c r="F15" i="5"/>
  <c r="E15" i="5"/>
  <c r="N15" i="5"/>
  <c r="J15" i="5"/>
  <c r="B15" i="5"/>
  <c r="K15" i="5"/>
  <c r="B23" i="5"/>
  <c r="H23" i="5"/>
  <c r="G23" i="5"/>
  <c r="O23" i="5"/>
  <c r="C23" i="5"/>
  <c r="E23" i="5"/>
</calcChain>
</file>

<file path=xl/sharedStrings.xml><?xml version="1.0" encoding="utf-8"?>
<sst xmlns="http://schemas.openxmlformats.org/spreadsheetml/2006/main" count="746" uniqueCount="141">
  <si>
    <t>Emissions</t>
  </si>
  <si>
    <t>Well to Use</t>
  </si>
  <si>
    <t>CO2 Total</t>
  </si>
  <si>
    <t>kg</t>
  </si>
  <si>
    <t>CO2</t>
  </si>
  <si>
    <t>CO2_Biogenic</t>
  </si>
  <si>
    <t>CO2_LandUseChange</t>
  </si>
  <si>
    <t>VOC</t>
  </si>
  <si>
    <t>mg</t>
  </si>
  <si>
    <t>CO</t>
  </si>
  <si>
    <t>g</t>
  </si>
  <si>
    <t>NOx</t>
  </si>
  <si>
    <t>PM10</t>
  </si>
  <si>
    <t>PM2.5</t>
  </si>
  <si>
    <t>SOx</t>
  </si>
  <si>
    <t>CH4</t>
  </si>
  <si>
    <t>N2O</t>
  </si>
  <si>
    <t>NO2</t>
  </si>
  <si>
    <t>BC</t>
  </si>
  <si>
    <t>POC</t>
  </si>
  <si>
    <t>Groups</t>
  </si>
  <si>
    <t>GHG-100</t>
  </si>
  <si>
    <t>GHG-20</t>
  </si>
  <si>
    <t>Flow properties</t>
  </si>
  <si>
    <t>Biogenic carbon mass ratio</t>
  </si>
  <si>
    <t>%</t>
  </si>
  <si>
    <t>Resources</t>
  </si>
  <si>
    <t>Btu</t>
  </si>
  <si>
    <t>Water Total</t>
  </si>
  <si>
    <t>Water</t>
  </si>
  <si>
    <t>Water_Process</t>
  </si>
  <si>
    <t>cm^3</t>
  </si>
  <si>
    <t>Water_Cooling</t>
  </si>
  <si>
    <t>Water_Mining</t>
  </si>
  <si>
    <t>Water_Reservoir Evaporation</t>
  </si>
  <si>
    <t>Crude Oil</t>
  </si>
  <si>
    <t>Gasoline Blendstock</t>
  </si>
  <si>
    <t>Low-Sulfur Diesel</t>
  </si>
  <si>
    <t>Natural Gas</t>
  </si>
  <si>
    <t>Coal Average</t>
  </si>
  <si>
    <t>Forest Residue</t>
  </si>
  <si>
    <t>Pet Coke</t>
  </si>
  <si>
    <t>Renewable, Other</t>
  </si>
  <si>
    <t>Hydroelectric Power</t>
  </si>
  <si>
    <t>Nuclear Energy</t>
  </si>
  <si>
    <t>GeoThermal Power</t>
  </si>
  <si>
    <t>Solar</t>
  </si>
  <si>
    <t>Wind Power</t>
  </si>
  <si>
    <t>mmBtu</t>
  </si>
  <si>
    <t>Trona</t>
  </si>
  <si>
    <t>ug</t>
  </si>
  <si>
    <t>Zirconium Ore</t>
  </si>
  <si>
    <t>Bitumen</t>
  </si>
  <si>
    <t>Shale Oil (Bakken)</t>
  </si>
  <si>
    <t>Shale Oil (Eagle Ford)</t>
  </si>
  <si>
    <t>Other Power (Without Hydro)</t>
  </si>
  <si>
    <t>...</t>
  </si>
  <si>
    <t>Biomass</t>
  </si>
  <si>
    <t>Non Fossil Fuel</t>
  </si>
  <si>
    <t>Renewable</t>
  </si>
  <si>
    <t>Fossil Fuel</t>
  </si>
  <si>
    <t>Natural Gas Fuel</t>
  </si>
  <si>
    <t>Petroleum Fuel</t>
  </si>
  <si>
    <t>Coal Fuel</t>
  </si>
  <si>
    <t>Nuclear</t>
  </si>
  <si>
    <t>m^3</t>
  </si>
  <si>
    <t>Urban Emissions</t>
  </si>
  <si>
    <t>Ammonium sulfate</t>
  </si>
  <si>
    <t>FT-jet-from-biomass</t>
    <phoneticPr fontId="2" type="noConversion"/>
  </si>
  <si>
    <t>VOC</t>
    <phoneticPr fontId="2" type="noConversion"/>
  </si>
  <si>
    <t>CO</t>
    <phoneticPr fontId="2" type="noConversion"/>
  </si>
  <si>
    <t>NOX</t>
    <phoneticPr fontId="2" type="noConversion"/>
  </si>
  <si>
    <t>PM10</t>
    <phoneticPr fontId="2" type="noConversion"/>
  </si>
  <si>
    <t>PM25</t>
    <phoneticPr fontId="2" type="noConversion"/>
  </si>
  <si>
    <t>SOX</t>
    <phoneticPr fontId="2" type="noConversion"/>
  </si>
  <si>
    <t>CH4</t>
    <phoneticPr fontId="2" type="noConversion"/>
  </si>
  <si>
    <t>N2O</t>
    <phoneticPr fontId="2" type="noConversion"/>
  </si>
  <si>
    <t>NO2</t>
    <phoneticPr fontId="2" type="noConversion"/>
  </si>
  <si>
    <t>CO2</t>
    <phoneticPr fontId="2" type="noConversion"/>
  </si>
  <si>
    <t>BC</t>
    <phoneticPr fontId="2" type="noConversion"/>
  </si>
  <si>
    <t>POC</t>
    <phoneticPr fontId="2" type="noConversion"/>
  </si>
  <si>
    <t>CO2_BIO</t>
    <phoneticPr fontId="2" type="noConversion"/>
  </si>
  <si>
    <t>TotalCO2</t>
    <phoneticPr fontId="2" type="noConversion"/>
  </si>
  <si>
    <t>GHG</t>
    <phoneticPr fontId="2" type="noConversion"/>
  </si>
  <si>
    <t>GWP-100 manually</t>
    <phoneticPr fontId="2" type="noConversion"/>
  </si>
  <si>
    <t>Average payload (kg)</t>
    <phoneticPr fontId="2" type="noConversion"/>
  </si>
  <si>
    <t>Average Trip Great Circle Distance
(km)</t>
    <phoneticPr fontId="2" type="noConversion"/>
  </si>
  <si>
    <t>Consumption (as Operated)
(kg)</t>
    <phoneticPr fontId="2" type="noConversion"/>
  </si>
  <si>
    <t>Consumption (LTO)</t>
    <phoneticPr fontId="2" type="noConversion"/>
  </si>
  <si>
    <t>Cruise Urban Share</t>
    <phoneticPr fontId="2" type="noConversion"/>
  </si>
  <si>
    <t>LTO Urban Share</t>
    <phoneticPr fontId="2" type="noConversion"/>
  </si>
  <si>
    <t>PTWa Emissions g/(kg*km)</t>
  </si>
  <si>
    <t xml:space="preserve">원래(FT-using NA-NG / SAF) 값에서 biogenic carbon을 뺀 것에 불과함 </t>
    <phoneticPr fontId="2" type="noConversion"/>
  </si>
  <si>
    <t>Single Aisle (SA)</t>
  </si>
  <si>
    <t>564.679 kg</t>
  </si>
  <si>
    <t>PTWa Urban Emissions g/(kg*km)</t>
  </si>
  <si>
    <t>Fuel efficiency (g/kg-km)</t>
    <phoneticPr fontId="2" type="noConversion"/>
  </si>
  <si>
    <t>WTP Emissions g/(kg*km)</t>
  </si>
  <si>
    <t>Fuel Spec</t>
    <phoneticPr fontId="2" type="noConversion"/>
  </si>
  <si>
    <t>Density (kg/ft3)</t>
    <phoneticPr fontId="2" type="noConversion"/>
  </si>
  <si>
    <t>LHV (mmBTU/gal)</t>
    <phoneticPr fontId="2" type="noConversion"/>
  </si>
  <si>
    <t>HHV (mmBTU/gal)</t>
    <phoneticPr fontId="2" type="noConversion"/>
  </si>
  <si>
    <t>WTP g/kg-km</t>
    <phoneticPr fontId="2" type="noConversion"/>
  </si>
  <si>
    <t>WTP mg/MJ fuel</t>
    <phoneticPr fontId="2" type="noConversion"/>
  </si>
  <si>
    <t>(MJ/gal)</t>
    <phoneticPr fontId="2" type="noConversion"/>
  </si>
  <si>
    <t>WTP Urban Emissions g/(kg*km)</t>
  </si>
  <si>
    <t>(MJ/ft3)</t>
    <phoneticPr fontId="2" type="noConversion"/>
  </si>
  <si>
    <t>WTWa Emissions g/(kg*km)</t>
  </si>
  <si>
    <t>구하는 방법 = WTP + PTWa</t>
    <phoneticPr fontId="2" type="noConversion"/>
  </si>
  <si>
    <t>(MJ/g)</t>
    <phoneticPr fontId="2" type="noConversion"/>
  </si>
  <si>
    <t>WTWa Urban Emissions g/(kg*km)</t>
  </si>
  <si>
    <t>PTWa energy intenstiy</t>
    <phoneticPr fontId="2" type="noConversion"/>
  </si>
  <si>
    <t>MJ/kg-km</t>
    <phoneticPr fontId="2" type="noConversion"/>
  </si>
  <si>
    <t>Forest Residue Pyrolysis SAF</t>
    <phoneticPr fontId="2" type="noConversion"/>
  </si>
  <si>
    <t>GHG100</t>
    <phoneticPr fontId="2" type="noConversion"/>
  </si>
  <si>
    <t>Fuel Efficiency (g/kg-km)</t>
    <phoneticPr fontId="2" type="noConversion"/>
  </si>
  <si>
    <t>LHB (Btu/lb)</t>
    <phoneticPr fontId="2" type="noConversion"/>
  </si>
  <si>
    <t>PTWa Emissions g/MJ fuel</t>
    <phoneticPr fontId="2" type="noConversion"/>
  </si>
  <si>
    <t>(MJ/lb)</t>
    <phoneticPr fontId="2" type="noConversion"/>
  </si>
  <si>
    <t>WTP Emissions g/kg-km</t>
    <phoneticPr fontId="2" type="noConversion"/>
  </si>
  <si>
    <t>g/MJ fuel</t>
    <phoneticPr fontId="2" type="noConversion"/>
  </si>
  <si>
    <t>mg/MJ fuel</t>
    <phoneticPr fontId="2" type="noConversion"/>
  </si>
  <si>
    <t>WTWa Emission g/kg-km</t>
    <phoneticPr fontId="2" type="noConversion"/>
  </si>
  <si>
    <t>WTWa Emission g/MJ Fuel</t>
    <phoneticPr fontId="2" type="noConversion"/>
  </si>
  <si>
    <t>PM2.5</t>
    <phoneticPr fontId="2" type="noConversion"/>
  </si>
  <si>
    <t>CO2_Biogenic</t>
    <phoneticPr fontId="2" type="noConversion"/>
  </si>
  <si>
    <t>CO2 Total</t>
    <phoneticPr fontId="2" type="noConversion"/>
  </si>
  <si>
    <t>GHG-100</t>
    <phoneticPr fontId="2" type="noConversion"/>
  </si>
  <si>
    <t>Conventional Jet Fuel from Crude Oil (Siingle Aisle)</t>
    <phoneticPr fontId="2" type="noConversion"/>
  </si>
  <si>
    <t>PTWa</t>
    <phoneticPr fontId="2" type="noConversion"/>
  </si>
  <si>
    <t xml:space="preserve"> kJ/(kg*km)</t>
  </si>
  <si>
    <t>WTWa</t>
    <phoneticPr fontId="2" type="noConversion"/>
  </si>
  <si>
    <t>PTWa Emissions g/kJ Fuel</t>
    <phoneticPr fontId="2" type="noConversion"/>
  </si>
  <si>
    <t>PTWa Urban Emissions g/kJ  Fuel</t>
    <phoneticPr fontId="2" type="noConversion"/>
  </si>
  <si>
    <t>WTP Emissions g/kJ Fuel</t>
    <phoneticPr fontId="2" type="noConversion"/>
  </si>
  <si>
    <t>WTP Urban Emissions g/kJ Fuel</t>
    <phoneticPr fontId="2" type="noConversion"/>
  </si>
  <si>
    <t>WTWa Emissions g/kJ Fuel</t>
    <phoneticPr fontId="2" type="noConversion"/>
  </si>
  <si>
    <t>WTWa Urban Emissions g/kJ Fuel</t>
    <phoneticPr fontId="2" type="noConversion"/>
  </si>
  <si>
    <t>WTWa Emissions g/MJ Fuel</t>
    <phoneticPr fontId="2" type="noConversion"/>
  </si>
  <si>
    <t>NOx</t>
    <phoneticPr fontId="2" type="noConversion"/>
  </si>
  <si>
    <t>SOx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</si>
</sst>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(* #,##0.000_);_(* \(#,##0.000\);_(* &quot;-&quot;_);_(@_)"/>
    <numFmt numFmtId="182" formatCode="0.0000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11" fontId="0" fillId="0" borderId="0" xfId="0" applyNumberFormat="1" applyBorder="1" applyAlignment="1">
      <alignment vertical="center" wrapText="1"/>
    </xf>
    <xf numFmtId="11" fontId="3" fillId="0" borderId="0" xfId="0" applyNumberFormat="1" applyFont="1" applyBorder="1" applyAlignment="1">
      <alignment vertical="center" wrapText="1"/>
    </xf>
    <xf numFmtId="11" fontId="0" fillId="0" borderId="0" xfId="0" applyNumberFormat="1" applyFont="1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11" fontId="0" fillId="0" borderId="0" xfId="0" applyNumberFormat="1" applyFill="1" applyBorder="1" applyAlignment="1">
      <alignment vertical="center" wrapText="1"/>
    </xf>
    <xf numFmtId="0" fontId="3" fillId="3" borderId="0" xfId="0" applyFont="1" applyFill="1" applyBorder="1" applyAlignment="1">
      <alignment horizontal="center" vertical="center" wrapText="1"/>
    </xf>
    <xf numFmtId="11" fontId="0" fillId="3" borderId="0" xfId="0" applyNumberForma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3" fillId="0" borderId="0" xfId="0" applyFont="1" applyAlignment="1">
      <alignment horizontal="center" vertical="center" wrapText="1"/>
    </xf>
    <xf numFmtId="11" fontId="0" fillId="0" borderId="0" xfId="0" applyNumberFormat="1" applyAlignment="1">
      <alignment vertical="center" wrapText="1"/>
    </xf>
    <xf numFmtId="11" fontId="3" fillId="0" borderId="0" xfId="0" applyNumberFormat="1" applyFont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11" fontId="0" fillId="3" borderId="0" xfId="0" applyNumberFormat="1" applyFill="1">
      <alignment vertical="center"/>
    </xf>
    <xf numFmtId="176" fontId="0" fillId="0" borderId="0" xfId="1" applyNumberFormat="1" applyFont="1">
      <alignment vertical="center"/>
    </xf>
    <xf numFmtId="0" fontId="0" fillId="2" borderId="3" xfId="0" applyFill="1" applyBorder="1">
      <alignment vertical="center"/>
    </xf>
    <xf numFmtId="0" fontId="0" fillId="0" borderId="0" xfId="0" applyBorder="1" applyAlignment="1">
      <alignment vertical="center" wrapText="1"/>
    </xf>
    <xf numFmtId="11" fontId="0" fillId="0" borderId="0" xfId="0" applyNumberFormat="1" applyFont="1" applyBorder="1">
      <alignment vertical="center"/>
    </xf>
    <xf numFmtId="0" fontId="0" fillId="0" borderId="0" xfId="0" applyBorder="1" applyAlignment="1">
      <alignment horizontal="center" vertical="center" wrapText="1"/>
    </xf>
    <xf numFmtId="0" fontId="3" fillId="0" borderId="0" xfId="0" applyFont="1" applyBorder="1">
      <alignment vertical="center"/>
    </xf>
    <xf numFmtId="0" fontId="0" fillId="0" borderId="0" xfId="0" applyFill="1" applyBorder="1">
      <alignment vertical="center"/>
    </xf>
    <xf numFmtId="11" fontId="0" fillId="0" borderId="0" xfId="0" applyNumberFormat="1" applyFont="1" applyFill="1" applyBorder="1">
      <alignment vertical="center"/>
    </xf>
    <xf numFmtId="0" fontId="0" fillId="0" borderId="0" xfId="0" applyFill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11" fontId="3" fillId="0" borderId="0" xfId="0" applyNumberFormat="1" applyFont="1" applyFill="1" applyBorder="1" applyAlignment="1">
      <alignment vertical="center" wrapText="1"/>
    </xf>
    <xf numFmtId="11" fontId="0" fillId="0" borderId="0" xfId="0" applyNumberFormat="1" applyFill="1" applyBorder="1">
      <alignment vertical="center"/>
    </xf>
    <xf numFmtId="176" fontId="0" fillId="0" borderId="0" xfId="1" applyNumberFormat="1" applyFont="1" applyFill="1" applyBorder="1">
      <alignment vertical="center"/>
    </xf>
    <xf numFmtId="0" fontId="3" fillId="4" borderId="0" xfId="0" applyFont="1" applyFill="1" applyAlignment="1">
      <alignment horizontal="center" vertical="center" wrapText="1"/>
    </xf>
    <xf numFmtId="182" fontId="0" fillId="0" borderId="0" xfId="1" applyNumberFormat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E7CB-9BD8-4662-8E8C-3C9E6BA2B548}">
  <dimension ref="A2:C83"/>
  <sheetViews>
    <sheetView workbookViewId="0">
      <selection activeCell="C35" sqref="C35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0.15140000000000001</v>
      </c>
      <c r="C5" t="s">
        <v>3</v>
      </c>
    </row>
    <row r="6" spans="1:3" x14ac:dyDescent="0.3">
      <c r="A6" t="s">
        <v>4</v>
      </c>
      <c r="B6">
        <v>0.59550000000000003</v>
      </c>
      <c r="C6" t="s">
        <v>3</v>
      </c>
    </row>
    <row r="7" spans="1:3" x14ac:dyDescent="0.3">
      <c r="A7" t="s">
        <v>5</v>
      </c>
      <c r="B7">
        <v>-0.44409999999999999</v>
      </c>
      <c r="C7" t="s">
        <v>3</v>
      </c>
    </row>
    <row r="8" spans="1:3" x14ac:dyDescent="0.3">
      <c r="A8" t="s">
        <v>6</v>
      </c>
      <c r="B8">
        <v>0</v>
      </c>
      <c r="C8" t="s">
        <v>3</v>
      </c>
    </row>
    <row r="9" spans="1:3" x14ac:dyDescent="0.3">
      <c r="A9" t="s">
        <v>7</v>
      </c>
      <c r="B9">
        <v>42.427599999999998</v>
      </c>
      <c r="C9" t="s">
        <v>8</v>
      </c>
    </row>
    <row r="10" spans="1:3" x14ac:dyDescent="0.3">
      <c r="A10" t="s">
        <v>9</v>
      </c>
      <c r="B10">
        <v>0.63200000000000001</v>
      </c>
      <c r="C10" t="s">
        <v>10</v>
      </c>
    </row>
    <row r="11" spans="1:3" x14ac:dyDescent="0.3">
      <c r="A11" t="s">
        <v>11</v>
      </c>
      <c r="B11">
        <v>0.2863</v>
      </c>
      <c r="C11" t="s">
        <v>10</v>
      </c>
    </row>
    <row r="12" spans="1:3" x14ac:dyDescent="0.3">
      <c r="A12" t="s">
        <v>12</v>
      </c>
      <c r="B12">
        <v>28.3048</v>
      </c>
      <c r="C12" t="s">
        <v>8</v>
      </c>
    </row>
    <row r="13" spans="1:3" x14ac:dyDescent="0.3">
      <c r="A13" t="s">
        <v>13</v>
      </c>
      <c r="B13">
        <v>25.756799999999998</v>
      </c>
      <c r="C13" t="s">
        <v>8</v>
      </c>
    </row>
    <row r="14" spans="1:3" x14ac:dyDescent="0.3">
      <c r="A14" t="s">
        <v>14</v>
      </c>
      <c r="B14">
        <v>0.21529999999999999</v>
      </c>
      <c r="C14" t="s">
        <v>10</v>
      </c>
    </row>
    <row r="15" spans="1:3" x14ac:dyDescent="0.3">
      <c r="A15" t="s">
        <v>15</v>
      </c>
      <c r="B15">
        <v>0.43790000000000001</v>
      </c>
      <c r="C15" t="s">
        <v>10</v>
      </c>
    </row>
    <row r="16" spans="1:3" x14ac:dyDescent="0.3">
      <c r="A16" t="s">
        <v>16</v>
      </c>
      <c r="B16">
        <v>19.9312</v>
      </c>
      <c r="C16" t="s">
        <v>8</v>
      </c>
    </row>
    <row r="17" spans="1:3" x14ac:dyDescent="0.3">
      <c r="A17" t="s">
        <v>17</v>
      </c>
      <c r="B17">
        <v>2.1920000000000002</v>
      </c>
      <c r="C17" t="s">
        <v>10</v>
      </c>
    </row>
    <row r="18" spans="1:3" x14ac:dyDescent="0.3">
      <c r="A18" t="s">
        <v>18</v>
      </c>
      <c r="B18">
        <v>4.5781000000000001</v>
      </c>
      <c r="C18" t="s">
        <v>8</v>
      </c>
    </row>
    <row r="19" spans="1:3" x14ac:dyDescent="0.3">
      <c r="A19" t="s">
        <v>19</v>
      </c>
      <c r="B19">
        <v>7.8074000000000003</v>
      </c>
      <c r="C19" t="s">
        <v>8</v>
      </c>
    </row>
    <row r="20" spans="1:3" x14ac:dyDescent="0.3">
      <c r="A20" t="s">
        <v>20</v>
      </c>
    </row>
    <row r="21" spans="1:3" x14ac:dyDescent="0.3">
      <c r="A21" t="s">
        <v>21</v>
      </c>
      <c r="B21">
        <v>0.17100000000000001</v>
      </c>
      <c r="C21" t="s">
        <v>3</v>
      </c>
    </row>
    <row r="22" spans="1:3" x14ac:dyDescent="0.3">
      <c r="A22" t="s">
        <v>22</v>
      </c>
      <c r="B22">
        <v>0.19409999999999999</v>
      </c>
      <c r="C22" t="s">
        <v>3</v>
      </c>
    </row>
    <row r="23" spans="1:3" x14ac:dyDescent="0.3">
      <c r="A23" t="s">
        <v>23</v>
      </c>
    </row>
    <row r="24" spans="1:3" x14ac:dyDescent="0.3">
      <c r="A24" t="s">
        <v>24</v>
      </c>
      <c r="B24">
        <v>100</v>
      </c>
      <c r="C24" t="s">
        <v>25</v>
      </c>
    </row>
    <row r="25" spans="1:3" x14ac:dyDescent="0.3">
      <c r="A25" t="s">
        <v>26</v>
      </c>
    </row>
    <row r="26" spans="1:3" x14ac:dyDescent="0.3">
      <c r="A26" t="s">
        <v>1</v>
      </c>
    </row>
    <row r="27" spans="1:3" x14ac:dyDescent="0.3">
      <c r="A27" t="s">
        <v>26</v>
      </c>
      <c r="B27">
        <v>7830.5571</v>
      </c>
      <c r="C27" t="s">
        <v>27</v>
      </c>
    </row>
    <row r="28" spans="1:3" x14ac:dyDescent="0.3">
      <c r="A28" t="s">
        <v>28</v>
      </c>
      <c r="B28">
        <v>0.1462</v>
      </c>
      <c r="C28" t="s">
        <v>3</v>
      </c>
    </row>
    <row r="29" spans="1:3" x14ac:dyDescent="0.3">
      <c r="A29" t="s">
        <v>29</v>
      </c>
      <c r="B29">
        <v>0.1462</v>
      </c>
      <c r="C29" t="s">
        <v>3</v>
      </c>
    </row>
    <row r="30" spans="1:3" x14ac:dyDescent="0.3">
      <c r="A30" t="s">
        <v>30</v>
      </c>
      <c r="B30">
        <v>2935.3481999999999</v>
      </c>
      <c r="C30" t="s">
        <v>31</v>
      </c>
    </row>
    <row r="31" spans="1:3" x14ac:dyDescent="0.3">
      <c r="A31" t="s">
        <v>32</v>
      </c>
      <c r="B31">
        <v>88.281499999999994</v>
      </c>
      <c r="C31" t="s">
        <v>31</v>
      </c>
    </row>
    <row r="32" spans="1:3" x14ac:dyDescent="0.3">
      <c r="A32" t="s">
        <v>33</v>
      </c>
      <c r="B32">
        <v>23.686900000000001</v>
      </c>
      <c r="C32" t="s">
        <v>31</v>
      </c>
    </row>
    <row r="33" spans="1:3" x14ac:dyDescent="0.3">
      <c r="A33" t="s">
        <v>34</v>
      </c>
      <c r="B33">
        <v>8.3256999999999994</v>
      </c>
      <c r="C33" t="s">
        <v>31</v>
      </c>
    </row>
    <row r="34" spans="1:3" x14ac:dyDescent="0.3">
      <c r="A34" t="s">
        <v>35</v>
      </c>
      <c r="B34">
        <v>175.66470000000001</v>
      </c>
      <c r="C34" t="s">
        <v>27</v>
      </c>
    </row>
    <row r="35" spans="1:3" x14ac:dyDescent="0.3">
      <c r="A35" t="s">
        <v>36</v>
      </c>
      <c r="B35">
        <v>-596.58489999999995</v>
      </c>
      <c r="C35" t="s">
        <v>27</v>
      </c>
    </row>
    <row r="36" spans="1:3" x14ac:dyDescent="0.3">
      <c r="A36" t="s">
        <v>37</v>
      </c>
      <c r="B36">
        <v>-422.32929999999999</v>
      </c>
      <c r="C36" t="s">
        <v>27</v>
      </c>
    </row>
    <row r="37" spans="1:3" x14ac:dyDescent="0.3">
      <c r="A37" t="s">
        <v>38</v>
      </c>
      <c r="B37">
        <v>2027.6402</v>
      </c>
      <c r="C37" t="s">
        <v>27</v>
      </c>
    </row>
    <row r="38" spans="1:3" x14ac:dyDescent="0.3">
      <c r="A38" t="s">
        <v>39</v>
      </c>
      <c r="B38">
        <v>15.005100000000001</v>
      </c>
      <c r="C38" t="s">
        <v>27</v>
      </c>
    </row>
    <row r="39" spans="1:3" x14ac:dyDescent="0.3">
      <c r="A39" t="s">
        <v>40</v>
      </c>
      <c r="B39">
        <v>8227.3140999999996</v>
      </c>
      <c r="C39" t="s">
        <v>27</v>
      </c>
    </row>
    <row r="40" spans="1:3" x14ac:dyDescent="0.3">
      <c r="A40" t="s">
        <v>41</v>
      </c>
      <c r="B40">
        <v>0.19650000000000001</v>
      </c>
      <c r="C40" t="s">
        <v>27</v>
      </c>
    </row>
    <row r="41" spans="1:3" x14ac:dyDescent="0.3">
      <c r="A41" t="s">
        <v>42</v>
      </c>
      <c r="B41">
        <v>9.4200000000000006E-2</v>
      </c>
      <c r="C41" t="s">
        <v>27</v>
      </c>
    </row>
    <row r="42" spans="1:3" x14ac:dyDescent="0.3">
      <c r="A42" t="s">
        <v>43</v>
      </c>
      <c r="B42">
        <v>1.7021999999999999</v>
      </c>
      <c r="C42" t="s">
        <v>27</v>
      </c>
    </row>
    <row r="43" spans="1:3" x14ac:dyDescent="0.3">
      <c r="A43" t="s">
        <v>44</v>
      </c>
      <c r="B43">
        <v>4.7690000000000001</v>
      </c>
      <c r="C43" t="s">
        <v>27</v>
      </c>
    </row>
    <row r="44" spans="1:3" x14ac:dyDescent="0.3">
      <c r="A44" t="s">
        <v>45</v>
      </c>
      <c r="B44">
        <v>9.64E-2</v>
      </c>
      <c r="C44" t="s">
        <v>27</v>
      </c>
    </row>
    <row r="45" spans="1:3" x14ac:dyDescent="0.3">
      <c r="A45" t="s">
        <v>46</v>
      </c>
      <c r="B45">
        <v>0.82809999999999995</v>
      </c>
      <c r="C45" t="s">
        <v>27</v>
      </c>
    </row>
    <row r="46" spans="1:3" x14ac:dyDescent="0.3">
      <c r="A46" t="s">
        <v>47</v>
      </c>
      <c r="B46">
        <v>-1.6000000000000001E-3</v>
      </c>
      <c r="C46" t="s">
        <v>48</v>
      </c>
    </row>
    <row r="47" spans="1:3" x14ac:dyDescent="0.3">
      <c r="A47" t="s">
        <v>49</v>
      </c>
      <c r="B47">
        <v>5.9412000000000003</v>
      </c>
      <c r="C47" t="s">
        <v>50</v>
      </c>
    </row>
    <row r="48" spans="1:3" x14ac:dyDescent="0.3">
      <c r="A48" t="s">
        <v>51</v>
      </c>
      <c r="B48">
        <v>17.669599999999999</v>
      </c>
      <c r="C48" t="s">
        <v>50</v>
      </c>
    </row>
    <row r="49" spans="1:3" x14ac:dyDescent="0.3">
      <c r="A49" t="s">
        <v>52</v>
      </c>
      <c r="B49">
        <v>16.2088</v>
      </c>
      <c r="C49" t="s">
        <v>27</v>
      </c>
    </row>
    <row r="50" spans="1:3" x14ac:dyDescent="0.3">
      <c r="A50" t="s">
        <v>53</v>
      </c>
      <c r="B50">
        <v>15.1312</v>
      </c>
      <c r="C50" t="s">
        <v>27</v>
      </c>
    </row>
    <row r="51" spans="1:3" x14ac:dyDescent="0.3">
      <c r="A51" t="s">
        <v>54</v>
      </c>
      <c r="B51">
        <v>13.661</v>
      </c>
      <c r="C51" t="s">
        <v>27</v>
      </c>
    </row>
    <row r="52" spans="1:3" x14ac:dyDescent="0.3">
      <c r="A52" t="s">
        <v>55</v>
      </c>
      <c r="B52" s="1">
        <v>7.3517999999999999E-4</v>
      </c>
      <c r="C52" t="s">
        <v>27</v>
      </c>
    </row>
    <row r="53" spans="1:3" x14ac:dyDescent="0.3">
      <c r="A53" t="s">
        <v>20</v>
      </c>
      <c r="B53" t="s">
        <v>56</v>
      </c>
    </row>
    <row r="54" spans="1:3" x14ac:dyDescent="0.3">
      <c r="A54" t="s">
        <v>57</v>
      </c>
      <c r="B54">
        <v>8227.3140999999996</v>
      </c>
      <c r="C54" t="s">
        <v>27</v>
      </c>
    </row>
    <row r="55" spans="1:3" x14ac:dyDescent="0.3">
      <c r="A55" t="s">
        <v>58</v>
      </c>
      <c r="B55">
        <v>6585.9636</v>
      </c>
      <c r="C55" t="s">
        <v>27</v>
      </c>
    </row>
    <row r="56" spans="1:3" x14ac:dyDescent="0.3">
      <c r="A56" t="s">
        <v>59</v>
      </c>
      <c r="B56">
        <v>6581.1945999999998</v>
      </c>
      <c r="C56" t="s">
        <v>27</v>
      </c>
    </row>
    <row r="57" spans="1:3" x14ac:dyDescent="0.3">
      <c r="A57" t="s">
        <v>60</v>
      </c>
      <c r="B57">
        <v>2263.5075999999999</v>
      </c>
      <c r="C57" t="s">
        <v>27</v>
      </c>
    </row>
    <row r="58" spans="1:3" x14ac:dyDescent="0.3">
      <c r="A58" t="s">
        <v>61</v>
      </c>
      <c r="B58">
        <v>2027.6402</v>
      </c>
      <c r="C58" t="s">
        <v>27</v>
      </c>
    </row>
    <row r="59" spans="1:3" x14ac:dyDescent="0.3">
      <c r="A59" t="s">
        <v>62</v>
      </c>
      <c r="B59">
        <v>220.8623</v>
      </c>
      <c r="C59" t="s">
        <v>27</v>
      </c>
    </row>
    <row r="60" spans="1:3" x14ac:dyDescent="0.3">
      <c r="A60" t="s">
        <v>63</v>
      </c>
      <c r="B60">
        <v>15.005100000000001</v>
      </c>
      <c r="C60" t="s">
        <v>27</v>
      </c>
    </row>
    <row r="61" spans="1:3" x14ac:dyDescent="0.3">
      <c r="A61" t="s">
        <v>64</v>
      </c>
      <c r="B61">
        <v>4.7690000000000001</v>
      </c>
      <c r="C61" t="s">
        <v>27</v>
      </c>
    </row>
    <row r="62" spans="1:3" x14ac:dyDescent="0.3">
      <c r="A62" t="s">
        <v>29</v>
      </c>
      <c r="B62">
        <v>0.14929999999999999</v>
      </c>
      <c r="C62" t="s">
        <v>65</v>
      </c>
    </row>
    <row r="63" spans="1:3" x14ac:dyDescent="0.3">
      <c r="A63" t="s">
        <v>66</v>
      </c>
    </row>
    <row r="64" spans="1:3" x14ac:dyDescent="0.3">
      <c r="A64" t="s">
        <v>1</v>
      </c>
    </row>
    <row r="65" spans="1:3" x14ac:dyDescent="0.3">
      <c r="A65" t="s">
        <v>0</v>
      </c>
    </row>
    <row r="66" spans="1:3" x14ac:dyDescent="0.3">
      <c r="A66" t="s">
        <v>2</v>
      </c>
      <c r="B66">
        <v>28.581</v>
      </c>
      <c r="C66" t="s">
        <v>10</v>
      </c>
    </row>
    <row r="67" spans="1:3" x14ac:dyDescent="0.3">
      <c r="A67" t="s">
        <v>4</v>
      </c>
      <c r="B67">
        <v>34.354700000000001</v>
      </c>
      <c r="C67" t="s">
        <v>10</v>
      </c>
    </row>
    <row r="68" spans="1:3" x14ac:dyDescent="0.3">
      <c r="A68" t="s">
        <v>5</v>
      </c>
      <c r="B68">
        <v>-5.7999999999999996E-3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3.0863999999999998</v>
      </c>
      <c r="C70" t="s">
        <v>8</v>
      </c>
    </row>
    <row r="71" spans="1:3" x14ac:dyDescent="0.3">
      <c r="A71" t="s">
        <v>9</v>
      </c>
      <c r="B71">
        <v>13.091200000000001</v>
      </c>
      <c r="C71" t="s">
        <v>8</v>
      </c>
    </row>
    <row r="72" spans="1:3" x14ac:dyDescent="0.3">
      <c r="A72" t="s">
        <v>11</v>
      </c>
      <c r="B72">
        <v>9.5122999999999998</v>
      </c>
      <c r="C72" t="s">
        <v>8</v>
      </c>
    </row>
    <row r="73" spans="1:3" x14ac:dyDescent="0.3">
      <c r="A73" t="s">
        <v>12</v>
      </c>
      <c r="B73">
        <v>1.1476</v>
      </c>
      <c r="C73" t="s">
        <v>8</v>
      </c>
    </row>
    <row r="74" spans="1:3" x14ac:dyDescent="0.3">
      <c r="A74" t="s">
        <v>13</v>
      </c>
      <c r="B74">
        <v>1.0470999999999999</v>
      </c>
      <c r="C74" t="s">
        <v>8</v>
      </c>
    </row>
    <row r="75" spans="1:3" x14ac:dyDescent="0.3">
      <c r="A75" t="s">
        <v>14</v>
      </c>
      <c r="B75">
        <v>3.4232</v>
      </c>
      <c r="C75" t="s">
        <v>8</v>
      </c>
    </row>
    <row r="76" spans="1:3" x14ac:dyDescent="0.3">
      <c r="A76" t="s">
        <v>15</v>
      </c>
      <c r="B76">
        <v>23.6708</v>
      </c>
      <c r="C76" t="s">
        <v>8</v>
      </c>
    </row>
    <row r="77" spans="1:3" x14ac:dyDescent="0.3">
      <c r="A77" t="s">
        <v>16</v>
      </c>
      <c r="B77">
        <v>0.64610000000000001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95.531899999999993</v>
      </c>
      <c r="C79" t="s">
        <v>50</v>
      </c>
    </row>
    <row r="80" spans="1:3" x14ac:dyDescent="0.3">
      <c r="A80" t="s">
        <v>19</v>
      </c>
      <c r="B80">
        <v>0.2316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29.492999999999999</v>
      </c>
      <c r="C82" t="s">
        <v>10</v>
      </c>
    </row>
    <row r="83" spans="1:3" x14ac:dyDescent="0.3">
      <c r="A83" t="s">
        <v>22</v>
      </c>
      <c r="B83">
        <v>30.740500000000001</v>
      </c>
      <c r="C83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A7DA-AA41-431B-9162-5CD0EBDDD570}">
  <dimension ref="A2:C84"/>
  <sheetViews>
    <sheetView workbookViewId="0">
      <selection sqref="A1:C84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43.056800000000003</v>
      </c>
      <c r="C5" t="s">
        <v>10</v>
      </c>
    </row>
    <row r="6" spans="1:3" x14ac:dyDescent="0.3">
      <c r="A6" t="s">
        <v>4</v>
      </c>
      <c r="B6">
        <v>0.48720000000000002</v>
      </c>
      <c r="C6" t="s">
        <v>3</v>
      </c>
    </row>
    <row r="7" spans="1:3" x14ac:dyDescent="0.3">
      <c r="A7" t="s">
        <v>5</v>
      </c>
      <c r="B7">
        <v>-0.44409999999999999</v>
      </c>
      <c r="C7" t="s">
        <v>3</v>
      </c>
    </row>
    <row r="8" spans="1:3" x14ac:dyDescent="0.3">
      <c r="A8" t="s">
        <v>6</v>
      </c>
      <c r="B8">
        <v>0</v>
      </c>
      <c r="C8" t="s">
        <v>3</v>
      </c>
    </row>
    <row r="9" spans="1:3" x14ac:dyDescent="0.3">
      <c r="A9" t="s">
        <v>7</v>
      </c>
      <c r="B9">
        <v>26.1905</v>
      </c>
      <c r="C9" t="s">
        <v>8</v>
      </c>
    </row>
    <row r="10" spans="1:3" x14ac:dyDescent="0.3">
      <c r="A10" t="s">
        <v>9</v>
      </c>
      <c r="B10">
        <v>0.58909999999999996</v>
      </c>
      <c r="C10" t="s">
        <v>10</v>
      </c>
    </row>
    <row r="11" spans="1:3" x14ac:dyDescent="0.3">
      <c r="A11" t="s">
        <v>11</v>
      </c>
      <c r="B11">
        <v>0.3221</v>
      </c>
      <c r="C11" t="s">
        <v>10</v>
      </c>
    </row>
    <row r="12" spans="1:3" x14ac:dyDescent="0.3">
      <c r="A12" t="s">
        <v>12</v>
      </c>
      <c r="B12">
        <v>33.779600000000002</v>
      </c>
      <c r="C12" t="s">
        <v>8</v>
      </c>
    </row>
    <row r="13" spans="1:3" x14ac:dyDescent="0.3">
      <c r="A13" t="s">
        <v>13</v>
      </c>
      <c r="B13">
        <v>30.706099999999999</v>
      </c>
      <c r="C13" t="s">
        <v>8</v>
      </c>
    </row>
    <row r="14" spans="1:3" x14ac:dyDescent="0.3">
      <c r="A14" t="s">
        <v>14</v>
      </c>
      <c r="B14">
        <v>0.27110000000000001</v>
      </c>
      <c r="C14" t="s">
        <v>10</v>
      </c>
    </row>
    <row r="15" spans="1:3" x14ac:dyDescent="0.3">
      <c r="A15" t="s">
        <v>15</v>
      </c>
      <c r="B15">
        <v>91.4071</v>
      </c>
      <c r="C15" t="s">
        <v>8</v>
      </c>
    </row>
    <row r="16" spans="1:3" x14ac:dyDescent="0.3">
      <c r="A16" t="s">
        <v>16</v>
      </c>
      <c r="B16">
        <v>17.480799999999999</v>
      </c>
      <c r="C16" t="s">
        <v>8</v>
      </c>
    </row>
    <row r="17" spans="1:3" x14ac:dyDescent="0.3">
      <c r="A17" t="s">
        <v>17</v>
      </c>
      <c r="B17">
        <v>2.1920000000000002</v>
      </c>
      <c r="C17" t="s">
        <v>10</v>
      </c>
    </row>
    <row r="18" spans="1:3" x14ac:dyDescent="0.3">
      <c r="A18" t="s">
        <v>18</v>
      </c>
      <c r="B18">
        <v>5.5049999999999999</v>
      </c>
      <c r="C18" t="s">
        <v>8</v>
      </c>
    </row>
    <row r="19" spans="1:3" x14ac:dyDescent="0.3">
      <c r="A19" t="s">
        <v>19</v>
      </c>
      <c r="B19">
        <v>10.2624</v>
      </c>
      <c r="C19" t="s">
        <v>8</v>
      </c>
    </row>
    <row r="20" spans="1:3" x14ac:dyDescent="0.3">
      <c r="A20" t="s">
        <v>20</v>
      </c>
    </row>
    <row r="21" spans="1:3" x14ac:dyDescent="0.3">
      <c r="A21" t="s">
        <v>21</v>
      </c>
      <c r="B21">
        <v>51.560400000000001</v>
      </c>
      <c r="C21" t="s">
        <v>10</v>
      </c>
    </row>
    <row r="22" spans="1:3" x14ac:dyDescent="0.3">
      <c r="A22" t="s">
        <v>22</v>
      </c>
      <c r="B22">
        <v>56.377499999999998</v>
      </c>
      <c r="C22" t="s">
        <v>10</v>
      </c>
    </row>
    <row r="23" spans="1:3" x14ac:dyDescent="0.3">
      <c r="A23" t="s">
        <v>23</v>
      </c>
    </row>
    <row r="24" spans="1:3" x14ac:dyDescent="0.3">
      <c r="A24" t="s">
        <v>24</v>
      </c>
      <c r="B24">
        <v>100</v>
      </c>
      <c r="C24" t="s">
        <v>25</v>
      </c>
    </row>
    <row r="25" spans="1:3" x14ac:dyDescent="0.3">
      <c r="A25" t="s">
        <v>26</v>
      </c>
    </row>
    <row r="26" spans="1:3" x14ac:dyDescent="0.3">
      <c r="A26" t="s">
        <v>1</v>
      </c>
    </row>
    <row r="27" spans="1:3" x14ac:dyDescent="0.3">
      <c r="A27" t="s">
        <v>26</v>
      </c>
      <c r="B27">
        <v>10033.522000000001</v>
      </c>
      <c r="C27" t="s">
        <v>27</v>
      </c>
    </row>
    <row r="28" spans="1:3" x14ac:dyDescent="0.3">
      <c r="A28" t="s">
        <v>28</v>
      </c>
      <c r="B28">
        <v>0.1462</v>
      </c>
      <c r="C28" t="s">
        <v>3</v>
      </c>
    </row>
    <row r="29" spans="1:3" x14ac:dyDescent="0.3">
      <c r="A29" t="s">
        <v>29</v>
      </c>
      <c r="B29">
        <v>0.1462</v>
      </c>
      <c r="C29" t="s">
        <v>3</v>
      </c>
    </row>
    <row r="30" spans="1:3" x14ac:dyDescent="0.3">
      <c r="A30" t="s">
        <v>30</v>
      </c>
      <c r="B30">
        <v>2934.3312000000001</v>
      </c>
      <c r="C30" t="s">
        <v>31</v>
      </c>
    </row>
    <row r="31" spans="1:3" x14ac:dyDescent="0.3">
      <c r="A31" t="s">
        <v>32</v>
      </c>
      <c r="B31">
        <v>611.57569999999998</v>
      </c>
      <c r="C31" t="s">
        <v>31</v>
      </c>
    </row>
    <row r="32" spans="1:3" x14ac:dyDescent="0.3">
      <c r="A32" t="s">
        <v>33</v>
      </c>
      <c r="B32">
        <v>18.4618</v>
      </c>
      <c r="C32" t="s">
        <v>31</v>
      </c>
    </row>
    <row r="33" spans="1:3" x14ac:dyDescent="0.3">
      <c r="A33" t="s">
        <v>34</v>
      </c>
      <c r="B33">
        <v>2.1989000000000001</v>
      </c>
      <c r="C33" t="s">
        <v>31</v>
      </c>
    </row>
    <row r="34" spans="1:3" x14ac:dyDescent="0.3">
      <c r="A34" t="s">
        <v>35</v>
      </c>
      <c r="B34">
        <v>218.233</v>
      </c>
      <c r="C34" t="s">
        <v>27</v>
      </c>
    </row>
    <row r="35" spans="1:3" x14ac:dyDescent="0.3">
      <c r="A35" t="s">
        <v>36</v>
      </c>
      <c r="B35">
        <v>-596.58489999999995</v>
      </c>
      <c r="C35" t="s">
        <v>27</v>
      </c>
    </row>
    <row r="36" spans="1:3" x14ac:dyDescent="0.3">
      <c r="A36" t="s">
        <v>37</v>
      </c>
      <c r="B36">
        <v>-422.32929999999999</v>
      </c>
      <c r="C36" t="s">
        <v>27</v>
      </c>
    </row>
    <row r="37" spans="1:3" x14ac:dyDescent="0.3">
      <c r="A37" t="s">
        <v>38</v>
      </c>
      <c r="B37">
        <v>185.67910000000001</v>
      </c>
      <c r="C37" t="s">
        <v>27</v>
      </c>
    </row>
    <row r="38" spans="1:3" x14ac:dyDescent="0.3">
      <c r="A38" t="s">
        <v>39</v>
      </c>
      <c r="B38">
        <v>3.9403999999999999</v>
      </c>
      <c r="C38" t="s">
        <v>27</v>
      </c>
    </row>
    <row r="39" spans="1:3" x14ac:dyDescent="0.3">
      <c r="A39" t="s">
        <v>40</v>
      </c>
      <c r="B39">
        <v>8227.0820000000003</v>
      </c>
      <c r="C39" t="s">
        <v>27</v>
      </c>
    </row>
    <row r="40" spans="1:3" x14ac:dyDescent="0.3">
      <c r="A40" t="s">
        <v>41</v>
      </c>
      <c r="B40">
        <v>0.24410000000000001</v>
      </c>
      <c r="C40" t="s">
        <v>27</v>
      </c>
    </row>
    <row r="41" spans="1:3" x14ac:dyDescent="0.3">
      <c r="A41" t="s">
        <v>42</v>
      </c>
      <c r="B41">
        <v>2.5100000000000001E-2</v>
      </c>
      <c r="C41" t="s">
        <v>27</v>
      </c>
    </row>
    <row r="42" spans="1:3" x14ac:dyDescent="0.3">
      <c r="A42" t="s">
        <v>43</v>
      </c>
      <c r="B42">
        <v>0.4496</v>
      </c>
      <c r="C42" t="s">
        <v>27</v>
      </c>
    </row>
    <row r="43" spans="1:3" x14ac:dyDescent="0.3">
      <c r="A43" t="s">
        <v>44</v>
      </c>
      <c r="B43">
        <v>1.2721</v>
      </c>
      <c r="C43" t="s">
        <v>27</v>
      </c>
    </row>
    <row r="44" spans="1:3" x14ac:dyDescent="0.3">
      <c r="A44" t="s">
        <v>45</v>
      </c>
      <c r="B44">
        <v>2.5700000000000001E-2</v>
      </c>
      <c r="C44" t="s">
        <v>27</v>
      </c>
    </row>
    <row r="45" spans="1:3" x14ac:dyDescent="0.3">
      <c r="A45" t="s">
        <v>46</v>
      </c>
      <c r="B45">
        <v>3966.6633000000002</v>
      </c>
      <c r="C45" t="s">
        <v>27</v>
      </c>
    </row>
    <row r="46" spans="1:3" x14ac:dyDescent="0.3">
      <c r="A46" t="s">
        <v>47</v>
      </c>
      <c r="B46">
        <v>-1.6000000000000001E-3</v>
      </c>
      <c r="C46" t="s">
        <v>48</v>
      </c>
    </row>
    <row r="47" spans="1:3" x14ac:dyDescent="0.3">
      <c r="A47" t="s">
        <v>49</v>
      </c>
      <c r="B47">
        <v>1.5848</v>
      </c>
      <c r="C47" t="s">
        <v>50</v>
      </c>
    </row>
    <row r="48" spans="1:3" x14ac:dyDescent="0.3">
      <c r="A48" t="s">
        <v>51</v>
      </c>
      <c r="B48">
        <v>4.7131999999999996</v>
      </c>
      <c r="C48" t="s">
        <v>50</v>
      </c>
    </row>
    <row r="49" spans="1:3" x14ac:dyDescent="0.3">
      <c r="A49" t="s">
        <v>52</v>
      </c>
      <c r="B49">
        <v>20.136700000000001</v>
      </c>
      <c r="C49" t="s">
        <v>27</v>
      </c>
    </row>
    <row r="50" spans="1:3" x14ac:dyDescent="0.3">
      <c r="A50" t="s">
        <v>67</v>
      </c>
      <c r="B50">
        <v>-4.1999999999999997E-3</v>
      </c>
      <c r="C50" t="s">
        <v>3</v>
      </c>
    </row>
    <row r="51" spans="1:3" x14ac:dyDescent="0.3">
      <c r="A51" t="s">
        <v>53</v>
      </c>
      <c r="B51">
        <v>18.797899999999998</v>
      </c>
      <c r="C51" t="s">
        <v>27</v>
      </c>
    </row>
    <row r="52" spans="1:3" x14ac:dyDescent="0.3">
      <c r="A52" t="s">
        <v>54</v>
      </c>
      <c r="B52">
        <v>16.971399999999999</v>
      </c>
      <c r="C52" t="s">
        <v>27</v>
      </c>
    </row>
    <row r="53" spans="1:3" x14ac:dyDescent="0.3">
      <c r="A53" t="s">
        <v>55</v>
      </c>
      <c r="B53" s="1">
        <v>1.961E-4</v>
      </c>
      <c r="C53" t="s">
        <v>27</v>
      </c>
    </row>
    <row r="54" spans="1:3" x14ac:dyDescent="0.3">
      <c r="A54" t="s">
        <v>20</v>
      </c>
      <c r="B54" t="s">
        <v>56</v>
      </c>
    </row>
    <row r="55" spans="1:3" x14ac:dyDescent="0.3">
      <c r="A55" t="s">
        <v>58</v>
      </c>
      <c r="B55">
        <v>10588.433499999999</v>
      </c>
      <c r="C55" t="s">
        <v>27</v>
      </c>
    </row>
    <row r="56" spans="1:3" x14ac:dyDescent="0.3">
      <c r="A56" t="s">
        <v>59</v>
      </c>
      <c r="B56">
        <v>10587.161400000001</v>
      </c>
      <c r="C56" t="s">
        <v>27</v>
      </c>
    </row>
    <row r="57" spans="1:3" x14ac:dyDescent="0.3">
      <c r="A57" t="s">
        <v>57</v>
      </c>
      <c r="B57">
        <v>8227.0820000000003</v>
      </c>
      <c r="C57" t="s">
        <v>27</v>
      </c>
    </row>
    <row r="58" spans="1:3" x14ac:dyDescent="0.3">
      <c r="A58" t="s">
        <v>60</v>
      </c>
      <c r="B58">
        <v>464.0027</v>
      </c>
      <c r="C58" t="s">
        <v>27</v>
      </c>
    </row>
    <row r="59" spans="1:3" x14ac:dyDescent="0.3">
      <c r="A59" t="s">
        <v>62</v>
      </c>
      <c r="B59">
        <v>274.38319999999999</v>
      </c>
      <c r="C59" t="s">
        <v>27</v>
      </c>
    </row>
    <row r="60" spans="1:3" x14ac:dyDescent="0.3">
      <c r="A60" t="s">
        <v>61</v>
      </c>
      <c r="B60">
        <v>185.67910000000001</v>
      </c>
      <c r="C60" t="s">
        <v>27</v>
      </c>
    </row>
    <row r="61" spans="1:3" x14ac:dyDescent="0.3">
      <c r="A61" t="s">
        <v>63</v>
      </c>
      <c r="B61">
        <v>3.9403999999999999</v>
      </c>
      <c r="C61" t="s">
        <v>27</v>
      </c>
    </row>
    <row r="62" spans="1:3" x14ac:dyDescent="0.3">
      <c r="A62" t="s">
        <v>64</v>
      </c>
      <c r="B62">
        <v>1.2721</v>
      </c>
      <c r="C62" t="s">
        <v>27</v>
      </c>
    </row>
    <row r="63" spans="1:3" x14ac:dyDescent="0.3">
      <c r="A63" t="s">
        <v>29</v>
      </c>
      <c r="B63">
        <v>0.14979999999999999</v>
      </c>
      <c r="C63" t="s">
        <v>65</v>
      </c>
    </row>
    <row r="64" spans="1:3" x14ac:dyDescent="0.3">
      <c r="A64" t="s">
        <v>66</v>
      </c>
    </row>
    <row r="65" spans="1:3" x14ac:dyDescent="0.3">
      <c r="A65" t="s">
        <v>1</v>
      </c>
    </row>
    <row r="66" spans="1:3" x14ac:dyDescent="0.3">
      <c r="A66" t="s">
        <v>0</v>
      </c>
    </row>
    <row r="67" spans="1:3" x14ac:dyDescent="0.3">
      <c r="A67" t="s">
        <v>2</v>
      </c>
      <c r="B67">
        <v>2.71</v>
      </c>
      <c r="C67" t="s">
        <v>10</v>
      </c>
    </row>
    <row r="68" spans="1:3" x14ac:dyDescent="0.3">
      <c r="A68" t="s">
        <v>4</v>
      </c>
      <c r="B68">
        <v>8.4833999999999996</v>
      </c>
      <c r="C68" t="s">
        <v>10</v>
      </c>
    </row>
    <row r="69" spans="1:3" x14ac:dyDescent="0.3">
      <c r="A69" t="s">
        <v>5</v>
      </c>
      <c r="B69">
        <v>-5.7999999999999996E-3</v>
      </c>
      <c r="C69" t="s">
        <v>3</v>
      </c>
    </row>
    <row r="70" spans="1:3" x14ac:dyDescent="0.3">
      <c r="A70" t="s">
        <v>6</v>
      </c>
      <c r="B70">
        <v>0</v>
      </c>
      <c r="C70" t="s">
        <v>3</v>
      </c>
    </row>
    <row r="71" spans="1:3" x14ac:dyDescent="0.3">
      <c r="A71" t="s">
        <v>7</v>
      </c>
      <c r="B71">
        <v>1.7569999999999999</v>
      </c>
      <c r="C71" t="s">
        <v>8</v>
      </c>
    </row>
    <row r="72" spans="1:3" x14ac:dyDescent="0.3">
      <c r="A72" t="s">
        <v>9</v>
      </c>
      <c r="B72">
        <v>10.1252</v>
      </c>
      <c r="C72" t="s">
        <v>8</v>
      </c>
    </row>
    <row r="73" spans="1:3" x14ac:dyDescent="0.3">
      <c r="A73" t="s">
        <v>11</v>
      </c>
      <c r="B73">
        <v>5.3647</v>
      </c>
      <c r="C73" t="s">
        <v>8</v>
      </c>
    </row>
    <row r="74" spans="1:3" x14ac:dyDescent="0.3">
      <c r="A74" t="s">
        <v>12</v>
      </c>
      <c r="B74">
        <v>0.53520000000000001</v>
      </c>
      <c r="C74" t="s">
        <v>8</v>
      </c>
    </row>
    <row r="75" spans="1:3" x14ac:dyDescent="0.3">
      <c r="A75" t="s">
        <v>13</v>
      </c>
      <c r="B75">
        <v>0.44180000000000003</v>
      </c>
      <c r="C75" t="s">
        <v>8</v>
      </c>
    </row>
    <row r="76" spans="1:3" x14ac:dyDescent="0.3">
      <c r="A76" t="s">
        <v>14</v>
      </c>
      <c r="B76">
        <v>2.8933</v>
      </c>
      <c r="C76" t="s">
        <v>8</v>
      </c>
    </row>
    <row r="77" spans="1:3" x14ac:dyDescent="0.3">
      <c r="A77" t="s">
        <v>15</v>
      </c>
      <c r="B77">
        <v>2.9737</v>
      </c>
      <c r="C77" t="s">
        <v>8</v>
      </c>
    </row>
    <row r="78" spans="1:3" x14ac:dyDescent="0.3">
      <c r="A78" t="s">
        <v>16</v>
      </c>
      <c r="B78">
        <v>0.27010000000000001</v>
      </c>
      <c r="C78" t="s">
        <v>8</v>
      </c>
    </row>
    <row r="79" spans="1:3" x14ac:dyDescent="0.3">
      <c r="A79" t="s">
        <v>17</v>
      </c>
      <c r="B79">
        <v>0</v>
      </c>
      <c r="C79" t="s">
        <v>3</v>
      </c>
    </row>
    <row r="80" spans="1:3" x14ac:dyDescent="0.3">
      <c r="A80" t="s">
        <v>18</v>
      </c>
      <c r="B80">
        <v>58.641800000000003</v>
      </c>
      <c r="C80" t="s">
        <v>50</v>
      </c>
    </row>
    <row r="81" spans="1:3" x14ac:dyDescent="0.3">
      <c r="A81" t="s">
        <v>19</v>
      </c>
      <c r="B81">
        <v>0.1288</v>
      </c>
      <c r="C81" t="s">
        <v>8</v>
      </c>
    </row>
    <row r="82" spans="1:3" x14ac:dyDescent="0.3">
      <c r="A82" t="s">
        <v>20</v>
      </c>
    </row>
    <row r="83" spans="1:3" x14ac:dyDescent="0.3">
      <c r="A83" t="s">
        <v>21</v>
      </c>
      <c r="B83">
        <v>2.8938000000000001</v>
      </c>
      <c r="C83" t="s">
        <v>10</v>
      </c>
    </row>
    <row r="84" spans="1:3" x14ac:dyDescent="0.3">
      <c r="A84" t="s">
        <v>22</v>
      </c>
      <c r="B84">
        <v>3.0505</v>
      </c>
      <c r="C84" t="s">
        <v>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30C5-34E9-4977-8BCC-AB89383D941B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34.980499999999999</v>
      </c>
      <c r="C5" t="s">
        <v>10</v>
      </c>
    </row>
    <row r="6" spans="1:3" x14ac:dyDescent="0.3">
      <c r="A6" t="s">
        <v>4</v>
      </c>
      <c r="B6">
        <v>0.47910000000000003</v>
      </c>
      <c r="C6" t="s">
        <v>3</v>
      </c>
    </row>
    <row r="7" spans="1:3" x14ac:dyDescent="0.3">
      <c r="A7" t="s">
        <v>5</v>
      </c>
      <c r="B7">
        <v>-0.44409999999999999</v>
      </c>
      <c r="C7" t="s">
        <v>3</v>
      </c>
    </row>
    <row r="8" spans="1:3" x14ac:dyDescent="0.3">
      <c r="A8" t="s">
        <v>6</v>
      </c>
      <c r="B8">
        <v>0</v>
      </c>
      <c r="C8" t="s">
        <v>3</v>
      </c>
    </row>
    <row r="9" spans="1:3" x14ac:dyDescent="0.3">
      <c r="A9" t="s">
        <v>7</v>
      </c>
      <c r="B9">
        <v>21.220800000000001</v>
      </c>
      <c r="C9" t="s">
        <v>8</v>
      </c>
    </row>
    <row r="10" spans="1:3" x14ac:dyDescent="0.3">
      <c r="A10" t="s">
        <v>9</v>
      </c>
      <c r="B10">
        <v>0.57640000000000002</v>
      </c>
      <c r="C10" t="s">
        <v>10</v>
      </c>
    </row>
    <row r="11" spans="1:3" x14ac:dyDescent="0.3">
      <c r="A11" t="s">
        <v>11</v>
      </c>
      <c r="B11">
        <v>0.21859999999999999</v>
      </c>
      <c r="C11" t="s">
        <v>10</v>
      </c>
    </row>
    <row r="12" spans="1:3" x14ac:dyDescent="0.3">
      <c r="A12" t="s">
        <v>12</v>
      </c>
      <c r="B12">
        <v>24.719100000000001</v>
      </c>
      <c r="C12" t="s">
        <v>8</v>
      </c>
    </row>
    <row r="13" spans="1:3" x14ac:dyDescent="0.3">
      <c r="A13" t="s">
        <v>13</v>
      </c>
      <c r="B13">
        <v>22.504100000000001</v>
      </c>
      <c r="C13" t="s">
        <v>8</v>
      </c>
    </row>
    <row r="14" spans="1:3" x14ac:dyDescent="0.3">
      <c r="A14" t="s">
        <v>14</v>
      </c>
      <c r="B14">
        <v>0.1933</v>
      </c>
      <c r="C14" t="s">
        <v>10</v>
      </c>
    </row>
    <row r="15" spans="1:3" x14ac:dyDescent="0.3">
      <c r="A15" t="s">
        <v>15</v>
      </c>
      <c r="B15">
        <v>71.329599999999999</v>
      </c>
      <c r="C15" t="s">
        <v>8</v>
      </c>
    </row>
    <row r="16" spans="1:3" x14ac:dyDescent="0.3">
      <c r="A16" t="s">
        <v>16</v>
      </c>
      <c r="B16">
        <v>17.260100000000001</v>
      </c>
      <c r="C16" t="s">
        <v>8</v>
      </c>
    </row>
    <row r="17" spans="1:3" x14ac:dyDescent="0.3">
      <c r="A17" t="s">
        <v>17</v>
      </c>
      <c r="B17">
        <v>2.1920000000000002</v>
      </c>
      <c r="C17" t="s">
        <v>10</v>
      </c>
    </row>
    <row r="18" spans="1:3" x14ac:dyDescent="0.3">
      <c r="A18" t="s">
        <v>18</v>
      </c>
      <c r="B18">
        <v>4.2922000000000002</v>
      </c>
      <c r="C18" t="s">
        <v>8</v>
      </c>
    </row>
    <row r="19" spans="1:3" x14ac:dyDescent="0.3">
      <c r="A19" t="s">
        <v>19</v>
      </c>
      <c r="B19">
        <v>7.0884</v>
      </c>
      <c r="C19" t="s">
        <v>8</v>
      </c>
    </row>
    <row r="20" spans="1:3" x14ac:dyDescent="0.3">
      <c r="A20" t="s">
        <v>20</v>
      </c>
    </row>
    <row r="21" spans="1:3" x14ac:dyDescent="0.3">
      <c r="A21" t="s">
        <v>21</v>
      </c>
      <c r="B21">
        <v>42.790100000000002</v>
      </c>
      <c r="C21" t="s">
        <v>10</v>
      </c>
    </row>
    <row r="22" spans="1:3" x14ac:dyDescent="0.3">
      <c r="A22" t="s">
        <v>22</v>
      </c>
      <c r="B22">
        <v>46.549199999999999</v>
      </c>
      <c r="C22" t="s">
        <v>10</v>
      </c>
    </row>
    <row r="23" spans="1:3" x14ac:dyDescent="0.3">
      <c r="A23" t="s">
        <v>23</v>
      </c>
    </row>
    <row r="24" spans="1:3" x14ac:dyDescent="0.3">
      <c r="A24" t="s">
        <v>24</v>
      </c>
      <c r="B24">
        <v>100</v>
      </c>
      <c r="C24" t="s">
        <v>25</v>
      </c>
    </row>
    <row r="25" spans="1:3" x14ac:dyDescent="0.3">
      <c r="A25" t="s">
        <v>26</v>
      </c>
    </row>
    <row r="26" spans="1:3" x14ac:dyDescent="0.3">
      <c r="A26" t="s">
        <v>1</v>
      </c>
    </row>
    <row r="27" spans="1:3" x14ac:dyDescent="0.3">
      <c r="A27" t="s">
        <v>26</v>
      </c>
      <c r="B27">
        <v>8508.3340000000007</v>
      </c>
      <c r="C27" t="s">
        <v>27</v>
      </c>
    </row>
    <row r="28" spans="1:3" x14ac:dyDescent="0.3">
      <c r="A28" t="s">
        <v>28</v>
      </c>
      <c r="B28">
        <v>0.1462</v>
      </c>
      <c r="C28" t="s">
        <v>3</v>
      </c>
    </row>
    <row r="29" spans="1:3" x14ac:dyDescent="0.3">
      <c r="A29" t="s">
        <v>29</v>
      </c>
      <c r="B29">
        <v>0.1462</v>
      </c>
      <c r="C29" t="s">
        <v>3</v>
      </c>
    </row>
    <row r="30" spans="1:3" x14ac:dyDescent="0.3">
      <c r="A30" t="s">
        <v>30</v>
      </c>
      <c r="B30">
        <v>2859.3642</v>
      </c>
      <c r="C30" t="s">
        <v>31</v>
      </c>
    </row>
    <row r="31" spans="1:3" x14ac:dyDescent="0.3">
      <c r="A31" t="s">
        <v>32</v>
      </c>
      <c r="B31">
        <v>428.0521</v>
      </c>
      <c r="C31" t="s">
        <v>31</v>
      </c>
    </row>
    <row r="32" spans="1:3" x14ac:dyDescent="0.3">
      <c r="A32" t="s">
        <v>33</v>
      </c>
      <c r="B32">
        <v>14.255800000000001</v>
      </c>
      <c r="C32" t="s">
        <v>31</v>
      </c>
    </row>
    <row r="33" spans="1:3" x14ac:dyDescent="0.3">
      <c r="A33" t="s">
        <v>34</v>
      </c>
      <c r="B33" s="1">
        <v>-6.3539999999999996E-6</v>
      </c>
      <c r="C33" t="s">
        <v>65</v>
      </c>
    </row>
    <row r="34" spans="1:3" x14ac:dyDescent="0.3">
      <c r="A34" t="s">
        <v>35</v>
      </c>
      <c r="B34">
        <v>174.42760000000001</v>
      </c>
      <c r="C34" t="s">
        <v>27</v>
      </c>
    </row>
    <row r="35" spans="1:3" x14ac:dyDescent="0.3">
      <c r="A35" t="s">
        <v>36</v>
      </c>
      <c r="B35">
        <v>-596.58489999999995</v>
      </c>
      <c r="C35" t="s">
        <v>27</v>
      </c>
    </row>
    <row r="36" spans="1:3" x14ac:dyDescent="0.3">
      <c r="A36" t="s">
        <v>37</v>
      </c>
      <c r="B36">
        <v>-422.32929999999999</v>
      </c>
      <c r="C36" t="s">
        <v>27</v>
      </c>
    </row>
    <row r="37" spans="1:3" x14ac:dyDescent="0.3">
      <c r="A37" t="s">
        <v>38</v>
      </c>
      <c r="B37">
        <v>114.2563</v>
      </c>
      <c r="C37" t="s">
        <v>27</v>
      </c>
    </row>
    <row r="38" spans="1:3" x14ac:dyDescent="0.3">
      <c r="A38" t="s">
        <v>39</v>
      </c>
      <c r="B38">
        <v>-11.492100000000001</v>
      </c>
      <c r="C38" t="s">
        <v>27</v>
      </c>
    </row>
    <row r="39" spans="1:3" x14ac:dyDescent="0.3">
      <c r="A39" t="s">
        <v>40</v>
      </c>
      <c r="B39">
        <v>8226.7574999999997</v>
      </c>
      <c r="C39" t="s">
        <v>27</v>
      </c>
    </row>
    <row r="40" spans="1:3" x14ac:dyDescent="0.3">
      <c r="A40" t="s">
        <v>41</v>
      </c>
      <c r="B40">
        <v>0.1951</v>
      </c>
      <c r="C40" t="s">
        <v>27</v>
      </c>
    </row>
    <row r="41" spans="1:3" x14ac:dyDescent="0.3">
      <c r="A41" t="s">
        <v>42</v>
      </c>
      <c r="B41">
        <v>-7.1499999999999994E-2</v>
      </c>
      <c r="C41" t="s">
        <v>27</v>
      </c>
    </row>
    <row r="42" spans="1:3" x14ac:dyDescent="0.3">
      <c r="A42" t="s">
        <v>43</v>
      </c>
      <c r="B42">
        <v>-1.2990999999999999</v>
      </c>
      <c r="C42" t="s">
        <v>27</v>
      </c>
    </row>
    <row r="43" spans="1:3" x14ac:dyDescent="0.3">
      <c r="A43" t="s">
        <v>44</v>
      </c>
      <c r="B43">
        <v>-3.6171000000000002</v>
      </c>
      <c r="C43" t="s">
        <v>27</v>
      </c>
    </row>
    <row r="44" spans="1:3" x14ac:dyDescent="0.3">
      <c r="A44" t="s">
        <v>45</v>
      </c>
      <c r="B44">
        <v>-7.3099999999999998E-2</v>
      </c>
      <c r="C44" t="s">
        <v>27</v>
      </c>
    </row>
    <row r="45" spans="1:3" x14ac:dyDescent="0.3">
      <c r="A45" t="s">
        <v>46</v>
      </c>
      <c r="B45">
        <v>2637.0718000000002</v>
      </c>
      <c r="C45" t="s">
        <v>27</v>
      </c>
    </row>
    <row r="46" spans="1:3" x14ac:dyDescent="0.3">
      <c r="A46" t="s">
        <v>47</v>
      </c>
      <c r="B46">
        <v>-1.6999999999999999E-3</v>
      </c>
      <c r="C46" t="s">
        <v>48</v>
      </c>
    </row>
    <row r="47" spans="1:3" x14ac:dyDescent="0.3">
      <c r="A47" t="s">
        <v>49</v>
      </c>
      <c r="B47" s="1">
        <v>-4.5062E-9</v>
      </c>
      <c r="C47" t="s">
        <v>3</v>
      </c>
    </row>
    <row r="48" spans="1:3" x14ac:dyDescent="0.3">
      <c r="A48" t="s">
        <v>51</v>
      </c>
      <c r="B48" s="1">
        <v>-1.3402E-8</v>
      </c>
      <c r="C48" t="s">
        <v>3</v>
      </c>
    </row>
    <row r="49" spans="1:3" x14ac:dyDescent="0.3">
      <c r="A49" t="s">
        <v>52</v>
      </c>
      <c r="B49">
        <v>16.0947</v>
      </c>
      <c r="C49" t="s">
        <v>27</v>
      </c>
    </row>
    <row r="50" spans="1:3" x14ac:dyDescent="0.3">
      <c r="A50" t="s">
        <v>53</v>
      </c>
      <c r="B50">
        <v>15.024699999999999</v>
      </c>
      <c r="C50" t="s">
        <v>27</v>
      </c>
    </row>
    <row r="51" spans="1:3" x14ac:dyDescent="0.3">
      <c r="A51" t="s">
        <v>54</v>
      </c>
      <c r="B51">
        <v>13.5648</v>
      </c>
      <c r="C51" t="s">
        <v>27</v>
      </c>
    </row>
    <row r="52" spans="1:3" x14ac:dyDescent="0.3">
      <c r="A52" t="s">
        <v>55</v>
      </c>
      <c r="B52" s="1">
        <v>-5.5761000000000005E-4</v>
      </c>
      <c r="C52" t="s">
        <v>27</v>
      </c>
    </row>
    <row r="53" spans="1:3" x14ac:dyDescent="0.3">
      <c r="A53" t="s">
        <v>20</v>
      </c>
      <c r="B53" t="s">
        <v>56</v>
      </c>
    </row>
    <row r="54" spans="1:3" x14ac:dyDescent="0.3">
      <c r="A54" t="s">
        <v>59</v>
      </c>
      <c r="B54">
        <v>9208.7942000000003</v>
      </c>
      <c r="C54" t="s">
        <v>27</v>
      </c>
    </row>
    <row r="55" spans="1:3" x14ac:dyDescent="0.3">
      <c r="A55" t="s">
        <v>58</v>
      </c>
      <c r="B55">
        <v>9205.1771000000008</v>
      </c>
      <c r="C55" t="s">
        <v>27</v>
      </c>
    </row>
    <row r="56" spans="1:3" x14ac:dyDescent="0.3">
      <c r="A56" t="s">
        <v>57</v>
      </c>
      <c r="B56">
        <v>8226.7574999999997</v>
      </c>
      <c r="C56" t="s">
        <v>27</v>
      </c>
    </row>
    <row r="57" spans="1:3" x14ac:dyDescent="0.3">
      <c r="A57" t="s">
        <v>60</v>
      </c>
      <c r="B57">
        <v>322.07100000000003</v>
      </c>
      <c r="C57" t="s">
        <v>27</v>
      </c>
    </row>
    <row r="58" spans="1:3" x14ac:dyDescent="0.3">
      <c r="A58" t="s">
        <v>62</v>
      </c>
      <c r="B58">
        <v>219.30690000000001</v>
      </c>
      <c r="C58" t="s">
        <v>27</v>
      </c>
    </row>
    <row r="59" spans="1:3" x14ac:dyDescent="0.3">
      <c r="A59" t="s">
        <v>61</v>
      </c>
      <c r="B59">
        <v>114.2563</v>
      </c>
      <c r="C59" t="s">
        <v>27</v>
      </c>
    </row>
    <row r="60" spans="1:3" x14ac:dyDescent="0.3">
      <c r="A60" t="s">
        <v>29</v>
      </c>
      <c r="B60">
        <v>0.14949999999999999</v>
      </c>
      <c r="C60" t="s">
        <v>65</v>
      </c>
    </row>
    <row r="61" spans="1:3" x14ac:dyDescent="0.3">
      <c r="A61" t="s">
        <v>64</v>
      </c>
      <c r="B61">
        <v>-3.6171000000000002</v>
      </c>
      <c r="C61" t="s">
        <v>27</v>
      </c>
    </row>
    <row r="62" spans="1:3" x14ac:dyDescent="0.3">
      <c r="A62" t="s">
        <v>63</v>
      </c>
      <c r="B62">
        <v>-11.492100000000001</v>
      </c>
      <c r="C62" t="s">
        <v>27</v>
      </c>
    </row>
    <row r="63" spans="1:3" x14ac:dyDescent="0.3">
      <c r="A63" t="s">
        <v>66</v>
      </c>
    </row>
    <row r="64" spans="1:3" x14ac:dyDescent="0.3">
      <c r="A64" t="s">
        <v>1</v>
      </c>
    </row>
    <row r="65" spans="1:3" x14ac:dyDescent="0.3">
      <c r="A65" t="s">
        <v>0</v>
      </c>
    </row>
    <row r="66" spans="1:3" x14ac:dyDescent="0.3">
      <c r="A66" t="s">
        <v>2</v>
      </c>
      <c r="B66">
        <v>1.3315999999999999</v>
      </c>
      <c r="C66" t="s">
        <v>10</v>
      </c>
    </row>
    <row r="67" spans="1:3" x14ac:dyDescent="0.3">
      <c r="A67" t="s">
        <v>4</v>
      </c>
      <c r="B67">
        <v>7.1044999999999998</v>
      </c>
      <c r="C67" t="s">
        <v>10</v>
      </c>
    </row>
    <row r="68" spans="1:3" x14ac:dyDescent="0.3">
      <c r="A68" t="s">
        <v>5</v>
      </c>
      <c r="B68">
        <v>-5.7999999999999996E-3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1.5797000000000001</v>
      </c>
      <c r="C70" t="s">
        <v>8</v>
      </c>
    </row>
    <row r="71" spans="1:3" x14ac:dyDescent="0.3">
      <c r="A71" t="s">
        <v>9</v>
      </c>
      <c r="B71">
        <v>9.1318999999999999</v>
      </c>
      <c r="C71" t="s">
        <v>8</v>
      </c>
    </row>
    <row r="72" spans="1:3" x14ac:dyDescent="0.3">
      <c r="A72" t="s">
        <v>11</v>
      </c>
      <c r="B72">
        <v>4.1685999999999996</v>
      </c>
      <c r="C72" t="s">
        <v>8</v>
      </c>
    </row>
    <row r="73" spans="1:3" x14ac:dyDescent="0.3">
      <c r="A73" t="s">
        <v>12</v>
      </c>
      <c r="B73">
        <v>0.42880000000000001</v>
      </c>
      <c r="C73" t="s">
        <v>8</v>
      </c>
    </row>
    <row r="74" spans="1:3" x14ac:dyDescent="0.3">
      <c r="A74" t="s">
        <v>13</v>
      </c>
      <c r="B74">
        <v>0.3634</v>
      </c>
      <c r="C74" t="s">
        <v>8</v>
      </c>
    </row>
    <row r="75" spans="1:3" x14ac:dyDescent="0.3">
      <c r="A75" t="s">
        <v>14</v>
      </c>
      <c r="B75">
        <v>2.2584</v>
      </c>
      <c r="C75" t="s">
        <v>8</v>
      </c>
    </row>
    <row r="76" spans="1:3" x14ac:dyDescent="0.3">
      <c r="A76" t="s">
        <v>15</v>
      </c>
      <c r="B76">
        <v>2.0804999999999998</v>
      </c>
      <c r="C76" t="s">
        <v>8</v>
      </c>
    </row>
    <row r="77" spans="1:3" x14ac:dyDescent="0.3">
      <c r="A77" t="s">
        <v>16</v>
      </c>
      <c r="B77">
        <v>0.2427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53.5167</v>
      </c>
      <c r="C79" t="s">
        <v>50</v>
      </c>
    </row>
    <row r="80" spans="1:3" x14ac:dyDescent="0.3">
      <c r="A80" t="s">
        <v>19</v>
      </c>
      <c r="B80">
        <v>0.1095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1.4791000000000001</v>
      </c>
      <c r="C82" t="s">
        <v>10</v>
      </c>
    </row>
    <row r="83" spans="1:3" x14ac:dyDescent="0.3">
      <c r="A83" t="s">
        <v>22</v>
      </c>
      <c r="B83">
        <v>1.5888</v>
      </c>
      <c r="C83" t="s">
        <v>10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25B8-9281-4E90-84C7-7AB6E56838D8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80.678399999999996</v>
      </c>
      <c r="C5" t="s">
        <v>10</v>
      </c>
    </row>
    <row r="6" spans="1:3" x14ac:dyDescent="0.3">
      <c r="A6" t="s">
        <v>4</v>
      </c>
      <c r="B6">
        <v>0.52480000000000004</v>
      </c>
      <c r="C6" t="s">
        <v>3</v>
      </c>
    </row>
    <row r="7" spans="1:3" x14ac:dyDescent="0.3">
      <c r="A7" t="s">
        <v>5</v>
      </c>
      <c r="B7">
        <v>-0.44409999999999999</v>
      </c>
      <c r="C7" t="s">
        <v>3</v>
      </c>
    </row>
    <row r="8" spans="1:3" x14ac:dyDescent="0.3">
      <c r="A8" t="s">
        <v>6</v>
      </c>
      <c r="B8">
        <v>0</v>
      </c>
      <c r="C8" t="s">
        <v>3</v>
      </c>
    </row>
    <row r="9" spans="1:3" x14ac:dyDescent="0.3">
      <c r="A9" t="s">
        <v>7</v>
      </c>
      <c r="B9">
        <v>42.101399999999998</v>
      </c>
      <c r="C9" t="s">
        <v>8</v>
      </c>
    </row>
    <row r="10" spans="1:3" x14ac:dyDescent="0.3">
      <c r="A10" t="s">
        <v>9</v>
      </c>
      <c r="B10">
        <v>0.63109999999999999</v>
      </c>
      <c r="C10" t="s">
        <v>10</v>
      </c>
    </row>
    <row r="11" spans="1:3" x14ac:dyDescent="0.3">
      <c r="A11" t="s">
        <v>11</v>
      </c>
      <c r="B11">
        <v>0.3458</v>
      </c>
      <c r="C11" t="s">
        <v>10</v>
      </c>
    </row>
    <row r="12" spans="1:3" x14ac:dyDescent="0.3">
      <c r="A12" t="s">
        <v>12</v>
      </c>
      <c r="B12">
        <v>33.117400000000004</v>
      </c>
      <c r="C12" t="s">
        <v>8</v>
      </c>
    </row>
    <row r="13" spans="1:3" x14ac:dyDescent="0.3">
      <c r="A13" t="s">
        <v>13</v>
      </c>
      <c r="B13">
        <v>30.1602</v>
      </c>
      <c r="C13" t="s">
        <v>8</v>
      </c>
    </row>
    <row r="14" spans="1:3" x14ac:dyDescent="0.3">
      <c r="A14" t="s">
        <v>14</v>
      </c>
      <c r="B14">
        <v>0.27210000000000001</v>
      </c>
      <c r="C14" t="s">
        <v>10</v>
      </c>
    </row>
    <row r="15" spans="1:3" x14ac:dyDescent="0.3">
      <c r="A15" t="s">
        <v>15</v>
      </c>
      <c r="B15">
        <v>0.65700000000000003</v>
      </c>
      <c r="C15" t="s">
        <v>10</v>
      </c>
    </row>
    <row r="16" spans="1:3" x14ac:dyDescent="0.3">
      <c r="A16" t="s">
        <v>16</v>
      </c>
      <c r="B16">
        <v>17.724299999999999</v>
      </c>
      <c r="C16" t="s">
        <v>8</v>
      </c>
    </row>
    <row r="17" spans="1:3" x14ac:dyDescent="0.3">
      <c r="A17" t="s">
        <v>17</v>
      </c>
      <c r="B17">
        <v>2.1920000000000002</v>
      </c>
      <c r="C17" t="s">
        <v>10</v>
      </c>
    </row>
    <row r="18" spans="1:3" x14ac:dyDescent="0.3">
      <c r="A18" t="s">
        <v>18</v>
      </c>
      <c r="B18">
        <v>5.3783000000000003</v>
      </c>
      <c r="C18" t="s">
        <v>8</v>
      </c>
    </row>
    <row r="19" spans="1:3" x14ac:dyDescent="0.3">
      <c r="A19" t="s">
        <v>19</v>
      </c>
      <c r="B19">
        <v>10.270099999999999</v>
      </c>
      <c r="C19" t="s">
        <v>8</v>
      </c>
    </row>
    <row r="20" spans="1:3" x14ac:dyDescent="0.3">
      <c r="A20" t="s">
        <v>20</v>
      </c>
    </row>
    <row r="21" spans="1:3" x14ac:dyDescent="0.3">
      <c r="A21" t="s">
        <v>21</v>
      </c>
      <c r="B21">
        <v>0.1062</v>
      </c>
      <c r="C21" t="s">
        <v>3</v>
      </c>
    </row>
    <row r="22" spans="1:3" x14ac:dyDescent="0.3">
      <c r="A22" t="s">
        <v>22</v>
      </c>
      <c r="B22">
        <v>0.14080000000000001</v>
      </c>
      <c r="C22" t="s">
        <v>3</v>
      </c>
    </row>
    <row r="23" spans="1:3" x14ac:dyDescent="0.3">
      <c r="A23" t="s">
        <v>23</v>
      </c>
    </row>
    <row r="24" spans="1:3" x14ac:dyDescent="0.3">
      <c r="A24" t="s">
        <v>24</v>
      </c>
      <c r="B24">
        <v>100</v>
      </c>
      <c r="C24" t="s">
        <v>25</v>
      </c>
    </row>
    <row r="25" spans="1:3" x14ac:dyDescent="0.3">
      <c r="A25" t="s">
        <v>26</v>
      </c>
    </row>
    <row r="26" spans="1:3" x14ac:dyDescent="0.3">
      <c r="A26" t="s">
        <v>1</v>
      </c>
    </row>
    <row r="27" spans="1:3" x14ac:dyDescent="0.3">
      <c r="A27" t="s">
        <v>26</v>
      </c>
      <c r="B27">
        <v>8453.3799999999992</v>
      </c>
      <c r="C27" t="s">
        <v>27</v>
      </c>
    </row>
    <row r="28" spans="1:3" x14ac:dyDescent="0.3">
      <c r="A28" t="s">
        <v>28</v>
      </c>
      <c r="B28">
        <v>0.1462</v>
      </c>
      <c r="C28" t="s">
        <v>3</v>
      </c>
    </row>
    <row r="29" spans="1:3" x14ac:dyDescent="0.3">
      <c r="A29" t="s">
        <v>29</v>
      </c>
      <c r="B29">
        <v>0.1462</v>
      </c>
      <c r="C29" t="s">
        <v>3</v>
      </c>
    </row>
    <row r="30" spans="1:3" x14ac:dyDescent="0.3">
      <c r="A30" t="s">
        <v>30</v>
      </c>
      <c r="B30">
        <v>0.1313</v>
      </c>
      <c r="C30" t="s">
        <v>65</v>
      </c>
    </row>
    <row r="31" spans="1:3" x14ac:dyDescent="0.3">
      <c r="A31" t="s">
        <v>32</v>
      </c>
      <c r="B31">
        <v>85.036600000000007</v>
      </c>
      <c r="C31" t="s">
        <v>31</v>
      </c>
    </row>
    <row r="32" spans="1:3" x14ac:dyDescent="0.3">
      <c r="A32" t="s">
        <v>33</v>
      </c>
      <c r="B32">
        <v>28.8156</v>
      </c>
      <c r="C32" t="s">
        <v>31</v>
      </c>
    </row>
    <row r="33" spans="1:3" x14ac:dyDescent="0.3">
      <c r="A33" t="s">
        <v>34</v>
      </c>
      <c r="B33">
        <v>4.1382000000000003</v>
      </c>
      <c r="C33" t="s">
        <v>31</v>
      </c>
    </row>
    <row r="34" spans="1:3" x14ac:dyDescent="0.3">
      <c r="A34" t="s">
        <v>35</v>
      </c>
      <c r="B34">
        <v>208.0326</v>
      </c>
      <c r="C34" t="s">
        <v>27</v>
      </c>
    </row>
    <row r="35" spans="1:3" x14ac:dyDescent="0.3">
      <c r="A35" t="s">
        <v>36</v>
      </c>
      <c r="B35">
        <v>-596.58489999999995</v>
      </c>
      <c r="C35" t="s">
        <v>27</v>
      </c>
    </row>
    <row r="36" spans="1:3" x14ac:dyDescent="0.3">
      <c r="A36" t="s">
        <v>37</v>
      </c>
      <c r="B36">
        <v>-422.32929999999999</v>
      </c>
      <c r="C36" t="s">
        <v>27</v>
      </c>
    </row>
    <row r="37" spans="1:3" x14ac:dyDescent="0.3">
      <c r="A37" t="s">
        <v>38</v>
      </c>
      <c r="B37">
        <v>2622.5990999999999</v>
      </c>
      <c r="C37" t="s">
        <v>27</v>
      </c>
    </row>
    <row r="38" spans="1:3" x14ac:dyDescent="0.3">
      <c r="A38" t="s">
        <v>39</v>
      </c>
      <c r="B38">
        <v>7.4423000000000004</v>
      </c>
      <c r="C38" t="s">
        <v>27</v>
      </c>
    </row>
    <row r="39" spans="1:3" x14ac:dyDescent="0.3">
      <c r="A39" t="s">
        <v>40</v>
      </c>
      <c r="B39">
        <v>8227.1555000000008</v>
      </c>
      <c r="C39" t="s">
        <v>27</v>
      </c>
    </row>
    <row r="40" spans="1:3" x14ac:dyDescent="0.3">
      <c r="A40" t="s">
        <v>41</v>
      </c>
      <c r="B40">
        <v>0.23269999999999999</v>
      </c>
      <c r="C40" t="s">
        <v>27</v>
      </c>
    </row>
    <row r="41" spans="1:3" x14ac:dyDescent="0.3">
      <c r="A41" t="s">
        <v>42</v>
      </c>
      <c r="B41">
        <v>4.7E-2</v>
      </c>
      <c r="C41" t="s">
        <v>27</v>
      </c>
    </row>
    <row r="42" spans="1:3" x14ac:dyDescent="0.3">
      <c r="A42" t="s">
        <v>43</v>
      </c>
      <c r="B42">
        <v>0.84609999999999996</v>
      </c>
      <c r="C42" t="s">
        <v>27</v>
      </c>
    </row>
    <row r="43" spans="1:3" x14ac:dyDescent="0.3">
      <c r="A43" t="s">
        <v>44</v>
      </c>
      <c r="B43">
        <v>2.3792</v>
      </c>
      <c r="C43" t="s">
        <v>27</v>
      </c>
    </row>
    <row r="44" spans="1:3" x14ac:dyDescent="0.3">
      <c r="A44" t="s">
        <v>45</v>
      </c>
      <c r="B44">
        <v>4.8099999999999997E-2</v>
      </c>
      <c r="C44" t="s">
        <v>27</v>
      </c>
    </row>
    <row r="45" spans="1:3" x14ac:dyDescent="0.3">
      <c r="A45" t="s">
        <v>46</v>
      </c>
      <c r="B45">
        <v>0.41310000000000002</v>
      </c>
      <c r="C45" t="s">
        <v>27</v>
      </c>
    </row>
    <row r="46" spans="1:3" x14ac:dyDescent="0.3">
      <c r="A46" t="s">
        <v>47</v>
      </c>
      <c r="B46">
        <v>-1.6999999999999999E-3</v>
      </c>
      <c r="C46" t="s">
        <v>48</v>
      </c>
    </row>
    <row r="47" spans="1:3" x14ac:dyDescent="0.3">
      <c r="A47" t="s">
        <v>49</v>
      </c>
      <c r="B47">
        <v>2.964</v>
      </c>
      <c r="C47" t="s">
        <v>50</v>
      </c>
    </row>
    <row r="48" spans="1:3" x14ac:dyDescent="0.3">
      <c r="A48" t="s">
        <v>51</v>
      </c>
      <c r="B48">
        <v>8.8150999999999993</v>
      </c>
      <c r="C48" t="s">
        <v>50</v>
      </c>
    </row>
    <row r="49" spans="1:3" x14ac:dyDescent="0.3">
      <c r="A49" t="s">
        <v>52</v>
      </c>
      <c r="B49">
        <v>19.195499999999999</v>
      </c>
      <c r="C49" t="s">
        <v>27</v>
      </c>
    </row>
    <row r="50" spans="1:3" x14ac:dyDescent="0.3">
      <c r="A50" t="s">
        <v>53</v>
      </c>
      <c r="B50">
        <v>17.9193</v>
      </c>
      <c r="C50" t="s">
        <v>27</v>
      </c>
    </row>
    <row r="51" spans="1:3" x14ac:dyDescent="0.3">
      <c r="A51" t="s">
        <v>54</v>
      </c>
      <c r="B51">
        <v>16.1782</v>
      </c>
      <c r="C51" t="s">
        <v>27</v>
      </c>
    </row>
    <row r="52" spans="1:3" x14ac:dyDescent="0.3">
      <c r="A52" t="s">
        <v>55</v>
      </c>
      <c r="B52" s="1">
        <v>3.6676999999999999E-4</v>
      </c>
      <c r="C52" t="s">
        <v>27</v>
      </c>
    </row>
    <row r="53" spans="1:3" x14ac:dyDescent="0.3">
      <c r="A53" t="s">
        <v>20</v>
      </c>
      <c r="B53" t="s">
        <v>56</v>
      </c>
    </row>
    <row r="54" spans="1:3" x14ac:dyDescent="0.3">
      <c r="A54" t="s">
        <v>57</v>
      </c>
      <c r="B54">
        <v>8227.1555000000008</v>
      </c>
      <c r="C54" t="s">
        <v>27</v>
      </c>
    </row>
    <row r="55" spans="1:3" x14ac:dyDescent="0.3">
      <c r="A55" t="s">
        <v>58</v>
      </c>
      <c r="B55">
        <v>6580.6945999999998</v>
      </c>
      <c r="C55" t="s">
        <v>27</v>
      </c>
    </row>
    <row r="56" spans="1:3" x14ac:dyDescent="0.3">
      <c r="A56" t="s">
        <v>59</v>
      </c>
      <c r="B56">
        <v>6578.3154000000004</v>
      </c>
      <c r="C56" t="s">
        <v>27</v>
      </c>
    </row>
    <row r="57" spans="1:3" x14ac:dyDescent="0.3">
      <c r="A57" t="s">
        <v>60</v>
      </c>
      <c r="B57">
        <v>2891.5994999999998</v>
      </c>
      <c r="C57" t="s">
        <v>27</v>
      </c>
    </row>
    <row r="58" spans="1:3" x14ac:dyDescent="0.3">
      <c r="A58" t="s">
        <v>61</v>
      </c>
      <c r="B58">
        <v>2622.5990999999999</v>
      </c>
      <c r="C58" t="s">
        <v>27</v>
      </c>
    </row>
    <row r="59" spans="1:3" x14ac:dyDescent="0.3">
      <c r="A59" t="s">
        <v>62</v>
      </c>
      <c r="B59">
        <v>261.5582</v>
      </c>
      <c r="C59" t="s">
        <v>27</v>
      </c>
    </row>
    <row r="60" spans="1:3" x14ac:dyDescent="0.3">
      <c r="A60" t="s">
        <v>63</v>
      </c>
      <c r="B60">
        <v>7.4423000000000004</v>
      </c>
      <c r="C60" t="s">
        <v>27</v>
      </c>
    </row>
    <row r="61" spans="1:3" x14ac:dyDescent="0.3">
      <c r="A61" t="s">
        <v>64</v>
      </c>
      <c r="B61">
        <v>2.3792</v>
      </c>
      <c r="C61" t="s">
        <v>27</v>
      </c>
    </row>
    <row r="62" spans="1:3" x14ac:dyDescent="0.3">
      <c r="A62" t="s">
        <v>29</v>
      </c>
      <c r="B62">
        <v>0.27760000000000001</v>
      </c>
      <c r="C62" t="s">
        <v>65</v>
      </c>
    </row>
    <row r="63" spans="1:3" x14ac:dyDescent="0.3">
      <c r="A63" t="s">
        <v>66</v>
      </c>
    </row>
    <row r="64" spans="1:3" x14ac:dyDescent="0.3">
      <c r="A64" t="s">
        <v>1</v>
      </c>
    </row>
    <row r="65" spans="1:3" x14ac:dyDescent="0.3">
      <c r="A65" t="s">
        <v>0</v>
      </c>
    </row>
    <row r="66" spans="1:3" x14ac:dyDescent="0.3">
      <c r="A66" t="s">
        <v>2</v>
      </c>
      <c r="B66">
        <v>4.1243999999999996</v>
      </c>
      <c r="C66" t="s">
        <v>10</v>
      </c>
    </row>
    <row r="67" spans="1:3" x14ac:dyDescent="0.3">
      <c r="A67" t="s">
        <v>4</v>
      </c>
      <c r="B67">
        <v>9.8978000000000002</v>
      </c>
      <c r="C67" t="s">
        <v>10</v>
      </c>
    </row>
    <row r="68" spans="1:3" x14ac:dyDescent="0.3">
      <c r="A68" t="s">
        <v>5</v>
      </c>
      <c r="B68">
        <v>-5.7999999999999996E-3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2.1095999999999999</v>
      </c>
      <c r="C70" t="s">
        <v>8</v>
      </c>
    </row>
    <row r="71" spans="1:3" x14ac:dyDescent="0.3">
      <c r="A71" t="s">
        <v>9</v>
      </c>
      <c r="B71">
        <v>11.507</v>
      </c>
      <c r="C71" t="s">
        <v>8</v>
      </c>
    </row>
    <row r="72" spans="1:3" x14ac:dyDescent="0.3">
      <c r="A72" t="s">
        <v>11</v>
      </c>
      <c r="B72">
        <v>10.2095</v>
      </c>
      <c r="C72" t="s">
        <v>8</v>
      </c>
    </row>
    <row r="73" spans="1:3" x14ac:dyDescent="0.3">
      <c r="A73" t="s">
        <v>12</v>
      </c>
      <c r="B73">
        <v>0.92569999999999997</v>
      </c>
      <c r="C73" t="s">
        <v>8</v>
      </c>
    </row>
    <row r="74" spans="1:3" x14ac:dyDescent="0.3">
      <c r="A74" t="s">
        <v>13</v>
      </c>
      <c r="B74">
        <v>0.81759999999999999</v>
      </c>
      <c r="C74" t="s">
        <v>8</v>
      </c>
    </row>
    <row r="75" spans="1:3" x14ac:dyDescent="0.3">
      <c r="A75" t="s">
        <v>14</v>
      </c>
      <c r="B75">
        <v>5.8070000000000004</v>
      </c>
      <c r="C75" t="s">
        <v>8</v>
      </c>
    </row>
    <row r="76" spans="1:3" x14ac:dyDescent="0.3">
      <c r="A76" t="s">
        <v>15</v>
      </c>
      <c r="B76">
        <v>0.1449</v>
      </c>
      <c r="C76" t="s">
        <v>10</v>
      </c>
    </row>
    <row r="77" spans="1:3" x14ac:dyDescent="0.3">
      <c r="A77" t="s">
        <v>16</v>
      </c>
      <c r="B77">
        <v>0.30430000000000001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0.10639999999999999</v>
      </c>
      <c r="C79" t="s">
        <v>8</v>
      </c>
    </row>
    <row r="80" spans="1:3" x14ac:dyDescent="0.3">
      <c r="A80" t="s">
        <v>19</v>
      </c>
      <c r="B80">
        <v>0.2959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8.5493000000000006</v>
      </c>
      <c r="C82" t="s">
        <v>10</v>
      </c>
    </row>
    <row r="83" spans="1:3" x14ac:dyDescent="0.3">
      <c r="A83" t="s">
        <v>22</v>
      </c>
      <c r="B83">
        <v>16.184100000000001</v>
      </c>
      <c r="C83" t="s">
        <v>10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28FD-26DA-4009-8BB9-37815578DF1C}">
  <dimension ref="A1:AA35"/>
  <sheetViews>
    <sheetView zoomScale="98" zoomScaleNormal="98" workbookViewId="0">
      <selection activeCell="H4" sqref="H4"/>
    </sheetView>
  </sheetViews>
  <sheetFormatPr defaultRowHeight="16.5" x14ac:dyDescent="0.3"/>
  <cols>
    <col min="1" max="1" width="26.875" customWidth="1"/>
    <col min="2" max="9" width="9.25" bestFit="1" customWidth="1"/>
    <col min="10" max="10" width="9.25" customWidth="1"/>
    <col min="11" max="13" width="9.25" bestFit="1" customWidth="1"/>
    <col min="14" max="14" width="10.375" bestFit="1" customWidth="1"/>
    <col min="15" max="15" width="9.5" bestFit="1" customWidth="1"/>
    <col min="16" max="16" width="9.25" bestFit="1" customWidth="1"/>
    <col min="17" max="18" width="9.25" customWidth="1"/>
    <col min="20" max="20" width="24.25" bestFit="1" customWidth="1"/>
    <col min="21" max="21" width="23.875" customWidth="1"/>
    <col min="22" max="22" width="29.875" customWidth="1"/>
    <col min="23" max="23" width="26.75" customWidth="1"/>
    <col min="24" max="24" width="19.125" bestFit="1" customWidth="1"/>
    <col min="25" max="25" width="18.875" bestFit="1" customWidth="1"/>
    <col min="26" max="26" width="16.75" bestFit="1" customWidth="1"/>
  </cols>
  <sheetData>
    <row r="1" spans="1:27" x14ac:dyDescent="0.3">
      <c r="A1" s="2" t="s">
        <v>68</v>
      </c>
      <c r="B1" s="3" t="s">
        <v>69</v>
      </c>
      <c r="C1" s="3" t="s">
        <v>70</v>
      </c>
      <c r="D1" s="3" t="s">
        <v>139</v>
      </c>
      <c r="E1" s="3" t="s">
        <v>72</v>
      </c>
      <c r="F1" s="3" t="s">
        <v>124</v>
      </c>
      <c r="G1" s="3" t="s">
        <v>140</v>
      </c>
      <c r="H1" s="3" t="s">
        <v>75</v>
      </c>
      <c r="I1" s="3" t="s">
        <v>76</v>
      </c>
      <c r="J1" s="3" t="s">
        <v>77</v>
      </c>
      <c r="K1" s="3" t="s">
        <v>78</v>
      </c>
      <c r="L1" s="3" t="s">
        <v>79</v>
      </c>
      <c r="M1" s="3" t="s">
        <v>80</v>
      </c>
      <c r="N1" s="3" t="s">
        <v>125</v>
      </c>
      <c r="O1" s="3" t="s">
        <v>126</v>
      </c>
      <c r="P1" s="25" t="s">
        <v>127</v>
      </c>
      <c r="Q1" s="30"/>
      <c r="R1" s="30"/>
      <c r="S1" s="13"/>
      <c r="T1" s="13"/>
      <c r="U1" s="26"/>
      <c r="V1" s="26"/>
      <c r="W1" s="26"/>
      <c r="X1" s="13"/>
      <c r="Y1" s="13"/>
      <c r="Z1" s="13"/>
      <c r="AA1" s="13"/>
    </row>
    <row r="2" spans="1:27" x14ac:dyDescent="0.3">
      <c r="A2" s="6" t="s">
        <v>91</v>
      </c>
      <c r="B2" s="7">
        <v>1.115E-4</v>
      </c>
      <c r="C2" s="7">
        <v>7.7289999999999998E-4</v>
      </c>
      <c r="D2" s="7">
        <v>2.8440000000000002E-3</v>
      </c>
      <c r="E2" s="7">
        <v>2.942E-6</v>
      </c>
      <c r="F2" s="7">
        <v>2.942E-6</v>
      </c>
      <c r="G2" s="7">
        <v>0</v>
      </c>
      <c r="H2" s="7">
        <v>9.175E-7</v>
      </c>
      <c r="I2" s="7">
        <v>1.7999999999999999E-6</v>
      </c>
      <c r="J2" s="7">
        <v>0</v>
      </c>
      <c r="K2" s="7">
        <v>0.60580000000000001</v>
      </c>
      <c r="L2" s="7">
        <v>9.287E-7</v>
      </c>
      <c r="M2" s="7">
        <v>8.8420000000000004E-7</v>
      </c>
      <c r="N2" s="8">
        <v>-0.60580000000000001</v>
      </c>
      <c r="O2" s="7">
        <v>1.562E-3</v>
      </c>
      <c r="P2" s="7">
        <v>2.0669999999999998E-3</v>
      </c>
      <c r="Q2" s="31"/>
      <c r="R2" s="31"/>
      <c r="S2" s="28"/>
      <c r="T2" s="26"/>
      <c r="U2" s="26"/>
      <c r="V2" s="26"/>
      <c r="W2" s="26"/>
      <c r="X2" s="26"/>
      <c r="Y2" s="26"/>
      <c r="Z2" s="26"/>
      <c r="AA2" s="13"/>
    </row>
    <row r="3" spans="1:27" ht="33" x14ac:dyDescent="0.3">
      <c r="A3" s="6" t="s">
        <v>95</v>
      </c>
      <c r="B3" s="7">
        <v>2.5239999999999999E-5</v>
      </c>
      <c r="C3" s="7">
        <v>1.6789999999999999E-4</v>
      </c>
      <c r="D3" s="7">
        <v>3.077E-4</v>
      </c>
      <c r="E3" s="7">
        <v>1.7149999999999999E-7</v>
      </c>
      <c r="F3" s="7">
        <v>1.7149999999999999E-7</v>
      </c>
      <c r="G3" s="7">
        <v>0</v>
      </c>
      <c r="H3" s="7">
        <v>9.175E-7</v>
      </c>
      <c r="I3" s="7">
        <v>1.7999999999999999E-6</v>
      </c>
      <c r="J3" s="7">
        <v>0</v>
      </c>
      <c r="K3" s="7">
        <v>6.8409999999999999E-2</v>
      </c>
      <c r="L3" s="7">
        <v>6.1399999999999994E-8</v>
      </c>
      <c r="M3" s="7">
        <v>4.4589999999999998E-8</v>
      </c>
      <c r="N3" s="7">
        <v>-6.8409999999999999E-2</v>
      </c>
      <c r="O3" s="7">
        <v>3.4259999999999998E-4</v>
      </c>
      <c r="P3" s="7">
        <v>8.4710000000000004E-4</v>
      </c>
      <c r="Q3" s="30"/>
      <c r="R3" s="31"/>
      <c r="S3" s="13"/>
      <c r="T3" s="13"/>
      <c r="U3" s="29"/>
      <c r="V3" s="13"/>
      <c r="W3" s="13"/>
      <c r="X3" s="13"/>
      <c r="Y3" s="13"/>
      <c r="Z3" s="13"/>
      <c r="AA3" s="13"/>
    </row>
    <row r="4" spans="1:27" x14ac:dyDescent="0.3">
      <c r="A4" s="6" t="s">
        <v>97</v>
      </c>
      <c r="B4" s="7">
        <v>1.8660000000000001E-5</v>
      </c>
      <c r="C4" s="7">
        <v>9.2280000000000004E-5</v>
      </c>
      <c r="D4" s="7">
        <v>1.651E-4</v>
      </c>
      <c r="E4" s="7">
        <v>1.6509999999999999E-5</v>
      </c>
      <c r="F4" s="7">
        <v>9.9529999999999994E-6</v>
      </c>
      <c r="G4" s="7">
        <v>4.7450000000000001E-5</v>
      </c>
      <c r="H4" s="7">
        <v>4.5800000000000002E-5</v>
      </c>
      <c r="I4" s="7">
        <v>1.592E-6</v>
      </c>
      <c r="J4" s="7">
        <v>0</v>
      </c>
      <c r="K4" s="7">
        <v>3.5680000000000003E-2</v>
      </c>
      <c r="L4" s="7">
        <v>2.993E-6</v>
      </c>
      <c r="M4" s="7">
        <v>1.105E-6</v>
      </c>
      <c r="N4" s="7">
        <v>-3.3059999999999999E-5</v>
      </c>
      <c r="O4" s="7">
        <v>3.585E-2</v>
      </c>
      <c r="P4" s="7">
        <v>3.7650000000000003E-2</v>
      </c>
      <c r="Q4" s="30"/>
      <c r="R4" s="31"/>
      <c r="S4" s="13"/>
      <c r="T4" s="13"/>
      <c r="U4" s="26"/>
      <c r="V4" s="13"/>
      <c r="W4" s="13"/>
      <c r="X4" s="13"/>
      <c r="Y4" s="13"/>
      <c r="Z4" s="13"/>
      <c r="AA4" s="13"/>
    </row>
    <row r="5" spans="1:27" x14ac:dyDescent="0.3">
      <c r="A5" s="12" t="s">
        <v>102</v>
      </c>
      <c r="B5" s="7">
        <f t="shared" ref="B5:I5" si="0">B6*$U$37*$V$60/1000</f>
        <v>0</v>
      </c>
      <c r="C5" s="7">
        <f t="shared" si="0"/>
        <v>0</v>
      </c>
      <c r="D5" s="7">
        <f t="shared" si="0"/>
        <v>0</v>
      </c>
      <c r="E5" s="7">
        <f t="shared" si="0"/>
        <v>0</v>
      </c>
      <c r="F5" s="7">
        <f t="shared" si="0"/>
        <v>0</v>
      </c>
      <c r="G5" s="7">
        <f t="shared" si="0"/>
        <v>0</v>
      </c>
      <c r="H5" s="7">
        <f t="shared" si="0"/>
        <v>0</v>
      </c>
      <c r="I5" s="7">
        <f t="shared" si="0"/>
        <v>0</v>
      </c>
      <c r="J5" s="7">
        <v>0</v>
      </c>
      <c r="K5" s="7">
        <f t="shared" ref="K5:P5" si="1">K6*$U$37*$V$60/1000</f>
        <v>0</v>
      </c>
      <c r="L5" s="7">
        <f t="shared" si="1"/>
        <v>0</v>
      </c>
      <c r="M5" s="7">
        <f t="shared" si="1"/>
        <v>0</v>
      </c>
      <c r="N5" s="7">
        <f t="shared" si="1"/>
        <v>0</v>
      </c>
      <c r="O5" s="7">
        <f t="shared" si="1"/>
        <v>0</v>
      </c>
      <c r="P5" s="7">
        <f t="shared" si="1"/>
        <v>0</v>
      </c>
      <c r="Q5" s="30"/>
      <c r="R5" s="31"/>
      <c r="S5" s="13"/>
      <c r="T5" s="13"/>
      <c r="U5" s="13"/>
      <c r="V5" s="13"/>
      <c r="W5" s="13"/>
      <c r="X5" s="13"/>
      <c r="Y5" s="13"/>
      <c r="Z5" s="13"/>
      <c r="AA5" s="13"/>
    </row>
    <row r="6" spans="1:27" x14ac:dyDescent="0.3">
      <c r="A6" s="12" t="s">
        <v>103</v>
      </c>
      <c r="B6" s="7">
        <v>2.1631999999999998</v>
      </c>
      <c r="C6" s="7">
        <v>106994</v>
      </c>
      <c r="D6" s="7">
        <v>19.1479</v>
      </c>
      <c r="E6" s="7">
        <v>1.9144000000000001</v>
      </c>
      <c r="F6" s="7">
        <v>1.1538999999999999</v>
      </c>
      <c r="G6" s="7">
        <v>5.5019</v>
      </c>
      <c r="H6" s="7">
        <v>5.3102</v>
      </c>
      <c r="I6" s="7">
        <v>0.18459999999999999</v>
      </c>
      <c r="J6" s="7">
        <v>0</v>
      </c>
      <c r="K6" s="13">
        <f>4.1335*1000</f>
        <v>4133.5</v>
      </c>
      <c r="L6" s="7">
        <v>0.34699999999999998</v>
      </c>
      <c r="M6" s="7">
        <v>0.12809999999999999</v>
      </c>
      <c r="N6" s="7">
        <v>-3.8334000000000001</v>
      </c>
      <c r="O6" s="7">
        <f>K6+N6</f>
        <v>4129.6665999999996</v>
      </c>
      <c r="P6" s="7">
        <f>4.3657*1000</f>
        <v>4365.7000000000007</v>
      </c>
      <c r="Q6" s="30"/>
      <c r="R6" s="31"/>
      <c r="S6" s="13"/>
      <c r="T6" s="13"/>
      <c r="U6" s="13"/>
      <c r="V6" s="13"/>
      <c r="W6" s="13"/>
      <c r="X6" s="13"/>
      <c r="Y6" s="13"/>
      <c r="Z6" s="13"/>
      <c r="AA6" s="13"/>
    </row>
    <row r="7" spans="1:27" x14ac:dyDescent="0.3">
      <c r="A7" s="13"/>
      <c r="B7" s="13"/>
      <c r="C7" s="13"/>
      <c r="D7" s="13"/>
      <c r="E7" s="13"/>
      <c r="F7" s="13"/>
      <c r="G7" s="13"/>
      <c r="H7" s="13"/>
      <c r="I7" s="13"/>
      <c r="J7" s="14"/>
      <c r="K7" s="13"/>
      <c r="L7" s="13"/>
      <c r="M7" s="13"/>
      <c r="N7" s="13"/>
      <c r="O7" s="13"/>
      <c r="P7" s="13"/>
      <c r="Q7" s="30"/>
      <c r="R7" s="31"/>
      <c r="S7" s="13"/>
      <c r="T7" s="13"/>
      <c r="U7" s="13"/>
      <c r="V7" s="13"/>
      <c r="W7" s="13"/>
      <c r="X7" s="13"/>
      <c r="Y7" s="13"/>
      <c r="Z7" s="13"/>
      <c r="AA7" s="13"/>
    </row>
    <row r="8" spans="1:27" ht="33" x14ac:dyDescent="0.3">
      <c r="A8" s="6" t="s">
        <v>105</v>
      </c>
      <c r="B8" s="7">
        <v>7.1369999999999996E-6</v>
      </c>
      <c r="C8" s="7">
        <v>4.3579999999999996E-6</v>
      </c>
      <c r="D8" s="7">
        <v>4.9259999999999999E-6</v>
      </c>
      <c r="E8" s="7">
        <v>3.8509999999999997E-7</v>
      </c>
      <c r="F8" s="7">
        <v>2.6440000000000001E-7</v>
      </c>
      <c r="G8" s="7">
        <v>8.7120000000000002E-7</v>
      </c>
      <c r="H8" s="7">
        <v>1.3549999999999999E-6</v>
      </c>
      <c r="I8" s="7">
        <v>4.2790000000000001E-8</v>
      </c>
      <c r="J8" s="7">
        <v>0</v>
      </c>
      <c r="K8" s="7">
        <v>4.156E-3</v>
      </c>
      <c r="L8" s="7">
        <v>2.9029999999999999E-8</v>
      </c>
      <c r="M8" s="7">
        <v>6.004E-8</v>
      </c>
      <c r="N8" s="7">
        <v>-4.298E-7</v>
      </c>
      <c r="O8" s="7">
        <v>4.1840000000000002E-3</v>
      </c>
      <c r="P8" s="7">
        <v>4.2360000000000002E-3</v>
      </c>
      <c r="Q8" s="30"/>
      <c r="R8" s="31"/>
      <c r="S8" s="13"/>
      <c r="T8" s="13"/>
      <c r="U8" s="13"/>
      <c r="V8" s="13"/>
      <c r="W8" s="13"/>
      <c r="X8" s="13"/>
      <c r="Y8" s="13"/>
      <c r="Z8" s="13"/>
      <c r="AA8" s="13"/>
    </row>
    <row r="9" spans="1:27" x14ac:dyDescent="0.3">
      <c r="A9" s="15" t="s">
        <v>107</v>
      </c>
      <c r="B9" s="16">
        <v>1.3019999999999999E-4</v>
      </c>
      <c r="C9" s="16">
        <v>8.652E-4</v>
      </c>
      <c r="D9" s="16">
        <v>3.009E-3</v>
      </c>
      <c r="E9" s="16">
        <v>1.9449999999999998E-5</v>
      </c>
      <c r="F9" s="16">
        <v>1.29E-5</v>
      </c>
      <c r="G9" s="16">
        <v>4.7450000000000001E-5</v>
      </c>
      <c r="H9" s="16">
        <v>4.672E-5</v>
      </c>
      <c r="I9" s="16">
        <v>3.3919999999999999E-6</v>
      </c>
      <c r="J9" s="16">
        <v>0</v>
      </c>
      <c r="K9" s="16">
        <v>0.64149999999999996</v>
      </c>
      <c r="L9" s="16">
        <v>3.9210000000000002E-6</v>
      </c>
      <c r="M9" s="16">
        <v>1.9889999999999999E-6</v>
      </c>
      <c r="N9" s="16">
        <v>-0.60580000000000001</v>
      </c>
      <c r="O9" s="16">
        <v>3.7420000000000002E-2</v>
      </c>
      <c r="P9" s="16">
        <v>3.9719999999999998E-2</v>
      </c>
      <c r="Q9" s="30"/>
      <c r="R9" s="31"/>
      <c r="S9" s="13"/>
      <c r="T9" s="13"/>
      <c r="U9" s="13"/>
      <c r="V9" s="13"/>
      <c r="W9" s="13"/>
      <c r="X9" s="13"/>
      <c r="Y9" s="13"/>
      <c r="Z9" s="13"/>
      <c r="AA9" s="13"/>
    </row>
    <row r="10" spans="1:27" x14ac:dyDescent="0.3">
      <c r="A10" s="6"/>
      <c r="B10" s="7">
        <f t="shared" ref="B10:P10" si="2">B2+B4</f>
        <v>1.3015999999999999E-4</v>
      </c>
      <c r="C10" s="7">
        <f t="shared" si="2"/>
        <v>8.6518000000000001E-4</v>
      </c>
      <c r="D10" s="7">
        <f t="shared" si="2"/>
        <v>3.0091000000000002E-3</v>
      </c>
      <c r="E10" s="7">
        <f t="shared" si="2"/>
        <v>1.9451999999999999E-5</v>
      </c>
      <c r="F10" s="7">
        <f t="shared" si="2"/>
        <v>1.2894999999999999E-5</v>
      </c>
      <c r="G10" s="7">
        <f t="shared" si="2"/>
        <v>4.7450000000000001E-5</v>
      </c>
      <c r="H10" s="7">
        <f t="shared" si="2"/>
        <v>4.6717500000000001E-5</v>
      </c>
      <c r="I10" s="7">
        <f t="shared" si="2"/>
        <v>3.3919999999999999E-6</v>
      </c>
      <c r="J10" s="7">
        <v>0</v>
      </c>
      <c r="K10" s="7">
        <f t="shared" si="2"/>
        <v>0.64148000000000005</v>
      </c>
      <c r="L10" s="7">
        <f t="shared" si="2"/>
        <v>3.9217000000000001E-6</v>
      </c>
      <c r="M10" s="7">
        <f t="shared" si="2"/>
        <v>1.9891999999999999E-6</v>
      </c>
      <c r="N10" s="7">
        <f t="shared" si="2"/>
        <v>-0.60583306000000003</v>
      </c>
      <c r="O10" s="7">
        <f t="shared" si="2"/>
        <v>3.7412000000000001E-2</v>
      </c>
      <c r="P10" s="7">
        <f t="shared" si="2"/>
        <v>3.9717000000000002E-2</v>
      </c>
      <c r="Q10" s="13"/>
      <c r="R10" s="27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33" x14ac:dyDescent="0.3">
      <c r="A11" s="6" t="s">
        <v>110</v>
      </c>
      <c r="B11" s="7">
        <v>3.2369999999999997E-5</v>
      </c>
      <c r="C11" s="7">
        <v>1.7229999999999999E-4</v>
      </c>
      <c r="D11" s="7">
        <v>3.1260000000000001E-4</v>
      </c>
      <c r="E11" s="7">
        <v>5.5659999999999999E-7</v>
      </c>
      <c r="F11" s="7">
        <v>4.3589999999999998E-7</v>
      </c>
      <c r="G11" s="7">
        <v>8.7120000000000002E-7</v>
      </c>
      <c r="H11" s="7">
        <v>2.2730000000000001E-6</v>
      </c>
      <c r="I11" s="7">
        <v>1.843E-6</v>
      </c>
      <c r="J11" s="7">
        <v>0</v>
      </c>
      <c r="K11" s="7">
        <v>7.2569999999999996E-2</v>
      </c>
      <c r="L11" s="7">
        <v>9.0429999999999996E-8</v>
      </c>
      <c r="M11" s="7">
        <v>1.046E-7</v>
      </c>
      <c r="N11" s="7">
        <v>-6.8409999999999999E-2</v>
      </c>
      <c r="O11" s="7">
        <v>4.5269999999999998E-3</v>
      </c>
      <c r="P11" s="7">
        <v>5.084E-3</v>
      </c>
      <c r="Q11" s="13"/>
      <c r="R11" s="27"/>
      <c r="S11" s="13"/>
      <c r="T11" s="13"/>
      <c r="U11" s="13"/>
      <c r="V11" s="29"/>
      <c r="W11" s="13"/>
      <c r="X11" s="13"/>
      <c r="Y11" s="13"/>
      <c r="Z11" s="13"/>
      <c r="AA11" s="29"/>
    </row>
    <row r="12" spans="1:27" x14ac:dyDescent="0.3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x14ac:dyDescent="0.3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x14ac:dyDescent="0.3">
      <c r="A14" s="3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34"/>
      <c r="O14" s="14"/>
      <c r="P14" s="14"/>
      <c r="Q14" s="13"/>
      <c r="R14" s="13"/>
      <c r="S14" s="13"/>
      <c r="T14" s="13"/>
      <c r="U14" s="29"/>
      <c r="V14" s="13"/>
      <c r="W14" s="13"/>
      <c r="X14" s="13"/>
      <c r="Y14" s="13"/>
      <c r="Z14" s="13"/>
      <c r="AA14" s="13"/>
    </row>
    <row r="15" spans="1:27" x14ac:dyDescent="0.3">
      <c r="A15" s="3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x14ac:dyDescent="0.3">
      <c r="A16" s="3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x14ac:dyDescent="0.3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x14ac:dyDescent="0.3">
      <c r="A18" s="33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x14ac:dyDescent="0.3">
      <c r="A19" s="33"/>
      <c r="B19" s="35"/>
      <c r="C19" s="35"/>
      <c r="D19" s="35"/>
      <c r="E19" s="35"/>
      <c r="F19" s="35"/>
      <c r="G19" s="35"/>
      <c r="H19" s="35"/>
      <c r="I19" s="35"/>
      <c r="J19" s="35"/>
      <c r="K19" s="30"/>
      <c r="L19" s="35"/>
      <c r="M19" s="35"/>
      <c r="N19" s="35"/>
      <c r="O19" s="35"/>
      <c r="P19" s="30"/>
      <c r="Q19" s="13"/>
      <c r="R19" s="13"/>
      <c r="S19" s="13"/>
      <c r="T19" s="13"/>
      <c r="U19" s="13"/>
      <c r="V19" s="29"/>
      <c r="W19" s="13"/>
      <c r="X19" s="13"/>
      <c r="Y19" s="13"/>
      <c r="Z19" s="13"/>
      <c r="AA19" s="13"/>
    </row>
    <row r="20" spans="1:27" x14ac:dyDescent="0.3">
      <c r="A20" s="33"/>
      <c r="B20" s="35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13"/>
      <c r="R20" s="13"/>
      <c r="S20" s="13"/>
      <c r="T20" s="13"/>
      <c r="U20" s="13"/>
      <c r="V20" s="29"/>
      <c r="W20" s="13"/>
      <c r="X20" s="13"/>
      <c r="Y20" s="13"/>
      <c r="Z20" s="13"/>
      <c r="AA20" s="13"/>
    </row>
    <row r="21" spans="1:27" x14ac:dyDescent="0.3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x14ac:dyDescent="0.3">
      <c r="A22" s="33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13"/>
    </row>
    <row r="23" spans="1:27" x14ac:dyDescent="0.3">
      <c r="A23" s="33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13"/>
    </row>
    <row r="24" spans="1:27" x14ac:dyDescent="0.3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</row>
    <row r="25" spans="1:27" x14ac:dyDescent="0.3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spans="1:27" x14ac:dyDescent="0.3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</row>
    <row r="27" spans="1:27" x14ac:dyDescent="0.3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</row>
    <row r="28" spans="1:27" x14ac:dyDescent="0.3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</row>
    <row r="29" spans="1:27" x14ac:dyDescent="0.3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</row>
    <row r="30" spans="1:27" x14ac:dyDescent="0.3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</row>
    <row r="31" spans="1:27" x14ac:dyDescent="0.3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</row>
    <row r="32" spans="1:27" x14ac:dyDescent="0.3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</row>
    <row r="33" spans="1:16" x14ac:dyDescent="0.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</row>
    <row r="34" spans="1:16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</row>
    <row r="35" spans="1:16" x14ac:dyDescent="0.3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B0F3-4CED-4B5F-AF54-9F94A018AF12}">
  <dimension ref="A1:P18"/>
  <sheetViews>
    <sheetView tabSelected="1" topLeftCell="E1" workbookViewId="0">
      <selection activeCell="M16" sqref="M16"/>
    </sheetView>
  </sheetViews>
  <sheetFormatPr defaultRowHeight="16.5" x14ac:dyDescent="0.3"/>
  <cols>
    <col min="1" max="1" width="26.875" customWidth="1"/>
    <col min="2" max="9" width="9.25" bestFit="1" customWidth="1"/>
    <col min="10" max="10" width="9.25" customWidth="1"/>
    <col min="11" max="13" width="9.25" bestFit="1" customWidth="1"/>
    <col min="14" max="14" width="10.375" bestFit="1" customWidth="1"/>
    <col min="15" max="15" width="9.5" bestFit="1" customWidth="1"/>
    <col min="16" max="16" width="9.25" bestFit="1" customWidth="1"/>
  </cols>
  <sheetData>
    <row r="1" spans="1:16" x14ac:dyDescent="0.3">
      <c r="A1" t="s">
        <v>128</v>
      </c>
      <c r="B1" s="3" t="s">
        <v>69</v>
      </c>
      <c r="C1" s="3" t="s">
        <v>70</v>
      </c>
      <c r="D1" s="3" t="s">
        <v>139</v>
      </c>
      <c r="E1" s="3" t="s">
        <v>72</v>
      </c>
      <c r="F1" s="3" t="s">
        <v>124</v>
      </c>
      <c r="G1" s="3" t="s">
        <v>140</v>
      </c>
      <c r="H1" s="3" t="s">
        <v>75</v>
      </c>
      <c r="I1" s="3" t="s">
        <v>76</v>
      </c>
      <c r="J1" s="3" t="s">
        <v>77</v>
      </c>
      <c r="K1" s="3" t="s">
        <v>78</v>
      </c>
      <c r="L1" s="3" t="s">
        <v>79</v>
      </c>
      <c r="M1" s="3" t="s">
        <v>80</v>
      </c>
      <c r="N1" s="3" t="s">
        <v>125</v>
      </c>
      <c r="O1" s="3" t="s">
        <v>126</v>
      </c>
      <c r="P1" s="25" t="s">
        <v>127</v>
      </c>
    </row>
    <row r="2" spans="1:16" x14ac:dyDescent="0.3">
      <c r="A2" s="19" t="s">
        <v>91</v>
      </c>
      <c r="B2" s="20">
        <v>1.115E-4</v>
      </c>
      <c r="C2" s="20">
        <v>7.9140000000000005E-4</v>
      </c>
      <c r="D2" s="20">
        <v>3.101E-3</v>
      </c>
      <c r="E2" s="20">
        <v>3.7209999999999998E-5</v>
      </c>
      <c r="F2" s="20">
        <v>3.7209999999999998E-5</v>
      </c>
      <c r="G2" s="20">
        <v>2.8039999999999999E-4</v>
      </c>
      <c r="H2" s="20">
        <v>9.175E-7</v>
      </c>
      <c r="I2" s="20">
        <v>1.7999999999999999E-6</v>
      </c>
      <c r="J2" s="20"/>
      <c r="K2" s="20">
        <v>0.63129999999999997</v>
      </c>
      <c r="L2" s="20">
        <v>1.168E-5</v>
      </c>
      <c r="M2" s="20">
        <v>1.1240000000000001E-5</v>
      </c>
      <c r="N2" s="20">
        <v>0</v>
      </c>
      <c r="O2" s="20">
        <v>0.63290000000000002</v>
      </c>
      <c r="P2" s="20">
        <v>0.63339999999999996</v>
      </c>
    </row>
    <row r="3" spans="1:16" ht="33" x14ac:dyDescent="0.3">
      <c r="A3" s="19" t="s">
        <v>95</v>
      </c>
      <c r="B3" s="20">
        <v>2.5239999999999999E-5</v>
      </c>
      <c r="C3" s="20">
        <v>1.8650000000000001E-4</v>
      </c>
      <c r="D3" s="20">
        <v>3.3560000000000003E-4</v>
      </c>
      <c r="E3" s="20">
        <v>8.4570000000000001E-7</v>
      </c>
      <c r="F3" s="20">
        <v>8.4570000000000001E-7</v>
      </c>
      <c r="G3" s="20">
        <v>3.1749999999999999E-5</v>
      </c>
      <c r="H3" s="20">
        <v>9.175E-7</v>
      </c>
      <c r="I3" s="20">
        <v>1.7999999999999999E-6</v>
      </c>
      <c r="J3" s="20"/>
      <c r="K3" s="20">
        <v>7.1309999999999998E-2</v>
      </c>
      <c r="L3" s="20">
        <v>3.0279999999999999E-7</v>
      </c>
      <c r="M3" s="20">
        <v>2.199E-7</v>
      </c>
      <c r="N3" s="20">
        <v>0</v>
      </c>
      <c r="O3" s="20">
        <v>7.1679999999999994E-2</v>
      </c>
      <c r="P3" s="20">
        <v>7.2179999999999994E-2</v>
      </c>
    </row>
    <row r="4" spans="1:16" x14ac:dyDescent="0.3">
      <c r="A4" s="19" t="s">
        <v>97</v>
      </c>
      <c r="B4" s="20">
        <v>5.6409999999999997E-5</v>
      </c>
      <c r="C4" s="20">
        <v>8.3479999999999994E-5</v>
      </c>
      <c r="D4" s="20">
        <v>1.2779999999999999E-4</v>
      </c>
      <c r="E4" s="20">
        <v>8.0469999999999994E-6</v>
      </c>
      <c r="F4" s="20">
        <v>6.81E-6</v>
      </c>
      <c r="G4" s="20">
        <v>3.1590000000000001E-5</v>
      </c>
      <c r="H4" s="20">
        <v>8.1879999999999995E-4</v>
      </c>
      <c r="I4" s="20">
        <v>1.2619999999999999E-6</v>
      </c>
      <c r="J4" s="20"/>
      <c r="K4" s="20">
        <v>7.1370000000000003E-2</v>
      </c>
      <c r="L4" s="20">
        <v>1.0809999999999999E-6</v>
      </c>
      <c r="M4" s="20">
        <v>2.0140000000000001E-6</v>
      </c>
      <c r="N4" s="20">
        <v>-1.2219999999999999E-4</v>
      </c>
      <c r="O4" s="20">
        <v>7.1550000000000002E-2</v>
      </c>
      <c r="P4" s="20">
        <v>9.6449999999999994E-2</v>
      </c>
    </row>
    <row r="5" spans="1:16" ht="33" x14ac:dyDescent="0.3">
      <c r="A5" s="19" t="s">
        <v>105</v>
      </c>
      <c r="B5" s="20">
        <v>2.1820000000000001E-5</v>
      </c>
      <c r="C5" s="20">
        <v>1.062E-5</v>
      </c>
      <c r="D5" s="20">
        <v>1.5809999999999999E-5</v>
      </c>
      <c r="E5" s="20">
        <v>2.407E-6</v>
      </c>
      <c r="F5" s="20">
        <v>2.075E-6</v>
      </c>
      <c r="G5" s="20">
        <v>6.0260000000000004E-6</v>
      </c>
      <c r="H5" s="20">
        <v>2.0100000000000001E-5</v>
      </c>
      <c r="I5" s="20">
        <v>2.7519999999999998E-7</v>
      </c>
      <c r="J5" s="20"/>
      <c r="K5" s="20">
        <v>2.181E-2</v>
      </c>
      <c r="L5" s="20">
        <v>2.5479999999999998E-7</v>
      </c>
      <c r="M5" s="20">
        <v>3.8519999999999998E-7</v>
      </c>
      <c r="N5" s="20">
        <v>-1.5889999999999999E-6</v>
      </c>
      <c r="O5" s="20">
        <v>2.189E-2</v>
      </c>
      <c r="P5" s="20">
        <v>2.257E-2</v>
      </c>
    </row>
    <row r="6" spans="1:16" x14ac:dyDescent="0.3">
      <c r="A6" s="19" t="s">
        <v>107</v>
      </c>
      <c r="B6" s="20">
        <v>1.6799999999999999E-4</v>
      </c>
      <c r="C6" s="20">
        <v>8.7489999999999996E-4</v>
      </c>
      <c r="D6" s="20">
        <v>3.2290000000000001E-3</v>
      </c>
      <c r="E6" s="20">
        <v>4.5250000000000002E-5</v>
      </c>
      <c r="F6" s="20">
        <v>4.4020000000000002E-5</v>
      </c>
      <c r="G6" s="20">
        <v>3.1189999999999999E-4</v>
      </c>
      <c r="H6" s="20">
        <v>8.1970000000000003E-4</v>
      </c>
      <c r="I6" s="20">
        <v>3.0620000000000001E-6</v>
      </c>
      <c r="J6" s="20"/>
      <c r="K6" s="20">
        <v>0.70269999999999999</v>
      </c>
      <c r="L6" s="20">
        <v>1.276E-5</v>
      </c>
      <c r="M6" s="20">
        <v>1.325E-5</v>
      </c>
      <c r="N6" s="20">
        <v>-1.2219999999999999E-4</v>
      </c>
      <c r="O6" s="20">
        <v>0.70450000000000002</v>
      </c>
      <c r="P6" s="20">
        <v>0.72989999999999999</v>
      </c>
    </row>
    <row r="7" spans="1:16" ht="33" x14ac:dyDescent="0.3">
      <c r="A7" s="19" t="s">
        <v>110</v>
      </c>
      <c r="B7" s="20">
        <v>4.7049999999999998E-5</v>
      </c>
      <c r="C7" s="20">
        <v>1.9709999999999999E-4</v>
      </c>
      <c r="D7" s="20">
        <v>3.5139999999999998E-4</v>
      </c>
      <c r="E7" s="20">
        <v>3.253E-6</v>
      </c>
      <c r="F7" s="20">
        <v>2.92E-6</v>
      </c>
      <c r="G7" s="20">
        <v>3.7780000000000001E-5</v>
      </c>
      <c r="H7" s="20">
        <v>2.101E-5</v>
      </c>
      <c r="I7" s="20">
        <v>2.075E-6</v>
      </c>
      <c r="J7" s="20"/>
      <c r="K7" s="20">
        <v>9.3109999999999998E-2</v>
      </c>
      <c r="L7" s="20">
        <v>5.5749999999999996E-7</v>
      </c>
      <c r="M7" s="20">
        <v>6.0510000000000004E-7</v>
      </c>
      <c r="N7" s="20">
        <v>-1.5889999999999999E-6</v>
      </c>
      <c r="O7" s="20">
        <v>9.357E-2</v>
      </c>
      <c r="P7" s="20">
        <v>9.4750000000000001E-2</v>
      </c>
    </row>
    <row r="9" spans="1:16" x14ac:dyDescent="0.3">
      <c r="A9" s="19" t="s">
        <v>132</v>
      </c>
      <c r="B9" s="1">
        <f>B2/$C$17</f>
        <v>1.2888683389203561E-5</v>
      </c>
      <c r="C9" s="1">
        <f>C2/$C$17</f>
        <v>9.1480753670095948E-5</v>
      </c>
      <c r="D9" s="1">
        <f>D2/$C$17</f>
        <v>3.5845566986475555E-4</v>
      </c>
      <c r="E9" s="1">
        <f>E2/$C$17</f>
        <v>4.3012368512310718E-6</v>
      </c>
      <c r="F9" s="1">
        <f>F2/$C$17</f>
        <v>4.3012368512310718E-6</v>
      </c>
      <c r="G9" s="1">
        <f>G2/$C$17</f>
        <v>3.2412437868454515E-5</v>
      </c>
      <c r="H9" s="1">
        <f>H2/$C$17</f>
        <v>1.0605710322506069E-7</v>
      </c>
      <c r="I9" s="1">
        <f>I2/$C$17</f>
        <v>2.0806843139521441E-7</v>
      </c>
      <c r="J9" s="1">
        <f>J2/$C$17</f>
        <v>0</v>
      </c>
      <c r="K9" s="1">
        <f>K2/$C$17</f>
        <v>7.2974222633221592E-2</v>
      </c>
      <c r="L9" s="1">
        <f>L2/$C$17</f>
        <v>1.350132932608947E-6</v>
      </c>
      <c r="M9" s="1">
        <f>M2/$C$17</f>
        <v>1.2992717604901168E-6</v>
      </c>
      <c r="N9" s="1">
        <f>N2/$C$17</f>
        <v>0</v>
      </c>
      <c r="O9" s="1">
        <f>O2/$C$17</f>
        <v>7.3159172350017343E-2</v>
      </c>
      <c r="P9" s="1">
        <f>P2/$C$17</f>
        <v>7.3216969136516014E-2</v>
      </c>
    </row>
    <row r="10" spans="1:16" ht="33" x14ac:dyDescent="0.3">
      <c r="A10" s="19" t="s">
        <v>133</v>
      </c>
      <c r="B10" s="1">
        <f>B3/$C$17</f>
        <v>2.9175817824528954E-6</v>
      </c>
      <c r="C10" s="1">
        <f>C3/$C$17</f>
        <v>2.1558201364004161E-5</v>
      </c>
      <c r="D10" s="1">
        <f>D3/$C$17</f>
        <v>3.8793203097907761E-5</v>
      </c>
      <c r="E10" s="1">
        <f>E3/$C$17</f>
        <v>9.7757484683851575E-8</v>
      </c>
      <c r="F10" s="1">
        <f>F3/$C$17</f>
        <v>9.7757484683851575E-8</v>
      </c>
      <c r="G10" s="1">
        <f>G3/$C$17</f>
        <v>3.6700959426655876E-6</v>
      </c>
      <c r="H10" s="1">
        <f>H3/$C$17</f>
        <v>1.0605710322506069E-7</v>
      </c>
      <c r="I10" s="1">
        <f>I3/$C$17</f>
        <v>2.0806843139521441E-7</v>
      </c>
      <c r="J10" s="1">
        <f>J3/$C$17</f>
        <v>0</v>
      </c>
      <c r="K10" s="1">
        <f>K3/$C$17</f>
        <v>8.2429776904404117E-3</v>
      </c>
      <c r="L10" s="1">
        <f>L3/$C$17</f>
        <v>3.5001733903594958E-8</v>
      </c>
      <c r="M10" s="1">
        <f>M3/$C$17</f>
        <v>2.5419026702115363E-8</v>
      </c>
      <c r="N10" s="1">
        <f>N3/$C$17</f>
        <v>0</v>
      </c>
      <c r="O10" s="1">
        <f>O3/$C$17</f>
        <v>8.285747312449427E-3</v>
      </c>
      <c r="P10" s="1">
        <f>P3/$C$17</f>
        <v>8.3435440989480976E-3</v>
      </c>
    </row>
    <row r="11" spans="1:16" x14ac:dyDescent="0.3">
      <c r="A11" s="19" t="s">
        <v>134</v>
      </c>
      <c r="B11" s="1">
        <f>B4/$C$17</f>
        <v>6.5206334527800255E-6</v>
      </c>
      <c r="C11" s="1">
        <f>C4/$C$17</f>
        <v>9.6497514738180551E-6</v>
      </c>
      <c r="D11" s="1">
        <f>D4/$C$17</f>
        <v>1.4772858629060223E-5</v>
      </c>
      <c r="E11" s="1">
        <f>E4/$C$17</f>
        <v>9.3018148190960577E-7</v>
      </c>
      <c r="F11" s="1">
        <f>F4/$C$17</f>
        <v>7.8719223211189458E-7</v>
      </c>
      <c r="G11" s="1">
        <f>G4/$C$17</f>
        <v>3.6516009709860135E-6</v>
      </c>
      <c r="H11" s="1">
        <f>H4/$C$17</f>
        <v>9.4648017570223087E-5</v>
      </c>
      <c r="I11" s="1">
        <f>I4/$C$17</f>
        <v>1.4587908912264477E-7</v>
      </c>
      <c r="J11" s="1">
        <f>J4/$C$17</f>
        <v>0</v>
      </c>
      <c r="K11" s="1">
        <f>K4/$C$17</f>
        <v>8.2499133048202517E-3</v>
      </c>
      <c r="L11" s="1">
        <f>L4/$C$17</f>
        <v>1.24956652410126E-7</v>
      </c>
      <c r="M11" s="1">
        <f>M4/$C$17</f>
        <v>2.3280545601664548E-7</v>
      </c>
      <c r="N11" s="1">
        <f>N4/$C$17</f>
        <v>-1.4125534620275112E-5</v>
      </c>
      <c r="O11" s="1">
        <f>O4/$C$17</f>
        <v>8.2707201479597734E-3</v>
      </c>
      <c r="P11" s="1">
        <f>P4/$C$17</f>
        <v>1.1149000115593572E-2</v>
      </c>
    </row>
    <row r="12" spans="1:16" ht="33" x14ac:dyDescent="0.3">
      <c r="A12" s="19" t="s">
        <v>135</v>
      </c>
      <c r="B12" s="1">
        <f>B5/$C$17</f>
        <v>2.5222517628019883E-6</v>
      </c>
      <c r="C12" s="1">
        <f>C5/$C$17</f>
        <v>1.2276037452317652E-6</v>
      </c>
      <c r="D12" s="1">
        <f>D5/$C$17</f>
        <v>1.8275343890879667E-6</v>
      </c>
      <c r="E12" s="1">
        <f>E5/$C$17</f>
        <v>2.7823373020460065E-7</v>
      </c>
      <c r="F12" s="1">
        <f>F5/$C$17</f>
        <v>2.3985666396948331E-7</v>
      </c>
      <c r="G12" s="1">
        <f>G5/$C$17</f>
        <v>6.9656687088197901E-7</v>
      </c>
      <c r="H12" s="1">
        <f>H5/$C$17</f>
        <v>2.3234308172465611E-6</v>
      </c>
      <c r="I12" s="1">
        <f>I5/$C$17</f>
        <v>3.181135128886834E-8</v>
      </c>
      <c r="J12" s="1">
        <f>J5/$C$17</f>
        <v>0</v>
      </c>
      <c r="K12" s="1">
        <f>K5/$C$17</f>
        <v>2.5210958270720147E-3</v>
      </c>
      <c r="L12" s="1">
        <f>L5/$C$17</f>
        <v>2.9453242399722574E-8</v>
      </c>
      <c r="M12" s="1">
        <f>M5/$C$17</f>
        <v>4.4526644318575886E-8</v>
      </c>
      <c r="N12" s="1">
        <f>N5/$C$17</f>
        <v>-1.836781874927754E-7</v>
      </c>
      <c r="O12" s="1">
        <f>O5/$C$17</f>
        <v>2.5303433129118019E-3</v>
      </c>
      <c r="P12" s="1">
        <f>P5/$C$17</f>
        <v>2.6089469425499942E-3</v>
      </c>
    </row>
    <row r="13" spans="1:16" x14ac:dyDescent="0.3">
      <c r="A13" s="19" t="s">
        <v>136</v>
      </c>
      <c r="B13" s="1">
        <f>B6/$C$17</f>
        <v>1.9419720263553347E-5</v>
      </c>
      <c r="C13" s="1">
        <f>C6/$C$17</f>
        <v>1.0113281701537394E-4</v>
      </c>
      <c r="D13" s="1">
        <f>D6/$C$17</f>
        <v>3.7325164720841523E-4</v>
      </c>
      <c r="E13" s="1">
        <f>E6/$C$17</f>
        <v>5.2306091781296964E-6</v>
      </c>
      <c r="F13" s="1">
        <f>F6/$C$17</f>
        <v>5.0884290833429662E-6</v>
      </c>
      <c r="G13" s="1">
        <f>G6/$C$17</f>
        <v>3.6053635417870768E-5</v>
      </c>
      <c r="H13" s="1">
        <f>H6/$C$17</f>
        <v>9.4752051785920702E-5</v>
      </c>
      <c r="I13" s="1">
        <f>I6/$C$17</f>
        <v>3.5394752051785923E-7</v>
      </c>
      <c r="J13" s="1">
        <f>J6/$C$17</f>
        <v>0</v>
      </c>
      <c r="K13" s="1">
        <f>K6/$C$17</f>
        <v>8.1227603745231761E-2</v>
      </c>
      <c r="L13" s="1">
        <f>L6/$C$17</f>
        <v>1.4749739914460756E-6</v>
      </c>
      <c r="M13" s="1">
        <f>M6/$C$17</f>
        <v>1.531614842214773E-6</v>
      </c>
      <c r="N13" s="1">
        <f>N6/$C$17</f>
        <v>-1.4125534620275112E-5</v>
      </c>
      <c r="O13" s="1">
        <f>O6/$C$17</f>
        <v>8.1435672176626978E-2</v>
      </c>
      <c r="P13" s="1">
        <f>P6/$C$17</f>
        <v>8.4371748930759452E-2</v>
      </c>
    </row>
    <row r="14" spans="1:16" ht="33" x14ac:dyDescent="0.3">
      <c r="A14" s="19" t="s">
        <v>137</v>
      </c>
      <c r="B14" s="1">
        <f>B7/$C$17</f>
        <v>5.4386776095249102E-6</v>
      </c>
      <c r="C14" s="1">
        <f>C7/$C$17</f>
        <v>2.2783493237775979E-5</v>
      </c>
      <c r="D14" s="1">
        <f>D7/$C$17</f>
        <v>4.0619581551265747E-5</v>
      </c>
      <c r="E14" s="1">
        <f>E7/$C$17</f>
        <v>3.7602589296035144E-7</v>
      </c>
      <c r="F14" s="1">
        <f>F7/$C$17</f>
        <v>3.3753323315223676E-7</v>
      </c>
      <c r="G14" s="1">
        <f>G7/$C$17</f>
        <v>4.3671251878395563E-6</v>
      </c>
      <c r="H14" s="1">
        <f>H7/$C$17</f>
        <v>2.4286209686741418E-6</v>
      </c>
      <c r="I14" s="1">
        <f>I7/$C$17</f>
        <v>2.3985666396948331E-7</v>
      </c>
      <c r="J14" s="1">
        <f>J7/$C$17</f>
        <v>0</v>
      </c>
      <c r="K14" s="1">
        <f>K7/$C$17</f>
        <v>1.0762917581782452E-2</v>
      </c>
      <c r="L14" s="1">
        <f>L7/$C$17</f>
        <v>6.4443416946017803E-8</v>
      </c>
      <c r="M14" s="1">
        <f>M7/$C$17</f>
        <v>6.9945671020691262E-8</v>
      </c>
      <c r="N14" s="1">
        <f>N7/$C$17</f>
        <v>-1.836781874927754E-7</v>
      </c>
      <c r="O14" s="1">
        <f>O7/$C$17</f>
        <v>1.081609062536123E-2</v>
      </c>
      <c r="P14" s="1">
        <f>P7/$C$17</f>
        <v>1.0952491041498093E-2</v>
      </c>
    </row>
    <row r="15" spans="1:16" x14ac:dyDescent="0.3">
      <c r="A15" s="37" t="s">
        <v>138</v>
      </c>
      <c r="B15" s="38">
        <f>B13*1000</f>
        <v>1.9419720263553347E-2</v>
      </c>
      <c r="C15" s="38">
        <f t="shared" ref="C15:P15" si="0">C13*1000</f>
        <v>0.10113281701537394</v>
      </c>
      <c r="D15" s="38">
        <f t="shared" si="0"/>
        <v>0.37325164720841525</v>
      </c>
      <c r="E15" s="38">
        <f t="shared" si="0"/>
        <v>5.2306091781296965E-3</v>
      </c>
      <c r="F15" s="38">
        <f t="shared" si="0"/>
        <v>5.0884290833429664E-3</v>
      </c>
      <c r="G15" s="38">
        <f t="shared" si="0"/>
        <v>3.6053635417870766E-2</v>
      </c>
      <c r="H15" s="38">
        <f t="shared" si="0"/>
        <v>9.4752051785920707E-2</v>
      </c>
      <c r="I15" s="38">
        <f t="shared" si="0"/>
        <v>3.5394752051785925E-4</v>
      </c>
      <c r="J15" s="38"/>
      <c r="K15" s="38">
        <f t="shared" si="0"/>
        <v>81.227603745231761</v>
      </c>
      <c r="L15" s="38">
        <f t="shared" si="0"/>
        <v>1.4749739914460755E-3</v>
      </c>
      <c r="M15" s="38">
        <f t="shared" si="0"/>
        <v>1.5316148422147729E-3</v>
      </c>
      <c r="N15" s="38">
        <f t="shared" si="0"/>
        <v>-1.4125534620275113E-2</v>
      </c>
      <c r="O15" s="38">
        <f t="shared" si="0"/>
        <v>81.43567217662698</v>
      </c>
      <c r="P15" s="38">
        <f t="shared" si="0"/>
        <v>84.371748930759452</v>
      </c>
    </row>
    <row r="17" spans="1:3" x14ac:dyDescent="0.3">
      <c r="A17" s="19" t="s">
        <v>129</v>
      </c>
      <c r="B17" t="s">
        <v>130</v>
      </c>
      <c r="C17">
        <v>8.6509999999999998</v>
      </c>
    </row>
    <row r="18" spans="1:3" x14ac:dyDescent="0.3">
      <c r="A18" s="19" t="s">
        <v>131</v>
      </c>
      <c r="C18">
        <v>9.7029999999999994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2AF9-0227-469F-BBCA-07F850661886}">
  <dimension ref="A1:AA23"/>
  <sheetViews>
    <sheetView workbookViewId="0">
      <selection activeCell="P14" sqref="P14"/>
    </sheetView>
  </sheetViews>
  <sheetFormatPr defaultRowHeight="16.5" x14ac:dyDescent="0.3"/>
  <cols>
    <col min="1" max="1" width="26.875" customWidth="1"/>
    <col min="2" max="9" width="9.25" bestFit="1" customWidth="1"/>
    <col min="10" max="10" width="9.25" customWidth="1"/>
    <col min="11" max="13" width="9.25" bestFit="1" customWidth="1"/>
    <col min="14" max="14" width="10.375" bestFit="1" customWidth="1"/>
    <col min="15" max="15" width="9.5" bestFit="1" customWidth="1"/>
    <col min="16" max="16" width="9.25" bestFit="1" customWidth="1"/>
    <col min="17" max="18" width="9.25" customWidth="1"/>
    <col min="20" max="20" width="24.25" bestFit="1" customWidth="1"/>
    <col min="21" max="21" width="23.875" customWidth="1"/>
    <col min="22" max="22" width="29.875" customWidth="1"/>
    <col min="23" max="23" width="26.75" customWidth="1"/>
    <col min="24" max="24" width="19.125" bestFit="1" customWidth="1"/>
    <col min="25" max="25" width="18.875" bestFit="1" customWidth="1"/>
    <col min="26" max="26" width="16.75" bestFit="1" customWidth="1"/>
  </cols>
  <sheetData>
    <row r="1" spans="1:27" ht="33" x14ac:dyDescent="0.3">
      <c r="A1" s="2" t="s">
        <v>68</v>
      </c>
      <c r="B1" s="3" t="s">
        <v>69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  <c r="J1" s="3" t="s">
        <v>77</v>
      </c>
      <c r="K1" s="3" t="s">
        <v>78</v>
      </c>
      <c r="L1" s="3" t="s">
        <v>79</v>
      </c>
      <c r="M1" s="3" t="s">
        <v>80</v>
      </c>
      <c r="N1" s="3" t="s">
        <v>81</v>
      </c>
      <c r="O1" s="3" t="s">
        <v>82</v>
      </c>
      <c r="P1" s="3" t="s">
        <v>83</v>
      </c>
      <c r="R1" s="4" t="s">
        <v>84</v>
      </c>
      <c r="U1" s="5" t="s">
        <v>85</v>
      </c>
      <c r="V1" s="5" t="s">
        <v>86</v>
      </c>
      <c r="W1" s="5" t="s">
        <v>87</v>
      </c>
      <c r="X1" t="s">
        <v>88</v>
      </c>
      <c r="Y1" t="s">
        <v>89</v>
      </c>
      <c r="Z1" t="s">
        <v>90</v>
      </c>
    </row>
    <row r="2" spans="1:27" x14ac:dyDescent="0.3">
      <c r="A2" s="6" t="s">
        <v>91</v>
      </c>
      <c r="B2" s="7">
        <v>1.115E-4</v>
      </c>
      <c r="C2" s="7">
        <v>7.7289999999999998E-4</v>
      </c>
      <c r="D2" s="7">
        <v>2.8440000000000002E-3</v>
      </c>
      <c r="E2" s="7">
        <v>2.942E-6</v>
      </c>
      <c r="F2" s="7">
        <v>2.942E-6</v>
      </c>
      <c r="G2" s="7">
        <v>0</v>
      </c>
      <c r="H2" s="7">
        <v>9.175E-7</v>
      </c>
      <c r="I2" s="7">
        <v>1.7999999999999999E-6</v>
      </c>
      <c r="J2" s="7">
        <v>0</v>
      </c>
      <c r="K2" s="7">
        <v>0.60580000000000001</v>
      </c>
      <c r="L2" s="7">
        <v>9.287E-7</v>
      </c>
      <c r="M2" s="7">
        <v>8.8420000000000004E-7</v>
      </c>
      <c r="N2" s="8">
        <v>-0.60580000000000001</v>
      </c>
      <c r="O2" s="7">
        <v>1.562E-3</v>
      </c>
      <c r="P2" s="7">
        <v>2.0669999999999998E-3</v>
      </c>
      <c r="Q2" s="9" t="s">
        <v>92</v>
      </c>
      <c r="R2" s="9">
        <f>O2+H2*25+I2*298</f>
        <v>2.1213374999999998E-3</v>
      </c>
      <c r="S2" s="10"/>
      <c r="T2" s="5" t="s">
        <v>93</v>
      </c>
      <c r="U2" s="5">
        <v>18230.099999999999</v>
      </c>
      <c r="V2" s="5">
        <v>1365.828</v>
      </c>
      <c r="W2" s="5">
        <v>4986.0889999999999</v>
      </c>
      <c r="X2" s="5" t="s">
        <v>94</v>
      </c>
      <c r="Y2" s="5">
        <v>0</v>
      </c>
      <c r="Z2" s="5">
        <v>1</v>
      </c>
    </row>
    <row r="3" spans="1:27" ht="33" x14ac:dyDescent="0.3">
      <c r="A3" s="6" t="s">
        <v>95</v>
      </c>
      <c r="B3" s="7">
        <v>2.5239999999999999E-5</v>
      </c>
      <c r="C3" s="7">
        <v>1.6789999999999999E-4</v>
      </c>
      <c r="D3" s="7">
        <v>3.077E-4</v>
      </c>
      <c r="E3" s="7">
        <v>1.7149999999999999E-7</v>
      </c>
      <c r="F3" s="7">
        <v>1.7149999999999999E-7</v>
      </c>
      <c r="G3" s="7">
        <v>0</v>
      </c>
      <c r="H3" s="7">
        <v>9.175E-7</v>
      </c>
      <c r="I3" s="7">
        <v>1.7999999999999999E-6</v>
      </c>
      <c r="J3" s="7">
        <v>0</v>
      </c>
      <c r="K3" s="7">
        <v>6.8409999999999999E-2</v>
      </c>
      <c r="L3" s="7">
        <v>6.1399999999999994E-8</v>
      </c>
      <c r="M3" s="7">
        <v>4.4589999999999998E-8</v>
      </c>
      <c r="N3" s="7">
        <v>-6.8409999999999999E-2</v>
      </c>
      <c r="O3" s="7">
        <v>3.4259999999999998E-4</v>
      </c>
      <c r="P3" s="7">
        <v>8.4710000000000004E-4</v>
      </c>
      <c r="R3" s="9">
        <f t="shared" ref="R3:R11" si="0">O3+H3*25+I3*298</f>
        <v>9.0193749999999996E-4</v>
      </c>
      <c r="T3" t="s">
        <v>96</v>
      </c>
      <c r="U3" s="11">
        <f>W2/U2/V2*1000</f>
        <v>0.20025112454238053</v>
      </c>
    </row>
    <row r="4" spans="1:27" x14ac:dyDescent="0.3">
      <c r="A4" s="6" t="s">
        <v>97</v>
      </c>
      <c r="B4" s="7">
        <v>1.8660000000000001E-5</v>
      </c>
      <c r="C4" s="7">
        <v>9.2280000000000004E-5</v>
      </c>
      <c r="D4" s="7">
        <v>1.651E-4</v>
      </c>
      <c r="E4" s="7">
        <v>1.6509999999999999E-5</v>
      </c>
      <c r="F4" s="7">
        <v>9.9529999999999994E-6</v>
      </c>
      <c r="G4" s="7">
        <v>4.7450000000000001E-5</v>
      </c>
      <c r="H4" s="7">
        <v>4.5800000000000002E-5</v>
      </c>
      <c r="I4" s="7">
        <v>1.592E-6</v>
      </c>
      <c r="J4" s="7">
        <v>0</v>
      </c>
      <c r="K4" s="7">
        <v>3.5680000000000003E-2</v>
      </c>
      <c r="L4" s="7">
        <v>2.993E-6</v>
      </c>
      <c r="M4" s="7">
        <v>1.105E-6</v>
      </c>
      <c r="N4" s="7">
        <v>-3.3059999999999999E-5</v>
      </c>
      <c r="O4" s="7">
        <v>3.585E-2</v>
      </c>
      <c r="P4" s="7">
        <v>3.7650000000000003E-2</v>
      </c>
      <c r="R4" s="9">
        <f t="shared" si="0"/>
        <v>3.7469415999999998E-2</v>
      </c>
      <c r="T4" t="s">
        <v>98</v>
      </c>
      <c r="U4" s="5" t="s">
        <v>99</v>
      </c>
      <c r="V4" t="s">
        <v>100</v>
      </c>
      <c r="W4" t="s">
        <v>101</v>
      </c>
    </row>
    <row r="5" spans="1:27" x14ac:dyDescent="0.3">
      <c r="A5" s="12" t="s">
        <v>102</v>
      </c>
      <c r="B5" s="7">
        <f t="shared" ref="B5:I5" si="1">B6*$U$37*$V$60/1000</f>
        <v>0</v>
      </c>
      <c r="C5" s="7">
        <f t="shared" si="1"/>
        <v>0</v>
      </c>
      <c r="D5" s="7">
        <f t="shared" si="1"/>
        <v>0</v>
      </c>
      <c r="E5" s="7">
        <f t="shared" si="1"/>
        <v>0</v>
      </c>
      <c r="F5" s="7">
        <f t="shared" si="1"/>
        <v>0</v>
      </c>
      <c r="G5" s="7">
        <f t="shared" si="1"/>
        <v>0</v>
      </c>
      <c r="H5" s="7">
        <f t="shared" si="1"/>
        <v>0</v>
      </c>
      <c r="I5" s="7">
        <f t="shared" si="1"/>
        <v>0</v>
      </c>
      <c r="J5" s="7">
        <v>0</v>
      </c>
      <c r="K5" s="7">
        <f t="shared" ref="K5:P5" si="2">K6*$U$37*$V$60/1000</f>
        <v>0</v>
      </c>
      <c r="L5" s="7">
        <f t="shared" si="2"/>
        <v>0</v>
      </c>
      <c r="M5" s="7">
        <f t="shared" si="2"/>
        <v>0</v>
      </c>
      <c r="N5" s="7">
        <f t="shared" si="2"/>
        <v>0</v>
      </c>
      <c r="O5" s="7">
        <f t="shared" si="2"/>
        <v>0</v>
      </c>
      <c r="P5" s="7">
        <f t="shared" si="2"/>
        <v>0</v>
      </c>
      <c r="R5" s="9">
        <f t="shared" si="0"/>
        <v>0</v>
      </c>
      <c r="U5">
        <v>21.432700000000001</v>
      </c>
      <c r="V5">
        <v>0.1198</v>
      </c>
      <c r="W5">
        <v>0.12809999999999999</v>
      </c>
    </row>
    <row r="6" spans="1:27" x14ac:dyDescent="0.3">
      <c r="A6" s="12" t="s">
        <v>103</v>
      </c>
      <c r="B6" s="7">
        <v>2.1631999999999998</v>
      </c>
      <c r="C6" s="7">
        <v>106994</v>
      </c>
      <c r="D6" s="7">
        <v>19.1479</v>
      </c>
      <c r="E6" s="7">
        <v>1.9144000000000001</v>
      </c>
      <c r="F6" s="7">
        <v>1.1538999999999999</v>
      </c>
      <c r="G6" s="7">
        <v>5.5019</v>
      </c>
      <c r="H6" s="7">
        <v>5.3102</v>
      </c>
      <c r="I6" s="7">
        <v>0.18459999999999999</v>
      </c>
      <c r="J6" s="7">
        <v>0</v>
      </c>
      <c r="K6" s="13">
        <f>4.1335*1000</f>
        <v>4133.5</v>
      </c>
      <c r="L6" s="7">
        <v>0.34699999999999998</v>
      </c>
      <c r="M6" s="7">
        <v>0.12809999999999999</v>
      </c>
      <c r="N6" s="7">
        <v>-3.8334000000000001</v>
      </c>
      <c r="O6" s="7">
        <f>K6+N6</f>
        <v>4129.6665999999996</v>
      </c>
      <c r="P6" s="7">
        <f>4.3657*1000</f>
        <v>4365.7000000000007</v>
      </c>
      <c r="R6" s="9">
        <f t="shared" si="0"/>
        <v>4317.4323999999997</v>
      </c>
      <c r="V6" t="s">
        <v>104</v>
      </c>
    </row>
    <row r="7" spans="1:27" x14ac:dyDescent="0.3">
      <c r="A7" s="13"/>
      <c r="B7" s="13"/>
      <c r="C7" s="13"/>
      <c r="D7" s="13"/>
      <c r="E7" s="13"/>
      <c r="F7" s="13"/>
      <c r="G7" s="13"/>
      <c r="H7" s="13"/>
      <c r="I7" s="13"/>
      <c r="J7" s="14"/>
      <c r="K7" s="13"/>
      <c r="L7" s="13"/>
      <c r="M7" s="13"/>
      <c r="N7" s="13"/>
      <c r="O7" s="13"/>
      <c r="P7" s="13"/>
      <c r="R7" s="9">
        <f t="shared" si="0"/>
        <v>0</v>
      </c>
      <c r="V7">
        <f>V5*1055.055853</f>
        <v>126.39569118940001</v>
      </c>
      <c r="W7">
        <f>W5*1055.055853</f>
        <v>135.1526547693</v>
      </c>
    </row>
    <row r="8" spans="1:27" ht="33" x14ac:dyDescent="0.3">
      <c r="A8" s="6" t="s">
        <v>105</v>
      </c>
      <c r="B8" s="7">
        <v>7.1369999999999996E-6</v>
      </c>
      <c r="C8" s="7">
        <v>4.3579999999999996E-6</v>
      </c>
      <c r="D8" s="7">
        <v>4.9259999999999999E-6</v>
      </c>
      <c r="E8" s="7">
        <v>3.8509999999999997E-7</v>
      </c>
      <c r="F8" s="7">
        <v>2.6440000000000001E-7</v>
      </c>
      <c r="G8" s="7">
        <v>8.7120000000000002E-7</v>
      </c>
      <c r="H8" s="7">
        <v>1.3549999999999999E-6</v>
      </c>
      <c r="I8" s="7">
        <v>4.2790000000000001E-8</v>
      </c>
      <c r="J8" s="7">
        <v>0</v>
      </c>
      <c r="K8" s="7">
        <v>4.156E-3</v>
      </c>
      <c r="L8" s="7">
        <v>2.9029999999999999E-8</v>
      </c>
      <c r="M8" s="7">
        <v>6.004E-8</v>
      </c>
      <c r="N8" s="7">
        <v>-4.298E-7</v>
      </c>
      <c r="O8" s="7">
        <v>4.1840000000000002E-3</v>
      </c>
      <c r="P8" s="7">
        <v>4.2360000000000002E-3</v>
      </c>
      <c r="R8" s="9">
        <f t="shared" si="0"/>
        <v>4.2306264200000004E-3</v>
      </c>
      <c r="V8" t="s">
        <v>106</v>
      </c>
    </row>
    <row r="9" spans="1:27" x14ac:dyDescent="0.3">
      <c r="A9" s="15" t="s">
        <v>107</v>
      </c>
      <c r="B9" s="16">
        <v>1.3019999999999999E-4</v>
      </c>
      <c r="C9" s="16">
        <v>8.652E-4</v>
      </c>
      <c r="D9" s="16">
        <v>3.009E-3</v>
      </c>
      <c r="E9" s="16">
        <v>1.9449999999999998E-5</v>
      </c>
      <c r="F9" s="16">
        <v>1.29E-5</v>
      </c>
      <c r="G9" s="16">
        <v>4.7450000000000001E-5</v>
      </c>
      <c r="H9" s="16">
        <v>4.672E-5</v>
      </c>
      <c r="I9" s="16">
        <v>3.3919999999999999E-6</v>
      </c>
      <c r="J9" s="16">
        <v>0</v>
      </c>
      <c r="K9" s="16">
        <v>0.64149999999999996</v>
      </c>
      <c r="L9" s="16">
        <v>3.9210000000000002E-6</v>
      </c>
      <c r="M9" s="16">
        <v>1.9889999999999999E-6</v>
      </c>
      <c r="N9" s="16">
        <v>-0.60580000000000001</v>
      </c>
      <c r="O9" s="16">
        <v>3.7420000000000002E-2</v>
      </c>
      <c r="P9" s="16">
        <v>3.9719999999999998E-2</v>
      </c>
      <c r="Q9" t="s">
        <v>108</v>
      </c>
      <c r="R9" s="9">
        <f t="shared" si="0"/>
        <v>3.9598816000000002E-2</v>
      </c>
      <c r="V9">
        <f>V7/0.133681</f>
        <v>945.50228670790921</v>
      </c>
      <c r="W9">
        <f>W7/0.133681</f>
        <v>1011.0087055699763</v>
      </c>
    </row>
    <row r="10" spans="1:27" x14ac:dyDescent="0.3">
      <c r="A10" s="6"/>
      <c r="B10" s="7">
        <f t="shared" ref="B10:P10" si="3">B2+B4</f>
        <v>1.3015999999999999E-4</v>
      </c>
      <c r="C10" s="7">
        <f t="shared" si="3"/>
        <v>8.6518000000000001E-4</v>
      </c>
      <c r="D10" s="7">
        <f t="shared" si="3"/>
        <v>3.0091000000000002E-3</v>
      </c>
      <c r="E10" s="7">
        <f t="shared" si="3"/>
        <v>1.9451999999999999E-5</v>
      </c>
      <c r="F10" s="7">
        <f t="shared" si="3"/>
        <v>1.2894999999999999E-5</v>
      </c>
      <c r="G10" s="7">
        <f t="shared" si="3"/>
        <v>4.7450000000000001E-5</v>
      </c>
      <c r="H10" s="7">
        <f t="shared" si="3"/>
        <v>4.6717500000000001E-5</v>
      </c>
      <c r="I10" s="7">
        <f t="shared" si="3"/>
        <v>3.3919999999999999E-6</v>
      </c>
      <c r="J10" s="7">
        <v>0</v>
      </c>
      <c r="K10" s="7">
        <f t="shared" si="3"/>
        <v>0.64148000000000005</v>
      </c>
      <c r="L10" s="7">
        <f t="shared" si="3"/>
        <v>3.9217000000000001E-6</v>
      </c>
      <c r="M10" s="7">
        <f t="shared" si="3"/>
        <v>1.9891999999999999E-6</v>
      </c>
      <c r="N10" s="7">
        <f t="shared" si="3"/>
        <v>-0.60583306000000003</v>
      </c>
      <c r="O10" s="7">
        <f t="shared" si="3"/>
        <v>3.7412000000000001E-2</v>
      </c>
      <c r="P10" s="7">
        <f t="shared" si="3"/>
        <v>3.9717000000000002E-2</v>
      </c>
      <c r="R10" s="9">
        <f t="shared" si="0"/>
        <v>3.9590753499999999E-2</v>
      </c>
      <c r="V10" t="s">
        <v>109</v>
      </c>
    </row>
    <row r="11" spans="1:27" ht="33" x14ac:dyDescent="0.3">
      <c r="A11" s="6" t="s">
        <v>110</v>
      </c>
      <c r="B11" s="7">
        <v>3.2369999999999997E-5</v>
      </c>
      <c r="C11" s="7">
        <v>1.7229999999999999E-4</v>
      </c>
      <c r="D11" s="7">
        <v>3.1260000000000001E-4</v>
      </c>
      <c r="E11" s="7">
        <v>5.5659999999999999E-7</v>
      </c>
      <c r="F11" s="7">
        <v>4.3589999999999998E-7</v>
      </c>
      <c r="G11" s="7">
        <v>8.7120000000000002E-7</v>
      </c>
      <c r="H11" s="7">
        <v>2.2730000000000001E-6</v>
      </c>
      <c r="I11" s="7">
        <v>1.843E-6</v>
      </c>
      <c r="J11" s="7">
        <v>0</v>
      </c>
      <c r="K11" s="7">
        <v>7.2569999999999996E-2</v>
      </c>
      <c r="L11" s="7">
        <v>9.0429999999999996E-8</v>
      </c>
      <c r="M11" s="7">
        <v>1.046E-7</v>
      </c>
      <c r="N11" s="7">
        <v>-6.8409999999999999E-2</v>
      </c>
      <c r="O11" s="7">
        <v>4.5269999999999998E-3</v>
      </c>
      <c r="P11" s="7">
        <v>5.084E-3</v>
      </c>
      <c r="R11" s="9">
        <f t="shared" si="0"/>
        <v>5.1330389999999998E-3</v>
      </c>
      <c r="V11" s="11">
        <f>V9/$U5/1000</f>
        <v>4.4114940567819692E-2</v>
      </c>
      <c r="W11">
        <f>W9/$U5/1000</f>
        <v>4.7171317919346437E-2</v>
      </c>
      <c r="Y11" t="s">
        <v>111</v>
      </c>
      <c r="Z11" t="s">
        <v>112</v>
      </c>
      <c r="AA11" s="11">
        <f>V11*U3</f>
        <v>8.8340664578261761E-3</v>
      </c>
    </row>
    <row r="13" spans="1:27" x14ac:dyDescent="0.3">
      <c r="A13" s="17" t="s">
        <v>113</v>
      </c>
      <c r="B13" s="18" t="s">
        <v>69</v>
      </c>
      <c r="C13" s="18" t="s">
        <v>70</v>
      </c>
      <c r="D13" s="18" t="s">
        <v>71</v>
      </c>
      <c r="E13" s="18" t="s">
        <v>72</v>
      </c>
      <c r="F13" s="18" t="s">
        <v>73</v>
      </c>
      <c r="G13" s="18" t="s">
        <v>74</v>
      </c>
      <c r="H13" s="18" t="s">
        <v>75</v>
      </c>
      <c r="I13" s="18" t="s">
        <v>76</v>
      </c>
      <c r="J13" s="18" t="s">
        <v>77</v>
      </c>
      <c r="K13" s="18" t="s">
        <v>78</v>
      </c>
      <c r="L13" s="18" t="s">
        <v>79</v>
      </c>
      <c r="M13" s="18" t="s">
        <v>80</v>
      </c>
      <c r="N13" s="18" t="s">
        <v>81</v>
      </c>
      <c r="O13" s="18" t="s">
        <v>82</v>
      </c>
      <c r="P13" s="18" t="s">
        <v>114</v>
      </c>
      <c r="T13" t="s">
        <v>98</v>
      </c>
      <c r="U13" t="s">
        <v>115</v>
      </c>
      <c r="V13" t="s">
        <v>116</v>
      </c>
    </row>
    <row r="14" spans="1:27" x14ac:dyDescent="0.3">
      <c r="A14" s="19" t="s">
        <v>91</v>
      </c>
      <c r="B14" s="20">
        <v>1.115E-4</v>
      </c>
      <c r="C14" s="20">
        <v>7.7289999999999998E-4</v>
      </c>
      <c r="D14" s="20">
        <v>2.8440000000000002E-3</v>
      </c>
      <c r="E14" s="20">
        <v>2.942E-6</v>
      </c>
      <c r="F14" s="20">
        <v>2.942E-6</v>
      </c>
      <c r="G14" s="20">
        <v>0</v>
      </c>
      <c r="H14" s="20">
        <v>9.175E-7</v>
      </c>
      <c r="I14" s="20">
        <v>1.7999999999999999E-6</v>
      </c>
      <c r="J14" s="20">
        <v>0</v>
      </c>
      <c r="K14" s="20">
        <v>0.60580000000000001</v>
      </c>
      <c r="L14" s="20">
        <v>9.287E-7</v>
      </c>
      <c r="M14" s="20">
        <v>8.8420000000000004E-7</v>
      </c>
      <c r="N14" s="21">
        <v>-0.60580000000000001</v>
      </c>
      <c r="O14" s="20">
        <v>1.562E-3</v>
      </c>
      <c r="P14" s="20">
        <v>2.0669999999999998E-3</v>
      </c>
      <c r="U14" s="11">
        <f>U3</f>
        <v>0.20025112454238053</v>
      </c>
      <c r="V14">
        <v>18675</v>
      </c>
    </row>
    <row r="15" spans="1:27" x14ac:dyDescent="0.3">
      <c r="A15" s="19" t="s">
        <v>117</v>
      </c>
      <c r="B15" s="20">
        <f>B14/$AA$19</f>
        <v>1.2818264489200502E-2</v>
      </c>
      <c r="C15" s="20">
        <f t="shared" ref="C15:O15" si="4">C14/$AA$19</f>
        <v>8.8854140122897468E-2</v>
      </c>
      <c r="D15" s="20">
        <f t="shared" si="4"/>
        <v>0.32695196598462989</v>
      </c>
      <c r="E15" s="20">
        <f t="shared" si="4"/>
        <v>3.3821824329352356E-4</v>
      </c>
      <c r="F15" s="20">
        <f t="shared" si="4"/>
        <v>3.3821824329352356E-4</v>
      </c>
      <c r="G15" s="20">
        <f t="shared" si="4"/>
        <v>0</v>
      </c>
      <c r="H15" s="20">
        <f t="shared" si="4"/>
        <v>1.0547764725418351E-4</v>
      </c>
      <c r="I15" s="20">
        <f t="shared" si="4"/>
        <v>2.0693162404090496E-4</v>
      </c>
      <c r="J15" s="20">
        <f t="shared" si="4"/>
        <v>0</v>
      </c>
      <c r="K15" s="20">
        <f t="shared" si="4"/>
        <v>69.643987691100136</v>
      </c>
      <c r="L15" s="20">
        <f t="shared" si="4"/>
        <v>1.0676522180377137E-4</v>
      </c>
      <c r="M15" s="20">
        <f t="shared" si="4"/>
        <v>1.0164941220942678E-4</v>
      </c>
      <c r="N15" s="20">
        <f t="shared" si="4"/>
        <v>-69.643987691100136</v>
      </c>
      <c r="O15" s="20">
        <f t="shared" si="4"/>
        <v>0.17957066486216311</v>
      </c>
      <c r="P15" s="20">
        <f>P14/$AA$19</f>
        <v>0.23762648160697253</v>
      </c>
    </row>
    <row r="16" spans="1:27" ht="33" x14ac:dyDescent="0.3">
      <c r="A16" s="19" t="s">
        <v>95</v>
      </c>
      <c r="B16" s="20">
        <v>2.5239999999999999E-5</v>
      </c>
      <c r="C16" s="20">
        <v>1.6789999999999999E-4</v>
      </c>
      <c r="D16" s="20">
        <v>3.077E-4</v>
      </c>
      <c r="E16" s="20">
        <v>1.7149999999999999E-7</v>
      </c>
      <c r="F16" s="20">
        <v>1.7149999999999999E-7</v>
      </c>
      <c r="G16" s="20">
        <v>0</v>
      </c>
      <c r="H16" s="20">
        <v>9.175E-7</v>
      </c>
      <c r="I16" s="20">
        <v>1.7999999999999999E-6</v>
      </c>
      <c r="J16" s="20">
        <v>0</v>
      </c>
      <c r="K16" s="20">
        <v>6.8409999999999999E-2</v>
      </c>
      <c r="L16" s="20">
        <v>6.1399999999999994E-8</v>
      </c>
      <c r="M16" s="20">
        <v>4.4589999999999998E-8</v>
      </c>
      <c r="N16" s="20">
        <v>-6.8409999999999999E-2</v>
      </c>
      <c r="O16" s="20">
        <v>3.4259999999999998E-4</v>
      </c>
      <c r="P16" s="20">
        <v>8.4710000000000004E-4</v>
      </c>
      <c r="V16" t="s">
        <v>118</v>
      </c>
    </row>
    <row r="17" spans="1:27" x14ac:dyDescent="0.3">
      <c r="V17">
        <f>V14*1055.055853/1000000</f>
        <v>19.703168054774999</v>
      </c>
    </row>
    <row r="18" spans="1:27" x14ac:dyDescent="0.3">
      <c r="A18" s="19" t="s">
        <v>119</v>
      </c>
      <c r="B18" s="1">
        <f t="shared" ref="B18:P18" si="5">B19*$U$14*$V$19</f>
        <v>1.2673751593819126E-4</v>
      </c>
      <c r="C18" s="1">
        <f t="shared" si="5"/>
        <v>3.9587076349338911E-4</v>
      </c>
      <c r="D18" s="1">
        <f t="shared" si="5"/>
        <v>0</v>
      </c>
      <c r="E18" s="1">
        <f t="shared" si="5"/>
        <v>4.3051612054419366E-5</v>
      </c>
      <c r="F18" s="1">
        <f t="shared" si="5"/>
        <v>2.9978598142030368E-5</v>
      </c>
      <c r="G18" s="1">
        <f t="shared" si="5"/>
        <v>2.2024144550758E-4</v>
      </c>
      <c r="H18" s="1">
        <f t="shared" si="5"/>
        <v>1.9145454535343788E-3</v>
      </c>
      <c r="I18" s="1">
        <f t="shared" si="5"/>
        <v>1.4943196886082279E-5</v>
      </c>
      <c r="J18" s="1">
        <f t="shared" si="5"/>
        <v>1.7109999577928775E-2</v>
      </c>
      <c r="K18" s="1">
        <f t="shared" si="5"/>
        <v>0.81830334432849827</v>
      </c>
      <c r="L18" s="1">
        <f t="shared" si="5"/>
        <v>4.4258097535588005E-6</v>
      </c>
      <c r="M18" s="1">
        <f t="shared" si="5"/>
        <v>7.3806988519941885E-6</v>
      </c>
      <c r="N18" s="1">
        <f t="shared" si="5"/>
        <v>-2.4079258175710438E-3</v>
      </c>
      <c r="O18" s="1">
        <f t="shared" si="5"/>
        <v>0.81589541851092728</v>
      </c>
      <c r="P18" s="1">
        <f t="shared" si="5"/>
        <v>0.87768121881698702</v>
      </c>
      <c r="V18" t="s">
        <v>109</v>
      </c>
    </row>
    <row r="19" spans="1:27" x14ac:dyDescent="0.3">
      <c r="A19" s="19" t="s">
        <v>120</v>
      </c>
      <c r="B19" s="1">
        <f t="shared" ref="B19:I19" si="6">B20/1000</f>
        <v>1.457E-2</v>
      </c>
      <c r="C19" s="1">
        <f t="shared" si="6"/>
        <v>4.5510100000000005E-2</v>
      </c>
      <c r="D19" s="1"/>
      <c r="E19" s="1">
        <f>E20/1000</f>
        <v>4.9493000000000002E-3</v>
      </c>
      <c r="F19" s="1">
        <f t="shared" si="6"/>
        <v>3.4464000000000001E-3</v>
      </c>
      <c r="G19" s="1">
        <f t="shared" si="6"/>
        <v>2.5319400000000002E-2</v>
      </c>
      <c r="H19" s="1">
        <v>0.22009999999999999</v>
      </c>
      <c r="I19" s="1">
        <f t="shared" si="6"/>
        <v>1.7179000000000001E-3</v>
      </c>
      <c r="J19" s="1">
        <v>1.9670000000000001</v>
      </c>
      <c r="K19">
        <v>94.073800000000006</v>
      </c>
      <c r="L19" s="1">
        <f>L20/1000</f>
        <v>5.0880000000000001E-4</v>
      </c>
      <c r="M19" s="1">
        <f>M20/1000</f>
        <v>8.4850000000000008E-4</v>
      </c>
      <c r="N19" s="1">
        <v>-0.27682000000000001</v>
      </c>
      <c r="O19" s="1">
        <f>K19+N19</f>
        <v>93.796980000000005</v>
      </c>
      <c r="P19">
        <v>100.9</v>
      </c>
      <c r="V19" s="11">
        <f>V17/453.592</f>
        <v>4.3438085448541858E-2</v>
      </c>
      <c r="Y19" t="s">
        <v>111</v>
      </c>
      <c r="Z19" t="s">
        <v>112</v>
      </c>
      <c r="AA19">
        <f>V19*U14</f>
        <v>8.6985254590385228E-3</v>
      </c>
    </row>
    <row r="20" spans="1:27" x14ac:dyDescent="0.3">
      <c r="A20" s="19" t="s">
        <v>121</v>
      </c>
      <c r="B20" s="1">
        <v>14.57</v>
      </c>
      <c r="C20">
        <v>45.510100000000001</v>
      </c>
      <c r="D20">
        <v>60.528399999999998</v>
      </c>
      <c r="E20">
        <v>4.9493</v>
      </c>
      <c r="F20">
        <v>3.4464000000000001</v>
      </c>
      <c r="G20">
        <v>25.319400000000002</v>
      </c>
      <c r="I20">
        <v>1.7179</v>
      </c>
      <c r="L20">
        <v>0.50880000000000003</v>
      </c>
      <c r="M20">
        <v>0.84850000000000003</v>
      </c>
      <c r="V20" s="11"/>
    </row>
    <row r="22" spans="1:27" x14ac:dyDescent="0.3">
      <c r="A22" s="22" t="s">
        <v>122</v>
      </c>
      <c r="B22" s="23">
        <f t="shared" ref="B22:P22" si="7">B14+B18</f>
        <v>2.3823751593819126E-4</v>
      </c>
      <c r="C22" s="23">
        <f t="shared" si="7"/>
        <v>1.1687707634933891E-3</v>
      </c>
      <c r="D22" s="23">
        <f>D14+D18</f>
        <v>2.8440000000000002E-3</v>
      </c>
      <c r="E22" s="23">
        <f t="shared" si="7"/>
        <v>4.5993612054419365E-5</v>
      </c>
      <c r="F22" s="23">
        <f t="shared" si="7"/>
        <v>3.2920598142030368E-5</v>
      </c>
      <c r="G22" s="23">
        <f t="shared" si="7"/>
        <v>2.2024144550758E-4</v>
      </c>
      <c r="H22" s="23">
        <f t="shared" si="7"/>
        <v>1.9154629535343788E-3</v>
      </c>
      <c r="I22" s="23">
        <f t="shared" si="7"/>
        <v>1.6743196886082279E-5</v>
      </c>
      <c r="J22" s="23">
        <f t="shared" si="7"/>
        <v>1.7109999577928775E-2</v>
      </c>
      <c r="K22" s="23">
        <f t="shared" si="7"/>
        <v>1.4241033443284983</v>
      </c>
      <c r="L22" s="23">
        <f t="shared" si="7"/>
        <v>5.3545097535588006E-6</v>
      </c>
      <c r="M22" s="23">
        <f t="shared" si="7"/>
        <v>8.2648988519941893E-6</v>
      </c>
      <c r="N22" s="23">
        <f t="shared" si="7"/>
        <v>-0.60820792581757099</v>
      </c>
      <c r="O22" s="23">
        <f t="shared" si="7"/>
        <v>0.81745741851092724</v>
      </c>
      <c r="P22" s="23">
        <f t="shared" si="7"/>
        <v>0.87974821881698706</v>
      </c>
    </row>
    <row r="23" spans="1:27" x14ac:dyDescent="0.3">
      <c r="A23" s="19" t="s">
        <v>123</v>
      </c>
      <c r="B23" s="24">
        <f t="shared" ref="B23:P23" si="8">B22/$AA$19</f>
        <v>2.7388264489200502E-2</v>
      </c>
      <c r="C23" s="24">
        <f t="shared" si="8"/>
        <v>0.13436424012289749</v>
      </c>
      <c r="D23" s="24">
        <f t="shared" si="8"/>
        <v>0.32695196598462989</v>
      </c>
      <c r="E23" s="24">
        <f t="shared" si="8"/>
        <v>5.2875182432935239E-3</v>
      </c>
      <c r="F23" s="24">
        <f t="shared" si="8"/>
        <v>3.7846182432935238E-3</v>
      </c>
      <c r="G23" s="24">
        <f t="shared" si="8"/>
        <v>2.5319400000000002E-2</v>
      </c>
      <c r="H23" s="24">
        <f t="shared" si="8"/>
        <v>0.22020547764725418</v>
      </c>
      <c r="I23" s="24">
        <f t="shared" si="8"/>
        <v>1.924831624040905E-3</v>
      </c>
      <c r="J23" s="24">
        <f t="shared" si="8"/>
        <v>1.9670000000000001</v>
      </c>
      <c r="K23" s="24">
        <f t="shared" si="8"/>
        <v>163.71778769110014</v>
      </c>
      <c r="L23" s="24">
        <f t="shared" si="8"/>
        <v>6.1556522180377141E-4</v>
      </c>
      <c r="M23" s="24">
        <f t="shared" si="8"/>
        <v>9.5014941220942703E-4</v>
      </c>
      <c r="N23" s="24">
        <f t="shared" si="8"/>
        <v>-69.920807691100123</v>
      </c>
      <c r="O23" s="24">
        <f t="shared" si="8"/>
        <v>93.976550664862174</v>
      </c>
      <c r="P23" s="24">
        <f t="shared" si="8"/>
        <v>101.13762648160699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Base</vt:lpstr>
      <vt:lpstr>Ammonia</vt:lpstr>
      <vt:lpstr>PEM</vt:lpstr>
      <vt:lpstr>SMR</vt:lpstr>
      <vt:lpstr>WTWa_ftjet</vt:lpstr>
      <vt:lpstr>WTWa_conventional</vt:lpstr>
      <vt:lpstr>WTWa_example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 </cp:lastModifiedBy>
  <dcterms:created xsi:type="dcterms:W3CDTF">2025-03-23T15:59:59Z</dcterms:created>
  <dcterms:modified xsi:type="dcterms:W3CDTF">2025-03-24T01:48:39Z</dcterms:modified>
</cp:coreProperties>
</file>